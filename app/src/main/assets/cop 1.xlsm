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el\"/>
    </mc:Choice>
  </mc:AlternateContent>
  <bookViews>
    <workbookView showHorizontalScroll="0" xWindow="-120" yWindow="-120" windowWidth="11190" windowHeight="7665" activeTab="1"/>
  </bookViews>
  <sheets>
    <sheet name="Admin" sheetId="8" r:id="rId1"/>
    <sheet name="POS" sheetId="1" r:id="rId2"/>
    <sheet name="Orders" sheetId="2" r:id="rId3"/>
    <sheet name="OrderItems" sheetId="3" r:id="rId4"/>
    <sheet name="Customers" sheetId="6" r:id="rId5"/>
    <sheet name="Vendors" sheetId="10" r:id="rId6"/>
    <sheet name="Products" sheetId="7" r:id="rId7"/>
    <sheet name="Users" sheetId="9" r:id="rId8"/>
  </sheets>
  <definedNames>
    <definedName name="_xlnm._FilterDatabase" localSheetId="4" hidden="1">Customers!$G$4:$H$23</definedName>
    <definedName name="_xlnm._FilterDatabase" localSheetId="3" hidden="1">OrderItems!$I$768:$R$1724</definedName>
    <definedName name="_xlnm._FilterDatabase" localSheetId="2" hidden="1">Orders!$E$158:$K$176</definedName>
    <definedName name="_xlnm._FilterDatabase" localSheetId="6" hidden="1">Products!$A$2:$F$748</definedName>
    <definedName name="_xlnm._FilterDatabase" localSheetId="5" hidden="1">Vendors!$A$2:$B$8</definedName>
    <definedName name="Barcode">POS!$J$5</definedName>
    <definedName name="Categories">Admin!$D$4:$I$4</definedName>
    <definedName name="_xlnm.Criteria" localSheetId="3">OrderItems!$V$768:$W$769</definedName>
    <definedName name="_xlnm.Criteria" localSheetId="2">Orders!$O$158:$P$159</definedName>
    <definedName name="_xlnm.Criteria" localSheetId="6">Products!$J$2:$K$3</definedName>
    <definedName name="Customer_ID">OFFSET(Customers!$A$2,1,,COUNTA(Customers!$A$2:$A$9999)-1,1)</definedName>
    <definedName name="Customer_Name">OFFSET(Customers!$B$2,1,,COUNTA(Customers!$B$2:$B$9999)-1,1)</definedName>
    <definedName name="Customer_NamesSorted">OFFSET(Customers!$G$2,1,,COUNTA(Customers!$G$2:$G$9999)-1,1)</definedName>
    <definedName name="_xlnm.Extract" localSheetId="4">Customers!$M$4</definedName>
    <definedName name="_xlnm.Extract" localSheetId="3">OrderItems!$Q$2:$W$2</definedName>
    <definedName name="_xlnm.Extract" localSheetId="2">Orders!$O$2:$Q$2</definedName>
    <definedName name="_xlnm.Extract" localSheetId="6">Products!$N$2:$O$2</definedName>
    <definedName name="_xlnm.Extract" localSheetId="5">Vendors!$G$2</definedName>
    <definedName name="FooterMsg">Admin!$L$5</definedName>
    <definedName name="LogoutBtn">"FooterGrp,Group 1032"</definedName>
    <definedName name="Order_ID">OFFSET(Orders!$A$2,1,,COUNTA(Orders!$A$2:$A$9999)-1,1)</definedName>
    <definedName name="OrderItems_Qty">OFFSET(OrderItems!$F$2,1,,COUNTA(OrderItems!$A$2:$A$99999)-1,1)</definedName>
    <definedName name="OrderItems_SKU">OFFSET(OrderItems!$D$2,1,,COUNTA(OrderItems!$A$2:$A$99999)-1,1)</definedName>
    <definedName name="OrderItems_Type">OFFSET(OrderItems!$B$2,1,,COUNTA(OrderItems!$A$2:$A$99999)-1,1)</definedName>
    <definedName name="p">POS!$J$5</definedName>
    <definedName name="_xlnm.Print_Area" localSheetId="1">POS!$I$6:$O$20</definedName>
    <definedName name="Prod_SKU">OFFSET(Products!$A$2,1,,COUNTA(Products!$A$2:$A$9999)-1,1)</definedName>
    <definedName name="Subcategory1">Admin!$D$5:$D$16</definedName>
    <definedName name="Subcategory2">Admin!$E$5:$E$16</definedName>
    <definedName name="Subcategory3">Admin!$F$5:$F$16</definedName>
    <definedName name="Subcategory4">Admin!$G$5:$G$16</definedName>
    <definedName name="Subcategory5">Admin!$H$5:$H$16</definedName>
    <definedName name="Subcategory6">Admin!$I$5:$I$16</definedName>
    <definedName name="TaxName">Admin!$L$3</definedName>
    <definedName name="TaxRate">Admin!$L$4</definedName>
    <definedName name="User_ID">OFFSET(Users!$A$2,1,,COUNTA(Users!$A$2:$A$9999)-1,1)</definedName>
    <definedName name="User_Names">OFFSET(Users!$B$2,1,,COUNTA(Users!$B$2:$B$9999)-1,1)</definedName>
    <definedName name="User_Role">OFFSET(Users!$C$2,1,,COUNTA(Users!$A$2:$A$9999)-1,1)</definedName>
    <definedName name="Vendor_ID">OFFSET(Vendors!$A$2,1,,COUNTA(Vendors!$A$2:$A$9999)-1,1)</definedName>
    <definedName name="Vendor_Name">OFFSET(Vendors!$B$2,1,,COUNTA(Vendors!$B$2:$B$9999)-1,1)</definedName>
    <definedName name="Vendor_NamesSorted">OFFSET(Vendors!$G$2,1,,COUNTA(Vendors!$G$2:$G$9999)-1,1)</definedName>
    <definedName name="نام_کالا">POS!$J$6</definedName>
  </definedNames>
  <calcPr calcId="162913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1" l="1"/>
  <c r="B19" i="1"/>
  <c r="P1000" i="1" l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B5" i="1"/>
  <c r="N5" i="1" l="1"/>
  <c r="B7" i="1"/>
  <c r="B10" i="1"/>
  <c r="B11" i="1" s="1"/>
  <c r="B3" i="1"/>
  <c r="B4" i="1"/>
  <c r="B13" i="1"/>
  <c r="B14" i="1" s="1"/>
  <c r="A14" i="1"/>
  <c r="I4" i="1"/>
  <c r="B15" i="1" l="1"/>
  <c r="B17" i="1" s="1"/>
  <c r="N3" i="3" l="1"/>
  <c r="K3" i="2"/>
</calcChain>
</file>

<file path=xl/sharedStrings.xml><?xml version="1.0" encoding="utf-8"?>
<sst xmlns="http://schemas.openxmlformats.org/spreadsheetml/2006/main" count="5962" uniqueCount="1520">
  <si>
    <t>User</t>
  </si>
  <si>
    <t>Categories</t>
  </si>
  <si>
    <t>Bread</t>
  </si>
  <si>
    <t>Product Name</t>
  </si>
  <si>
    <t>Qty</t>
  </si>
  <si>
    <t>Amount</t>
  </si>
  <si>
    <t>Disc. %</t>
  </si>
  <si>
    <t>Total</t>
  </si>
  <si>
    <t>Tax</t>
  </si>
  <si>
    <t>Tax Name</t>
  </si>
  <si>
    <t>Tax Rate</t>
  </si>
  <si>
    <t>Order ID</t>
  </si>
  <si>
    <t>Qty On Hand</t>
  </si>
  <si>
    <t>User ID</t>
  </si>
  <si>
    <t>User Rights</t>
  </si>
  <si>
    <t>Add Sales</t>
  </si>
  <si>
    <t>Subtotal</t>
  </si>
  <si>
    <t>Total Paid</t>
  </si>
  <si>
    <t>Change</t>
  </si>
  <si>
    <t>Order Load</t>
  </si>
  <si>
    <t>Type</t>
  </si>
  <si>
    <t>Purchase &amp; Sales Orders</t>
  </si>
  <si>
    <t>Sel. Row</t>
  </si>
  <si>
    <t>Status</t>
  </si>
  <si>
    <t>Open</t>
  </si>
  <si>
    <t>Paid</t>
  </si>
  <si>
    <t>Refund</t>
  </si>
  <si>
    <t>Void</t>
  </si>
  <si>
    <t>User:</t>
  </si>
  <si>
    <t>Fred Fredders</t>
  </si>
  <si>
    <t>User DB Row</t>
  </si>
  <si>
    <t>Category</t>
  </si>
  <si>
    <t>Subcategories</t>
  </si>
  <si>
    <t>Ord. ID</t>
  </si>
  <si>
    <t>Drinks &amp; Beverages</t>
  </si>
  <si>
    <t>Breads &amp; Cereals</t>
  </si>
  <si>
    <t>Meats &amp; Seafood</t>
  </si>
  <si>
    <t>Dairy &amp; Eggs</t>
  </si>
  <si>
    <t>Frozen Food</t>
  </si>
  <si>
    <t>Fruits &amp; Vegetables</t>
  </si>
  <si>
    <t>Soda</t>
  </si>
  <si>
    <t>Wine</t>
  </si>
  <si>
    <t>Beer</t>
  </si>
  <si>
    <t>Spirits</t>
  </si>
  <si>
    <t>Vegetables</t>
  </si>
  <si>
    <t>Cheese</t>
  </si>
  <si>
    <t>Fruit</t>
  </si>
  <si>
    <t>Chicken</t>
  </si>
  <si>
    <t>Fish</t>
  </si>
  <si>
    <t>Beef</t>
  </si>
  <si>
    <t>Seafood</t>
  </si>
  <si>
    <t>Order On</t>
  </si>
  <si>
    <t>Customers</t>
  </si>
  <si>
    <t>Cust. ID</t>
  </si>
  <si>
    <t>Customer Name</t>
  </si>
  <si>
    <t>Vendors</t>
  </si>
  <si>
    <t>Vend. ID</t>
  </si>
  <si>
    <t>Vendor Name</t>
  </si>
  <si>
    <t>Farmhouse Produce</t>
  </si>
  <si>
    <t>Freddres Dairy</t>
  </si>
  <si>
    <t>Jacksons Spirits</t>
  </si>
  <si>
    <t>Sorted Vendors</t>
  </si>
  <si>
    <t>Sorted Custmoms</t>
  </si>
  <si>
    <t>Lisa Smith</t>
  </si>
  <si>
    <t>David Davids</t>
  </si>
  <si>
    <t>Food Categories &amp; Subcategories</t>
  </si>
  <si>
    <t>Mayonnaise</t>
  </si>
  <si>
    <t>Fresh Milk</t>
  </si>
  <si>
    <t>Energy Drink</t>
  </si>
  <si>
    <t>Lobsters</t>
  </si>
  <si>
    <t>Juice</t>
  </si>
  <si>
    <t>Butter</t>
  </si>
  <si>
    <t>Yogurt</t>
  </si>
  <si>
    <t>Cakes</t>
  </si>
  <si>
    <t>Cookies</t>
  </si>
  <si>
    <t>Chocolates</t>
  </si>
  <si>
    <t>Ice Pops</t>
  </si>
  <si>
    <t>Coffee</t>
  </si>
  <si>
    <t>Probiotics</t>
  </si>
  <si>
    <t>Ice Cream</t>
  </si>
  <si>
    <t>Drinks.png</t>
  </si>
  <si>
    <t>Bread.png</t>
  </si>
  <si>
    <t>Meat.png</t>
  </si>
  <si>
    <t>Cheese.png</t>
  </si>
  <si>
    <t>Ice-Cream.png</t>
  </si>
  <si>
    <t>Cherry.png</t>
  </si>
  <si>
    <t>Icons</t>
  </si>
  <si>
    <t>Order Results</t>
  </si>
  <si>
    <t>Customer/Vendor</t>
  </si>
  <si>
    <t>Shrimp</t>
  </si>
  <si>
    <t>Criteria</t>
  </si>
  <si>
    <t>Results</t>
  </si>
  <si>
    <t>Order Row</t>
  </si>
  <si>
    <t>Next Order ID</t>
  </si>
  <si>
    <t>Search Order Row</t>
  </si>
  <si>
    <t>Products</t>
  </si>
  <si>
    <t>Subcategory</t>
  </si>
  <si>
    <t>Purchase $</t>
  </si>
  <si>
    <t>Sales $</t>
  </si>
  <si>
    <t>Drinking Water</t>
  </si>
  <si>
    <t>Milk</t>
  </si>
  <si>
    <t>Cider</t>
  </si>
  <si>
    <t>Cocktails</t>
  </si>
  <si>
    <t>Tea</t>
  </si>
  <si>
    <t>Buns</t>
  </si>
  <si>
    <t>Waffles</t>
  </si>
  <si>
    <t>Pancakes</t>
  </si>
  <si>
    <t>Oats</t>
  </si>
  <si>
    <t>Kid's Cereals</t>
  </si>
  <si>
    <t>Donuts</t>
  </si>
  <si>
    <t>Crackers</t>
  </si>
  <si>
    <t>Pizza Dough</t>
  </si>
  <si>
    <t>Steak</t>
  </si>
  <si>
    <t>Shell Fish</t>
  </si>
  <si>
    <t>Pork</t>
  </si>
  <si>
    <t>Squid</t>
  </si>
  <si>
    <t>Sausage</t>
  </si>
  <si>
    <t>Lamb</t>
  </si>
  <si>
    <t>Smoked Meats</t>
  </si>
  <si>
    <t>Eggs</t>
  </si>
  <si>
    <t>Powdered Milk</t>
  </si>
  <si>
    <t>Spreads</t>
  </si>
  <si>
    <t>Cream</t>
  </si>
  <si>
    <t>Soy</t>
  </si>
  <si>
    <t>Berries</t>
  </si>
  <si>
    <t>Stone Fruits</t>
  </si>
  <si>
    <t>Tropical</t>
  </si>
  <si>
    <t>Order DB Row</t>
  </si>
  <si>
    <t>SKU/UPC</t>
  </si>
  <si>
    <t>Row</t>
  </si>
  <si>
    <t>Order Items</t>
  </si>
  <si>
    <t>Imported Cheese</t>
  </si>
  <si>
    <t>Bell Pepper</t>
  </si>
  <si>
    <t>Citrus</t>
  </si>
  <si>
    <t>Melons</t>
  </si>
  <si>
    <t>Leafy Green</t>
  </si>
  <si>
    <t>Marrow</t>
  </si>
  <si>
    <t>Root</t>
  </si>
  <si>
    <t>Sweet Potato</t>
  </si>
  <si>
    <t>Cruciferous</t>
  </si>
  <si>
    <t>Allium</t>
  </si>
  <si>
    <t>Pome</t>
  </si>
  <si>
    <t>&lt;&gt;</t>
  </si>
  <si>
    <t>Footer Message</t>
  </si>
  <si>
    <t>ADMIN</t>
  </si>
  <si>
    <t>Manager</t>
  </si>
  <si>
    <t>Staff</t>
  </si>
  <si>
    <t>Trainee</t>
  </si>
  <si>
    <t>Add/Edit/Void/Refund Sales &amp; Purchases</t>
  </si>
  <si>
    <t>Add Sales &amp; Purchases</t>
  </si>
  <si>
    <t>User Name</t>
  </si>
  <si>
    <t>Fred Frankles</t>
  </si>
  <si>
    <t>Nancy Smith</t>
  </si>
  <si>
    <t>Users</t>
  </si>
  <si>
    <t>Role</t>
  </si>
  <si>
    <t>User Rights &amp; Roles</t>
  </si>
  <si>
    <t>Healthy Cereal</t>
  </si>
  <si>
    <t>Application Defaults</t>
  </si>
  <si>
    <t>Order Status</t>
  </si>
  <si>
    <t>Thank You For Your Business</t>
  </si>
  <si>
    <t>Sel. Result Row</t>
  </si>
  <si>
    <t>User Role</t>
  </si>
  <si>
    <t>Medium White Eggs</t>
  </si>
  <si>
    <t>Probiotic Yogurt</t>
  </si>
  <si>
    <t>Kombucha</t>
  </si>
  <si>
    <t>1% Milk Kefir</t>
  </si>
  <si>
    <t>Probiotic Smoothie</t>
  </si>
  <si>
    <t>Cust./Vend.</t>
  </si>
  <si>
    <t>Scan SKU/UPC</t>
  </si>
  <si>
    <t>Order On:</t>
  </si>
  <si>
    <t>Status:</t>
  </si>
  <si>
    <t>SKU/UPC ID</t>
  </si>
  <si>
    <t>Enter Prod DB Row</t>
  </si>
  <si>
    <t>DB  Row</t>
  </si>
  <si>
    <t>New Customer</t>
  </si>
  <si>
    <t>New Vendor</t>
  </si>
  <si>
    <t>Sally Smith</t>
  </si>
  <si>
    <t>Jane Johnson</t>
  </si>
  <si>
    <t>H Jahani</t>
  </si>
  <si>
    <t>6262003400582</t>
  </si>
  <si>
    <t>G1 مشکی</t>
  </si>
  <si>
    <t>6262003400629</t>
  </si>
  <si>
    <t>G1 نقره ای</t>
  </si>
  <si>
    <t>6260532822097</t>
  </si>
  <si>
    <t>اسپاگتی زر ماکارون</t>
  </si>
  <si>
    <t>6263118300088</t>
  </si>
  <si>
    <t>اسپری برف شادی نور آرا</t>
  </si>
  <si>
    <t>6260501700401</t>
  </si>
  <si>
    <t>آب معدنی لاندا خانواده</t>
  </si>
  <si>
    <t>6260501700418</t>
  </si>
  <si>
    <t>آب معدنی لاندا کوچک</t>
  </si>
  <si>
    <t>6260166910269</t>
  </si>
  <si>
    <t>آبمیوه بدون گاز آناناس شط</t>
  </si>
  <si>
    <t>0160290016690011</t>
  </si>
  <si>
    <t>6260166910238</t>
  </si>
  <si>
    <t>آبمیوه بدون گاز پرتقال شط</t>
  </si>
  <si>
    <t>0160290016690008</t>
  </si>
  <si>
    <t>6260567100177</t>
  </si>
  <si>
    <t>آبمیوه بدون گاز سیب موز آرامدیس</t>
  </si>
  <si>
    <t>0160210056710010</t>
  </si>
  <si>
    <t>6260166910252</t>
  </si>
  <si>
    <t>آبمیوه بدون گاز هلو شط</t>
  </si>
  <si>
    <t>0160290016690010</t>
  </si>
  <si>
    <t>6260567100191</t>
  </si>
  <si>
    <t>آبمیوه پرتقال بدون گاز آرامدیس</t>
  </si>
  <si>
    <t>6262228200028</t>
  </si>
  <si>
    <t>6260567100221</t>
  </si>
  <si>
    <t>آبمیوه چندمیوه بدون گاز آرامدیس</t>
  </si>
  <si>
    <t>آبمیوه چندمیوه بدون گاز نارونه</t>
  </si>
  <si>
    <t>60000000000011</t>
  </si>
  <si>
    <t>آدامس 500</t>
  </si>
  <si>
    <t>6261149070314</t>
  </si>
  <si>
    <t>آدامس توت فرنگی Smile</t>
  </si>
  <si>
    <t>6260246020352</t>
  </si>
  <si>
    <t>آدامس توت فرنگی پرستو</t>
  </si>
  <si>
    <t>6260360003583</t>
  </si>
  <si>
    <t>آدامس دارچینی Fast</t>
  </si>
  <si>
    <t>6261149070338</t>
  </si>
  <si>
    <t>آدامس دارچینی Smile</t>
  </si>
  <si>
    <t>0162240013800049</t>
  </si>
  <si>
    <t>آدامس سبیرمنت اوینا</t>
  </si>
  <si>
    <t>60000000000010</t>
  </si>
  <si>
    <t>آدامس شیک هزار</t>
  </si>
  <si>
    <t>6261149070307</t>
  </si>
  <si>
    <t>آدامس موزی Smile</t>
  </si>
  <si>
    <t>6260360003590</t>
  </si>
  <si>
    <t>آدامس نعنائی Fast</t>
  </si>
  <si>
    <t>6261149070321</t>
  </si>
  <si>
    <t>آدامس نعنائی Smile</t>
  </si>
  <si>
    <t>60000000000012</t>
  </si>
  <si>
    <t>آلوچه آی پارا</t>
  </si>
  <si>
    <t>60000000000045</t>
  </si>
  <si>
    <t>آلوچه کبری</t>
  </si>
  <si>
    <t>6263336000012</t>
  </si>
  <si>
    <t>آمور مشکی</t>
  </si>
  <si>
    <t>بادام زمینی</t>
  </si>
  <si>
    <t>6970320874213</t>
  </si>
  <si>
    <t>باطری قلمی Giga cell تکی</t>
  </si>
  <si>
    <t>6260543503855</t>
  </si>
  <si>
    <t>بالشتی چاکلز</t>
  </si>
  <si>
    <t>برنج</t>
  </si>
  <si>
    <t>6264078408258</t>
  </si>
  <si>
    <t>بستنی بیسکوادو الدورادو</t>
  </si>
  <si>
    <t>6264078408005</t>
  </si>
  <si>
    <t>بستنی پیچی الدورادو</t>
  </si>
  <si>
    <t>6260176806545</t>
  </si>
  <si>
    <t>بستنی چوبی برنارد</t>
  </si>
  <si>
    <t>6261163400258</t>
  </si>
  <si>
    <t>بستنی حصیری چشمه چین</t>
  </si>
  <si>
    <t>60000000000033</t>
  </si>
  <si>
    <t>بستنی زمستانی</t>
  </si>
  <si>
    <t>6264078400719</t>
  </si>
  <si>
    <t>بستنی عروسکی دومینو</t>
  </si>
  <si>
    <t>6261163400012</t>
  </si>
  <si>
    <t>بستنی لیوانی میوه ای چشمه چین</t>
  </si>
  <si>
    <t>6261640507784</t>
  </si>
  <si>
    <t>بستنی نان خامه ای به تک</t>
  </si>
  <si>
    <t>6261163400104</t>
  </si>
  <si>
    <t>بستنی وانیل لیوانی چشمه چین</t>
  </si>
  <si>
    <t>بنزین بطری</t>
  </si>
  <si>
    <t>بنزین دو لیتری</t>
  </si>
  <si>
    <t>6261204000133</t>
  </si>
  <si>
    <t>بهمن پایه بلند</t>
  </si>
  <si>
    <t>6269365700077</t>
  </si>
  <si>
    <t>بیستون سفید</t>
  </si>
  <si>
    <t>6269365700152</t>
  </si>
  <si>
    <t>بیستون مشکی</t>
  </si>
  <si>
    <t>6269365700084</t>
  </si>
  <si>
    <t>بیستون مشکی نانو</t>
  </si>
  <si>
    <t>6269365700138</t>
  </si>
  <si>
    <t>بیستون نقره ای پایه بلند</t>
  </si>
  <si>
    <t>6269365700091</t>
  </si>
  <si>
    <t>بیستون نقره ای نانو</t>
  </si>
  <si>
    <t>6262098700048</t>
  </si>
  <si>
    <t>بیسکوئیت پذیرایی پویان فر</t>
  </si>
  <si>
    <t>6260501001065</t>
  </si>
  <si>
    <t>بیسکوئیت دایجستیو نادری</t>
  </si>
  <si>
    <t>بیسکوئیت فله</t>
  </si>
  <si>
    <t>6260501003083</t>
  </si>
  <si>
    <t>بیسکوئیت کنجد و ریحان نادری</t>
  </si>
  <si>
    <t>6260501003090</t>
  </si>
  <si>
    <t>بیسکوئیت کنجد و شوید نادری</t>
  </si>
  <si>
    <t>6260003111798</t>
  </si>
  <si>
    <t>بیسکوئیت مادر ویتانا</t>
  </si>
  <si>
    <t>6261178014044</t>
  </si>
  <si>
    <t>بیسکوئیت های بای آناتا</t>
  </si>
  <si>
    <t>6261149065594</t>
  </si>
  <si>
    <t>پاستیل jelifun شیرین عسل</t>
  </si>
  <si>
    <t>6931905021019</t>
  </si>
  <si>
    <t>پاک کن</t>
  </si>
  <si>
    <t>227322517542789</t>
  </si>
  <si>
    <t>پاکت فریزر پرفراژ دار نیلی</t>
  </si>
  <si>
    <t>228422517542789</t>
  </si>
  <si>
    <t>پاکت فریزر نیلی</t>
  </si>
  <si>
    <t>60000000000018</t>
  </si>
  <si>
    <t>پای سیب</t>
  </si>
  <si>
    <t>6260501000563</t>
  </si>
  <si>
    <t>پتی بور کاکائو نادری</t>
  </si>
  <si>
    <t>6260501000556</t>
  </si>
  <si>
    <t>پتی بور وانیلی نادری</t>
  </si>
  <si>
    <t>6262894300671</t>
  </si>
  <si>
    <t>پرستون</t>
  </si>
  <si>
    <t>60000000000036</t>
  </si>
  <si>
    <t>پشمک تکی</t>
  </si>
  <si>
    <t>6260543504883</t>
  </si>
  <si>
    <t>پفک پنیری چاکلز</t>
  </si>
  <si>
    <t>6260543504906</t>
  </si>
  <si>
    <t xml:space="preserve">پفک پنیری خانواده چاکلز </t>
  </si>
  <si>
    <t>6265663103930</t>
  </si>
  <si>
    <t xml:space="preserve">پفک توپی خانواده لینا </t>
  </si>
  <si>
    <t>6260501002024</t>
  </si>
  <si>
    <t>پفک توپی نادری</t>
  </si>
  <si>
    <t>6260543502865</t>
  </si>
  <si>
    <t>پفک توپی و حلقه ای چاکلز</t>
  </si>
  <si>
    <t>0162900054350484</t>
  </si>
  <si>
    <t>پفک چاکلز جادویی</t>
  </si>
  <si>
    <t>6260501002055</t>
  </si>
  <si>
    <t>پفک چرخی نادری</t>
  </si>
  <si>
    <t>6262477390211</t>
  </si>
  <si>
    <t>پفک طلایی پنیری مزمز</t>
  </si>
  <si>
    <t>6260501002048</t>
  </si>
  <si>
    <t>پفک طلایی نادری</t>
  </si>
  <si>
    <t>6265663104609</t>
  </si>
  <si>
    <t xml:space="preserve">پفک لوله ای خانواده لینا </t>
  </si>
  <si>
    <t>6260501002017</t>
  </si>
  <si>
    <t>پفک لوله ای نادری</t>
  </si>
  <si>
    <t>6260501002260</t>
  </si>
  <si>
    <t>پفک لوله ای نادری خانواده</t>
  </si>
  <si>
    <t>6265663103558</t>
  </si>
  <si>
    <t>پفک مینی لینا پنیری</t>
  </si>
  <si>
    <t>6265663103565</t>
  </si>
  <si>
    <t>6260100109391</t>
  </si>
  <si>
    <t>پفک نمکی مینو</t>
  </si>
  <si>
    <t>پنیر</t>
  </si>
  <si>
    <t>6260470700013</t>
  </si>
  <si>
    <t>پودر بهداشتی سولدی</t>
  </si>
  <si>
    <t>6260001400917</t>
  </si>
  <si>
    <t>پودر رخت شویی Home Care</t>
  </si>
  <si>
    <t>6260232802672</t>
  </si>
  <si>
    <t>پودر رختشویی آبان</t>
  </si>
  <si>
    <t>6260103123486</t>
  </si>
  <si>
    <t>پودر ژله رضوی</t>
  </si>
  <si>
    <t>6262554201348</t>
  </si>
  <si>
    <t>پودر ماشین لباسشویی Safari</t>
  </si>
  <si>
    <t>6263414002501</t>
  </si>
  <si>
    <t>پودر ماشین لباسشویی تاژ</t>
  </si>
  <si>
    <t>6261005083618</t>
  </si>
  <si>
    <t>پودر ماشین لباسشویی یکتا</t>
  </si>
  <si>
    <t>6261580000031</t>
  </si>
  <si>
    <t>پودر موبر برتر</t>
  </si>
  <si>
    <t>6269432700030</t>
  </si>
  <si>
    <t>پودر مورچه آژار</t>
  </si>
  <si>
    <t>60000000000009</t>
  </si>
  <si>
    <t>تافی Teehoo</t>
  </si>
  <si>
    <t>6260170901697</t>
  </si>
  <si>
    <t>تافی با روکش کاکائو نادری</t>
  </si>
  <si>
    <t>6260170901710</t>
  </si>
  <si>
    <t>تخم مرغ</t>
  </si>
  <si>
    <t>60000000000029</t>
  </si>
  <si>
    <t>تخمه آفتابگردان</t>
  </si>
  <si>
    <t>6959023907183</t>
  </si>
  <si>
    <t>تراش</t>
  </si>
  <si>
    <t>60000000000006</t>
  </si>
  <si>
    <t>تمبر هندی</t>
  </si>
  <si>
    <t>6268612400074</t>
  </si>
  <si>
    <t>تنباکو دوسیب</t>
  </si>
  <si>
    <t>8964000765135</t>
  </si>
  <si>
    <t>تیغ Treet</t>
  </si>
  <si>
    <t>60000000000019</t>
  </si>
  <si>
    <t>جوراب نانو</t>
  </si>
  <si>
    <t>6260543502650</t>
  </si>
  <si>
    <t>چاکلز فنری</t>
  </si>
  <si>
    <t>6260026120036</t>
  </si>
  <si>
    <t>چای ارل گری شهرزاد</t>
  </si>
  <si>
    <t>60000000000026</t>
  </si>
  <si>
    <t>چایی</t>
  </si>
  <si>
    <t>6263696200046</t>
  </si>
  <si>
    <t>چسب 123 Muta Fix</t>
  </si>
  <si>
    <t>6260581100023</t>
  </si>
  <si>
    <t>چسب زخم فیکو پلاست</t>
  </si>
  <si>
    <t>60000000000025</t>
  </si>
  <si>
    <t>چسب شیشه ای</t>
  </si>
  <si>
    <t>60000000000022</t>
  </si>
  <si>
    <t>چسب قطره ای</t>
  </si>
  <si>
    <t>6260421200579</t>
  </si>
  <si>
    <t>چی پف تخم مرغی دینا</t>
  </si>
  <si>
    <t>6261847503909</t>
  </si>
  <si>
    <t>چی پف توپی دینا</t>
  </si>
  <si>
    <t>6263812802130</t>
  </si>
  <si>
    <t>چی پلت  سرکه ای دینا</t>
  </si>
  <si>
    <t>6263812802123</t>
  </si>
  <si>
    <t>چی پلت کچاپ دینا</t>
  </si>
  <si>
    <t>6263812801256</t>
  </si>
  <si>
    <t>چی توز طلایی خانواده</t>
  </si>
  <si>
    <t>6260053184018</t>
  </si>
  <si>
    <t>چیپس پیاز جعفری چی توز</t>
  </si>
  <si>
    <t>6260575902824</t>
  </si>
  <si>
    <t>چیپس خلال سیب زمینی باتو</t>
  </si>
  <si>
    <t>6260002931380</t>
  </si>
  <si>
    <t>چیپس خلال سیب زمینی مزمز</t>
  </si>
  <si>
    <t>0162900054350535</t>
  </si>
  <si>
    <t>چیپس سرکه ای چاکلز</t>
  </si>
  <si>
    <t>6260543502964</t>
  </si>
  <si>
    <t>چیپس سرکه چاکلز</t>
  </si>
  <si>
    <t>6260543502216</t>
  </si>
  <si>
    <t>چیپس سرکه چاکلز خانواده</t>
  </si>
  <si>
    <t>0162900054350454</t>
  </si>
  <si>
    <t>6260575900554</t>
  </si>
  <si>
    <t>چیپس سیب زمینی لیمو باتو</t>
  </si>
  <si>
    <t>6260543502902</t>
  </si>
  <si>
    <t>چیپس سیر و سبزیحات چاکلز</t>
  </si>
  <si>
    <t>6260053183981</t>
  </si>
  <si>
    <t xml:space="preserve">چیپس فلفلی خانواده چی توز </t>
  </si>
  <si>
    <t>6260575903227</t>
  </si>
  <si>
    <t>چیپس کچاپ باتو</t>
  </si>
  <si>
    <t>6260543502940</t>
  </si>
  <si>
    <t>چیپس کچاپ چاکلز</t>
  </si>
  <si>
    <t>0162900054350533</t>
  </si>
  <si>
    <t>6260543502247</t>
  </si>
  <si>
    <t>چیپس کچاپ چاکلز خانواده</t>
  </si>
  <si>
    <t>0162900054350457</t>
  </si>
  <si>
    <t>چیپس لیمو باتو</t>
  </si>
  <si>
    <t>6260543502971</t>
  </si>
  <si>
    <t>چیپس ماست و ریحان چاکلز</t>
  </si>
  <si>
    <t>6269994000012</t>
  </si>
  <si>
    <t>حشره کش بایکوت</t>
  </si>
  <si>
    <t>6260861800346</t>
  </si>
  <si>
    <t>حلواشکری علاقه مند</t>
  </si>
  <si>
    <t>6260405200809</t>
  </si>
  <si>
    <t>خامه نیم چرب صباح</t>
  </si>
  <si>
    <t>خرما مرسانا</t>
  </si>
  <si>
    <t>6260053185954</t>
  </si>
  <si>
    <t>خلالی چی توز خانواده</t>
  </si>
  <si>
    <t>6261101511152</t>
  </si>
  <si>
    <t>خمیر دندان نسیم</t>
  </si>
  <si>
    <t>8902061154857</t>
  </si>
  <si>
    <t>خودکار آبی Claro</t>
  </si>
  <si>
    <t>6260556513889</t>
  </si>
  <si>
    <t>خودکار آبی الوند</t>
  </si>
  <si>
    <t>6260556513940</t>
  </si>
  <si>
    <t>خودکار مشکی الوند</t>
  </si>
  <si>
    <t>60000000000017</t>
  </si>
  <si>
    <t xml:space="preserve">دارچین </t>
  </si>
  <si>
    <t>60000000000028</t>
  </si>
  <si>
    <t>دارچین چوبی</t>
  </si>
  <si>
    <t>60000000000060</t>
  </si>
  <si>
    <t>دراژه کاکائویی افشنگ</t>
  </si>
  <si>
    <t>6260501001614</t>
  </si>
  <si>
    <t>دراژه کاکائویی بانتی</t>
  </si>
  <si>
    <t>6260567199461</t>
  </si>
  <si>
    <t>دراژه کاکائویی ورقی به آمد</t>
  </si>
  <si>
    <t>60000000000021</t>
  </si>
  <si>
    <t>دستکش استاد کار</t>
  </si>
  <si>
    <t>6260009110061</t>
  </si>
  <si>
    <t>دستکش خانگی ساق بلند پرین</t>
  </si>
  <si>
    <t>6260045200610</t>
  </si>
  <si>
    <t>دستکش خانگی ساق بلند رز مریم</t>
  </si>
  <si>
    <t>6260140300154</t>
  </si>
  <si>
    <t>دستکش صنعتی کاریار Large</t>
  </si>
  <si>
    <t>6261153400022</t>
  </si>
  <si>
    <t>دستکش نخی کالکان</t>
  </si>
  <si>
    <t>6261156800027</t>
  </si>
  <si>
    <t>دستمال توالت روشا</t>
  </si>
  <si>
    <t>6262816600025</t>
  </si>
  <si>
    <t>دستمال کاغذی 3 تایی نازبر</t>
  </si>
  <si>
    <t>6260162504646</t>
  </si>
  <si>
    <t>دستمال کاغذی 50 ورق بیتا</t>
  </si>
  <si>
    <t>6260079272645</t>
  </si>
  <si>
    <t>دلستر Blue Tropical دادلی</t>
  </si>
  <si>
    <t>6260079211095</t>
  </si>
  <si>
    <t>دلستر انبه بهنوش</t>
  </si>
  <si>
    <t>6260079216014</t>
  </si>
  <si>
    <t>دلستر انگور قرمز گازدار تاک</t>
  </si>
  <si>
    <t>6260789600363</t>
  </si>
  <si>
    <t>دلستر انگور قرمز گازدار خوش تاک</t>
  </si>
  <si>
    <t>6261196090563</t>
  </si>
  <si>
    <t>دلستر انگور قرمز گازدار ساندیس</t>
  </si>
  <si>
    <t>6260079240781</t>
  </si>
  <si>
    <t>دلستر آلوئه ورا بهنوش</t>
  </si>
  <si>
    <t>6260079215017</t>
  </si>
  <si>
    <t>دلستر شیشه ای انگور تاک</t>
  </si>
  <si>
    <t>6260079210043</t>
  </si>
  <si>
    <t>دلستر لیمو شیشه ای  Delester</t>
  </si>
  <si>
    <t>6260501700197</t>
  </si>
  <si>
    <t>دلستر لیمو مرحبا</t>
  </si>
  <si>
    <t>ذرت</t>
  </si>
  <si>
    <t>6261422503423</t>
  </si>
  <si>
    <t>رانی پرتقال</t>
  </si>
  <si>
    <t>6261422504086</t>
  </si>
  <si>
    <t>رانی سیب</t>
  </si>
  <si>
    <t>6261422503782</t>
  </si>
  <si>
    <t>رانی هلو</t>
  </si>
  <si>
    <t>6269352100828</t>
  </si>
  <si>
    <t>رب گوجه فرنگی خوشبخت</t>
  </si>
  <si>
    <t>6260243211029</t>
  </si>
  <si>
    <t>رشته سوپ ADL</t>
  </si>
  <si>
    <t>6260295101385</t>
  </si>
  <si>
    <t>روغن 5 کیلویی ساعی</t>
  </si>
  <si>
    <t>6262144201185</t>
  </si>
  <si>
    <t>روغن مایع مخلوط خانواده نگین</t>
  </si>
  <si>
    <t>6262754000161</t>
  </si>
  <si>
    <t>روغن مایع مخلوط کوچک هایلی</t>
  </si>
  <si>
    <t>6262144200843</t>
  </si>
  <si>
    <t>روغن مخصوص سرخ کردنی خانواده نگین</t>
  </si>
  <si>
    <t>6262032507221</t>
  </si>
  <si>
    <t>روغن مخصوص سرخ کردنی کوچک فامیلا</t>
  </si>
  <si>
    <t>زرد چوبه</t>
  </si>
  <si>
    <t>60000000000061</t>
  </si>
  <si>
    <t>زغال IMAX</t>
  </si>
  <si>
    <t>60000000000041</t>
  </si>
  <si>
    <t>زنجبیل</t>
  </si>
  <si>
    <t>6260623920343</t>
  </si>
  <si>
    <t>ژله آماده سوتاش</t>
  </si>
  <si>
    <t>6501055825012</t>
  </si>
  <si>
    <t>ژیلت GT-H</t>
  </si>
  <si>
    <t>6162730734892</t>
  </si>
  <si>
    <t xml:space="preserve">ژیلت داروکو </t>
  </si>
  <si>
    <t>6269183300114</t>
  </si>
  <si>
    <t>سس گوجه فرنگی تند منحصر</t>
  </si>
  <si>
    <t>60000000000008</t>
  </si>
  <si>
    <t>سس گوجه فرنگی منحصر</t>
  </si>
  <si>
    <t>60000000000039</t>
  </si>
  <si>
    <t>سنگ فندک</t>
  </si>
  <si>
    <t>6260055843234</t>
  </si>
  <si>
    <t>سون آپ خانواده</t>
  </si>
  <si>
    <t>6261845300227</t>
  </si>
  <si>
    <t>سون آپ کوچک</t>
  </si>
  <si>
    <t>60000000000014</t>
  </si>
  <si>
    <t>سویا</t>
  </si>
  <si>
    <t>0236120120400057</t>
  </si>
  <si>
    <t>سیگار کیش</t>
  </si>
  <si>
    <t>60000000000024</t>
  </si>
  <si>
    <t>شاخه نبات</t>
  </si>
  <si>
    <t>شارژ 10 هزار</t>
  </si>
  <si>
    <t>شارژ 2 هزار</t>
  </si>
  <si>
    <t>شارژ 20 هزار</t>
  </si>
  <si>
    <t>شارژ 5 هزار</t>
  </si>
  <si>
    <t>6260031021038</t>
  </si>
  <si>
    <t>شامپو حنای صحت متوسط</t>
  </si>
  <si>
    <t>6260374100292</t>
  </si>
  <si>
    <t>شامپو سیر ناران</t>
  </si>
  <si>
    <t>6261101521205</t>
  </si>
  <si>
    <t>شامپو شبنم معمولی بزرگ پاکسان</t>
  </si>
  <si>
    <t>6261101521038</t>
  </si>
  <si>
    <t>شامپو شبنم معمولی کوچک پاکسان</t>
  </si>
  <si>
    <t>6260031000026</t>
  </si>
  <si>
    <t>شامپو صدر صحت متوسط</t>
  </si>
  <si>
    <t>شکر</t>
  </si>
  <si>
    <t>60000000000003</t>
  </si>
  <si>
    <t>شکلات عسلی</t>
  </si>
  <si>
    <t>6261178540284</t>
  </si>
  <si>
    <t>شیرین عسل چمک</t>
  </si>
  <si>
    <t>6260016340666</t>
  </si>
  <si>
    <t>شیشه پاک کن رایت</t>
  </si>
  <si>
    <t>6263936300758</t>
  </si>
  <si>
    <t>صابون فاکس</t>
  </si>
  <si>
    <t>6262616200135</t>
  </si>
  <si>
    <t>صابون گل نرگس بسته ای</t>
  </si>
  <si>
    <t>2161230261620003</t>
  </si>
  <si>
    <t>صابون گل نرگس تکی</t>
  </si>
  <si>
    <t>6261101313039</t>
  </si>
  <si>
    <t>صابون گلنار بسته ای</t>
  </si>
  <si>
    <t>صابون گلنار تکی</t>
  </si>
  <si>
    <t>60000000000031</t>
  </si>
  <si>
    <t>صابون مراغه ای</t>
  </si>
  <si>
    <t>60000000000043</t>
  </si>
  <si>
    <t>عدس</t>
  </si>
  <si>
    <t>6260591010381</t>
  </si>
  <si>
    <t>فراورده بیسکوئیت با کاکائو تانیان</t>
  </si>
  <si>
    <t>60000000000020</t>
  </si>
  <si>
    <t xml:space="preserve">فندک </t>
  </si>
  <si>
    <t>60000000000004</t>
  </si>
  <si>
    <t>قرص نعنا</t>
  </si>
  <si>
    <t>60000000000016</t>
  </si>
  <si>
    <t>قلنجان</t>
  </si>
  <si>
    <t>60000000000023</t>
  </si>
  <si>
    <t>قند</t>
  </si>
  <si>
    <t>6260360050358</t>
  </si>
  <si>
    <t>قهوه بدون شکر کوپا</t>
  </si>
  <si>
    <t>6260360000230</t>
  </si>
  <si>
    <t>قهوه شکلاتی کوپا</t>
  </si>
  <si>
    <t>6260360000254</t>
  </si>
  <si>
    <t>قهوه فندقی کوپا</t>
  </si>
  <si>
    <t>6260360000285</t>
  </si>
  <si>
    <t>قهوه کلاسیک کوپا</t>
  </si>
  <si>
    <t>6260623920886</t>
  </si>
  <si>
    <t>کاکائو ساعتی سوتاش</t>
  </si>
  <si>
    <t>1169910018400002</t>
  </si>
  <si>
    <t>کبریت بسته ای</t>
  </si>
  <si>
    <t>1169910018400001</t>
  </si>
  <si>
    <t>کبریت تکی</t>
  </si>
  <si>
    <t>6260501002598</t>
  </si>
  <si>
    <t>کراکر کنجد و زیره سیاه نادری</t>
  </si>
  <si>
    <t>6260501002635</t>
  </si>
  <si>
    <t>کراکر گوجه و ریحان نادری</t>
  </si>
  <si>
    <t>6260543502803</t>
  </si>
  <si>
    <t>کرانچی پنیری چاکلز</t>
  </si>
  <si>
    <t>6261847503244</t>
  </si>
  <si>
    <t>کرانچی پنیری چی توز</t>
  </si>
  <si>
    <t>6262477320355</t>
  </si>
  <si>
    <t>کرانچی فلفلی مزمز</t>
  </si>
  <si>
    <t>6260623900437</t>
  </si>
  <si>
    <t>کرم کاکائو سوتاش</t>
  </si>
  <si>
    <t>6262532300032</t>
  </si>
  <si>
    <t>کره حیوانی آذربایجانه</t>
  </si>
  <si>
    <t>6267588100018</t>
  </si>
  <si>
    <t>کره حیوانی دامبان</t>
  </si>
  <si>
    <t>6261886700925</t>
  </si>
  <si>
    <t>کره گیاهی حلوات</t>
  </si>
  <si>
    <t>کشمش</t>
  </si>
  <si>
    <t>60000000000032</t>
  </si>
  <si>
    <t>6260901100313</t>
  </si>
  <si>
    <t>کلوچه شارونا لاهیجان</t>
  </si>
  <si>
    <t>6260501002840</t>
  </si>
  <si>
    <t>کلوچه نارگیلی نادری</t>
  </si>
  <si>
    <t>کماج</t>
  </si>
  <si>
    <t>6260176817824</t>
  </si>
  <si>
    <t>کمپوت آناناس حلقه ای Charli</t>
  </si>
  <si>
    <t>6260477100472</t>
  </si>
  <si>
    <t>کمپوت گیلاس بهدیس</t>
  </si>
  <si>
    <t>6260942600025</t>
  </si>
  <si>
    <t>کمپوت گیلاس گلرخ</t>
  </si>
  <si>
    <t>6269352101368</t>
  </si>
  <si>
    <t>کنسرو بادمجان خوشبخت</t>
  </si>
  <si>
    <t>6269352100699</t>
  </si>
  <si>
    <t>کنسرو لوبیا چیتی خوشبخت</t>
  </si>
  <si>
    <t>6269352100675</t>
  </si>
  <si>
    <t>کنسرو لوبیا و قارچ خوشبخت</t>
  </si>
  <si>
    <t>6265499500040</t>
  </si>
  <si>
    <t>کنسرو ماهی تن ایلیکا</t>
  </si>
  <si>
    <t>6260501000044</t>
  </si>
  <si>
    <t>کیک با مغزی کرم کاکائو نادری</t>
  </si>
  <si>
    <t>6261583001233</t>
  </si>
  <si>
    <t>کیک کرمدار پرتقالی ایستارام</t>
  </si>
  <si>
    <t>6260543504562</t>
  </si>
  <si>
    <t>کیک لایه ای با کرم کاکائویی چاکلز</t>
  </si>
  <si>
    <t>6260501000594</t>
  </si>
  <si>
    <t>کیک لایه ای با کرم کاکائویی نادری</t>
  </si>
  <si>
    <t>6260501000433</t>
  </si>
  <si>
    <t>کیکی اسفنجی چیپس شکلات نادری</t>
  </si>
  <si>
    <t>6260501000440</t>
  </si>
  <si>
    <t>کیکی اسفنجی کنجدی نادری</t>
  </si>
  <si>
    <t>6268612401767</t>
  </si>
  <si>
    <t>گاز فندک بدون بو کاراپارسیان</t>
  </si>
  <si>
    <t>60000000000030</t>
  </si>
  <si>
    <t>گردو</t>
  </si>
  <si>
    <t>60000000000050</t>
  </si>
  <si>
    <t>گز</t>
  </si>
  <si>
    <t>گلاب مه گل</t>
  </si>
  <si>
    <t>8805634980955</t>
  </si>
  <si>
    <t>لاک غلطگیر duet</t>
  </si>
  <si>
    <t>60000000000046</t>
  </si>
  <si>
    <t>لپه</t>
  </si>
  <si>
    <t>60000000000001</t>
  </si>
  <si>
    <t>لواشک آلو بدون هسته</t>
  </si>
  <si>
    <t>60000000000015</t>
  </si>
  <si>
    <t>لواشک آلو هسته دار</t>
  </si>
  <si>
    <t>60000000000040</t>
  </si>
  <si>
    <t>لواشک سسی توماج</t>
  </si>
  <si>
    <t>01606220095780005</t>
  </si>
  <si>
    <t>لواشک سسی هفت باغ</t>
  </si>
  <si>
    <t>60000000000002</t>
  </si>
  <si>
    <t>لواشک موبایلی ترش نام</t>
  </si>
  <si>
    <t>60000000000007</t>
  </si>
  <si>
    <t>لواشک موبایلی جهش</t>
  </si>
  <si>
    <t>6262422100001</t>
  </si>
  <si>
    <t>لواشک میوه ای شورکام</t>
  </si>
  <si>
    <t>60000000000044</t>
  </si>
  <si>
    <t>لواشک میوه ای ملوسک</t>
  </si>
  <si>
    <t>60000000000047</t>
  </si>
  <si>
    <t>لوبیا</t>
  </si>
  <si>
    <t>6265714700026</t>
  </si>
  <si>
    <t>ماژیک Persia</t>
  </si>
  <si>
    <t>6954941740010</t>
  </si>
  <si>
    <t>ماژیک شارژی Corona</t>
  </si>
  <si>
    <t>60000000000052</t>
  </si>
  <si>
    <t>ماسک</t>
  </si>
  <si>
    <t>6262310800372</t>
  </si>
  <si>
    <t>مایع جرم گیر کوبار</t>
  </si>
  <si>
    <t>6261119030812</t>
  </si>
  <si>
    <t>مایع دستشویی بوژنه</t>
  </si>
  <si>
    <t>6262310800334</t>
  </si>
  <si>
    <t>مایع سفید کننده کوبار</t>
  </si>
  <si>
    <t>6261005081652</t>
  </si>
  <si>
    <t>مایع ظرفشویی لیمو آرن</t>
  </si>
  <si>
    <t>6263414003645</t>
  </si>
  <si>
    <t>مایع ظرفشویی لیمو+جوش شیرین تاژ</t>
  </si>
  <si>
    <t>6260297130024</t>
  </si>
  <si>
    <t>مداد قرمز ARYA</t>
  </si>
  <si>
    <t>6260297130017</t>
  </si>
  <si>
    <t>مداد مشکی ARYA</t>
  </si>
  <si>
    <t>6948031122169</t>
  </si>
  <si>
    <t>مسواک Fami Care</t>
  </si>
  <si>
    <t>6261670803245</t>
  </si>
  <si>
    <t>مسواک Hi Dent</t>
  </si>
  <si>
    <t>6262003400124</t>
  </si>
  <si>
    <t>مگنا</t>
  </si>
  <si>
    <t>6260543504289</t>
  </si>
  <si>
    <t>مولتی غلات عسل و خردل</t>
  </si>
  <si>
    <t>6260931400834</t>
  </si>
  <si>
    <t>مونتانا گلد</t>
  </si>
  <si>
    <t>6260931400315</t>
  </si>
  <si>
    <t>مونتانا مشکی</t>
  </si>
  <si>
    <t>815082008567</t>
  </si>
  <si>
    <t>موند تاج آبی</t>
  </si>
  <si>
    <t>815082008574</t>
  </si>
  <si>
    <t>موند تاج سفید</t>
  </si>
  <si>
    <t>815082008550</t>
  </si>
  <si>
    <t>موند تاج مشکی</t>
  </si>
  <si>
    <t>815082007980</t>
  </si>
  <si>
    <t>موند سفید</t>
  </si>
  <si>
    <t>8150820079594</t>
  </si>
  <si>
    <t>موند مشکی</t>
  </si>
  <si>
    <t>60000000000053</t>
  </si>
  <si>
    <t>نبات</t>
  </si>
  <si>
    <t>60000000000054</t>
  </si>
  <si>
    <t>نبات نعنایی</t>
  </si>
  <si>
    <t>60000000000055</t>
  </si>
  <si>
    <t>نخود</t>
  </si>
  <si>
    <t>6262958300012</t>
  </si>
  <si>
    <t>نسکافه Magush</t>
  </si>
  <si>
    <t>60000000000056</t>
  </si>
  <si>
    <t>نقل</t>
  </si>
  <si>
    <t>6260100601116</t>
  </si>
  <si>
    <t>نکتار آناناس سن ایچ</t>
  </si>
  <si>
    <t>6262181500128</t>
  </si>
  <si>
    <t>نمک بلوردانه</t>
  </si>
  <si>
    <t>6260114810092</t>
  </si>
  <si>
    <t>نوار بهداشتی بالدار پنبه ریز</t>
  </si>
  <si>
    <t>60000000000057</t>
  </si>
  <si>
    <t>نوار چسب</t>
  </si>
  <si>
    <t>6260313110498</t>
  </si>
  <si>
    <t>نوشابه اشی مشی زرد خانواده</t>
  </si>
  <si>
    <t>6260313110474</t>
  </si>
  <si>
    <t>نوشابه اشی مشی مشکی خانواده</t>
  </si>
  <si>
    <t>6260055843036</t>
  </si>
  <si>
    <t>نوشابه پپسی مشکی خانواده</t>
  </si>
  <si>
    <t>6260501700111</t>
  </si>
  <si>
    <t>نوشابه تسنیم مشکی خانواده</t>
  </si>
  <si>
    <t>6260022324025</t>
  </si>
  <si>
    <t>نوشابه زمزم مشکی خانواده</t>
  </si>
  <si>
    <t>6260079276032</t>
  </si>
  <si>
    <t>نوشابه شیشه ای زرد IRANADA</t>
  </si>
  <si>
    <t>6260079276025</t>
  </si>
  <si>
    <t>نوشابه شیشه ای مشکی IRANADA</t>
  </si>
  <si>
    <t>6260806400068</t>
  </si>
  <si>
    <t>نوشابه فانتا خانواده</t>
  </si>
  <si>
    <t>6261939930071</t>
  </si>
  <si>
    <t>نوشابه قوطی Stina پرتقال</t>
  </si>
  <si>
    <t>6261939930149</t>
  </si>
  <si>
    <t>نوشابه قوطی Stina سیب</t>
  </si>
  <si>
    <t>6260806400013</t>
  </si>
  <si>
    <t>نوشابه کوکا کولا کوچک</t>
  </si>
  <si>
    <t>6260806400020</t>
  </si>
  <si>
    <t>نوشابه کوکاکولا مشکی خانواده</t>
  </si>
  <si>
    <t>6260501700104</t>
  </si>
  <si>
    <t>نوشابه لاندا زرد خانواده</t>
  </si>
  <si>
    <t>60000000000058</t>
  </si>
  <si>
    <t>نوشمک</t>
  </si>
  <si>
    <t>6268666401201</t>
  </si>
  <si>
    <t>ویسدوم</t>
  </si>
  <si>
    <t>6268666401645</t>
  </si>
  <si>
    <t>ویسدوم مشکی</t>
  </si>
  <si>
    <t>6260170900515</t>
  </si>
  <si>
    <t>ویفر با مغزی پرتقال نادری</t>
  </si>
  <si>
    <t>6260124300453</t>
  </si>
  <si>
    <t>ویفر توت فرنگی Week</t>
  </si>
  <si>
    <t>6260170901031</t>
  </si>
  <si>
    <t>ویفر رول رول کاکائو نادری</t>
  </si>
  <si>
    <t>6260170900492</t>
  </si>
  <si>
    <t>ویفر رول رول نادری</t>
  </si>
  <si>
    <t>60000000000059</t>
  </si>
  <si>
    <t>ویفر فله</t>
  </si>
  <si>
    <t>6261178046762</t>
  </si>
  <si>
    <t>ویفر موزی لاویتا</t>
  </si>
  <si>
    <t>6260170900294</t>
  </si>
  <si>
    <t>ویفر موزی نادری</t>
  </si>
  <si>
    <t>6260308310070</t>
  </si>
  <si>
    <t>سس مایونز بزرگ سحر</t>
  </si>
  <si>
    <t>6260436200762</t>
  </si>
  <si>
    <t>کمپوت گلابی خرسند</t>
  </si>
  <si>
    <t>6260501000808</t>
  </si>
  <si>
    <t>بیسکوئیت کرمدار با آرد گندم نادری</t>
  </si>
  <si>
    <t>6260098400906</t>
  </si>
  <si>
    <t>کلوچه با مغز گردویی نادری</t>
  </si>
  <si>
    <t>6260098400913</t>
  </si>
  <si>
    <t>کلوچه با مغزی نارگیلی نادری</t>
  </si>
  <si>
    <t>6260053183974</t>
  </si>
  <si>
    <t>چیپس نمکی بزرگ چی توز</t>
  </si>
  <si>
    <t>6261310300035</t>
  </si>
  <si>
    <t>آبلیمو دلیل</t>
  </si>
  <si>
    <t>0165210131030003</t>
  </si>
  <si>
    <t>6264078400436</t>
  </si>
  <si>
    <t>بستنی کیم دومینو</t>
  </si>
  <si>
    <t>6261928100249</t>
  </si>
  <si>
    <t>بستنی زمستانی Ronak</t>
  </si>
  <si>
    <t>0133100192810041</t>
  </si>
  <si>
    <t>6260501001942</t>
  </si>
  <si>
    <t>دراژه شکلاتی شیری بانتی</t>
  </si>
  <si>
    <t>6260501002253</t>
  </si>
  <si>
    <t>6260100109346</t>
  </si>
  <si>
    <t>پفک نمکی بزرگ</t>
  </si>
  <si>
    <t>6260556513919</t>
  </si>
  <si>
    <t>خودکار قرمز الوند</t>
  </si>
  <si>
    <t>6263812801393</t>
  </si>
  <si>
    <t>چی توز موتوری خانواده</t>
  </si>
  <si>
    <t>0165220188320010</t>
  </si>
  <si>
    <t>سرکه زبیح</t>
  </si>
  <si>
    <t>6267778100255</t>
  </si>
  <si>
    <t>روغن مخلوط ورامین</t>
  </si>
  <si>
    <t>6261883201319</t>
  </si>
  <si>
    <t>6262753000278</t>
  </si>
  <si>
    <t>روغن 4 کیلو فامیلا</t>
  </si>
  <si>
    <t>6265826100134</t>
  </si>
  <si>
    <t>موند سفید (جدید)</t>
  </si>
  <si>
    <t>6262003402647</t>
  </si>
  <si>
    <t>جی وان مشکی</t>
  </si>
  <si>
    <t>6262003401961</t>
  </si>
  <si>
    <t>وینستون سیلور</t>
  </si>
  <si>
    <t>6269365700251</t>
  </si>
  <si>
    <t>بیستون سیلور</t>
  </si>
  <si>
    <t>6260303716501</t>
  </si>
  <si>
    <t>دفتر 40 برگ</t>
  </si>
  <si>
    <t>225822517542789</t>
  </si>
  <si>
    <t>فریزر نیلی</t>
  </si>
  <si>
    <t>1661983229391</t>
  </si>
  <si>
    <t>فریزر چسبی لیا</t>
  </si>
  <si>
    <t>َ016610021815001َ</t>
  </si>
  <si>
    <t>0160610198750002</t>
  </si>
  <si>
    <t>لواشک زردآلو رها</t>
  </si>
  <si>
    <t>6260268400170</t>
  </si>
  <si>
    <t>کرم کاکائو خوشنوا</t>
  </si>
  <si>
    <t>6234211201886</t>
  </si>
  <si>
    <t>لواشک رها</t>
  </si>
  <si>
    <t>6268666400556</t>
  </si>
  <si>
    <t>اچ دی توربو</t>
  </si>
  <si>
    <t>ویزدوم مشکی باریک</t>
  </si>
  <si>
    <t>6268666401553</t>
  </si>
  <si>
    <t>6268666401188</t>
  </si>
  <si>
    <t>ویزدوم سیلور</t>
  </si>
  <si>
    <t>6265826100844</t>
  </si>
  <si>
    <t>6265826100868</t>
  </si>
  <si>
    <t>6260079200914</t>
  </si>
  <si>
    <t>لیموناد بهنوش</t>
  </si>
  <si>
    <t>6261149146071</t>
  </si>
  <si>
    <t>دلستر سیب اسکای</t>
  </si>
  <si>
    <t>6261149146088</t>
  </si>
  <si>
    <t>دلستر انگور اسکای</t>
  </si>
  <si>
    <t>6261845300173</t>
  </si>
  <si>
    <t>6262412625057</t>
  </si>
  <si>
    <t>آب معدنی سهند</t>
  </si>
  <si>
    <t>6269988500269</t>
  </si>
  <si>
    <t>آبمیوه انبه شنتی</t>
  </si>
  <si>
    <t>6261149128138</t>
  </si>
  <si>
    <t>6261149128213</t>
  </si>
  <si>
    <t>شکلات کارا نانی تلخ</t>
  </si>
  <si>
    <t>شکلات گلدن نانی شیری</t>
  </si>
  <si>
    <t>6260111310106</t>
  </si>
  <si>
    <t>ساقه طلایی سبوس دار</t>
  </si>
  <si>
    <t>6260170901840</t>
  </si>
  <si>
    <t>6260170900522</t>
  </si>
  <si>
    <t>ویفر کاکائو نادری</t>
  </si>
  <si>
    <t>ویفر پرتقالی نادری</t>
  </si>
  <si>
    <t>6260170900461</t>
  </si>
  <si>
    <t>ویفر رول رول کاکائو</t>
  </si>
  <si>
    <t>6260138000011</t>
  </si>
  <si>
    <t>آدامس عکس دار</t>
  </si>
  <si>
    <t>6263414003652</t>
  </si>
  <si>
    <t>مایع ظرف شویی تاژ لیموسرکه</t>
  </si>
  <si>
    <t>6260151810017</t>
  </si>
  <si>
    <t>صابون حمام فاکس</t>
  </si>
  <si>
    <t>2282110065170121</t>
  </si>
  <si>
    <t>6260039016517</t>
  </si>
  <si>
    <t>لامپ 100 وات پارس</t>
  </si>
  <si>
    <t>لامپ 15 وات نارون</t>
  </si>
  <si>
    <t>6260201170054</t>
  </si>
  <si>
    <t>6260201102239</t>
  </si>
  <si>
    <t>6260201109535</t>
  </si>
  <si>
    <t>6260201109917</t>
  </si>
  <si>
    <t>6260201109320</t>
  </si>
  <si>
    <t>پودر ژله انگور</t>
  </si>
  <si>
    <t>پودر ژله موزی</t>
  </si>
  <si>
    <t>پودر ژله پرتقالی</t>
  </si>
  <si>
    <t>پودر ژله آلوئه ورا</t>
  </si>
  <si>
    <t>پودر ژله بلوبری</t>
  </si>
  <si>
    <t>6269988500207</t>
  </si>
  <si>
    <t>آبمیوه شنتی آناناس</t>
  </si>
  <si>
    <t>6260124301467</t>
  </si>
  <si>
    <t>سیب موز کریشنا</t>
  </si>
  <si>
    <t>6260313110467</t>
  </si>
  <si>
    <t>نوشابه کوچک اشی مشی</t>
  </si>
  <si>
    <t>0167220341590011</t>
  </si>
  <si>
    <t>6263415901599</t>
  </si>
  <si>
    <t>سویا ملوان</t>
  </si>
  <si>
    <t>2162314158000003</t>
  </si>
  <si>
    <t>موبر برتر</t>
  </si>
  <si>
    <t>2162314047070002</t>
  </si>
  <si>
    <t>پودر بهداشتی مطرح</t>
  </si>
  <si>
    <t>6260204501633</t>
  </si>
  <si>
    <t>جرم گیر راپیدو</t>
  </si>
  <si>
    <t>6262310800105</t>
  </si>
  <si>
    <t>مایع دستشویی رایش</t>
  </si>
  <si>
    <t>6261101640340</t>
  </si>
  <si>
    <t>خمیر دندان پونه</t>
  </si>
  <si>
    <t>6261670803870</t>
  </si>
  <si>
    <t>مسواک های دنت</t>
  </si>
  <si>
    <t>0160100153410010</t>
  </si>
  <si>
    <t>6260007463107</t>
  </si>
  <si>
    <t>شیر کم چرب پگاه</t>
  </si>
  <si>
    <t>6260007406487</t>
  </si>
  <si>
    <t>شیر کاکائو پگاه</t>
  </si>
  <si>
    <t>6260007406463</t>
  </si>
  <si>
    <t>شیر موز پگاه</t>
  </si>
  <si>
    <t>6260800900588</t>
  </si>
  <si>
    <t>6260800900618</t>
  </si>
  <si>
    <t>آبمیوه 1 لیتر آناناس تگ گل</t>
  </si>
  <si>
    <t>آبمیوه 1 لیتر هلو تگ گل</t>
  </si>
  <si>
    <t>6260166910313</t>
  </si>
  <si>
    <t>0160290016690013</t>
  </si>
  <si>
    <t>آبمیوه آناناس شط</t>
  </si>
  <si>
    <t>آبمیوه پرتقال شط</t>
  </si>
  <si>
    <t>آبمیوه بدون گازانبه شط</t>
  </si>
  <si>
    <t>6260010509878</t>
  </si>
  <si>
    <t>6263430600620</t>
  </si>
  <si>
    <t xml:space="preserve">شامپو بچه گلرنگ </t>
  </si>
  <si>
    <t>شامپو سیر پرژک</t>
  </si>
  <si>
    <t>6260750400497</t>
  </si>
  <si>
    <t>کنسرو لوبیا چیتی دونارسی</t>
  </si>
  <si>
    <t>6265499500101</t>
  </si>
  <si>
    <t>رب گوجه فرنگی ایلیکا</t>
  </si>
  <si>
    <t>0160100205050004</t>
  </si>
  <si>
    <t>6262050500297</t>
  </si>
  <si>
    <t>6260282200220</t>
  </si>
  <si>
    <t>کمپوت گیلاس سید</t>
  </si>
  <si>
    <t>کمپوت گیلاس دیموت</t>
  </si>
  <si>
    <t>6260750400510</t>
  </si>
  <si>
    <t>لوبیا چیتی با قارچ دونارسی</t>
  </si>
  <si>
    <t>6262684200778</t>
  </si>
  <si>
    <t>0161100268420079</t>
  </si>
  <si>
    <t>تن ماهی تام ناب</t>
  </si>
  <si>
    <t>6261106001399</t>
  </si>
  <si>
    <t>تن ماهی چین چین</t>
  </si>
  <si>
    <t>تن ماهی ایلیکا</t>
  </si>
  <si>
    <t>6260217600866</t>
  </si>
  <si>
    <t>کشک مایع تبرک</t>
  </si>
  <si>
    <t>6260037310006</t>
  </si>
  <si>
    <t>سس گوجه فرنگی بیجام</t>
  </si>
  <si>
    <t>6260308301467</t>
  </si>
  <si>
    <t>سس فرانسوی سحر</t>
  </si>
  <si>
    <t>6263057301481</t>
  </si>
  <si>
    <t>آبلیمو دست چین</t>
  </si>
  <si>
    <t>6260079201225</t>
  </si>
  <si>
    <t>نوشابه انرژی زا استارت</t>
  </si>
  <si>
    <t>6261422503003</t>
  </si>
  <si>
    <t>6261422503157</t>
  </si>
  <si>
    <t>رانی آناناس</t>
  </si>
  <si>
    <t>رانی انبه</t>
  </si>
  <si>
    <t>6260658200564</t>
  </si>
  <si>
    <t>خامه خضراء</t>
  </si>
  <si>
    <t>6260026101066</t>
  </si>
  <si>
    <t>چای شهرزاد</t>
  </si>
  <si>
    <t>6260140300338</t>
  </si>
  <si>
    <t>6260140300130</t>
  </si>
  <si>
    <t xml:space="preserve">دستکش صنعتی کاریار </t>
  </si>
  <si>
    <t>6260108300165</t>
  </si>
  <si>
    <t>روغن لادن 5 کیلو</t>
  </si>
  <si>
    <t>6260108399831</t>
  </si>
  <si>
    <t>روغن لادن 5 کیلو حلبی</t>
  </si>
  <si>
    <t>6260108300325</t>
  </si>
  <si>
    <t>روغن مایع آفتابگردان لادن</t>
  </si>
  <si>
    <t>0164200010050787</t>
  </si>
  <si>
    <t>6260100509023</t>
  </si>
  <si>
    <t>روغن 5 کیلو گلناز حلبی</t>
  </si>
  <si>
    <t>6260152300586</t>
  </si>
  <si>
    <t>روغن سرخ کردنی آفتاب</t>
  </si>
  <si>
    <t>6260152300593</t>
  </si>
  <si>
    <t>روغن آفتابگردان لادن</t>
  </si>
  <si>
    <t>6260108300271</t>
  </si>
  <si>
    <t>6262144200119</t>
  </si>
  <si>
    <t>0164200214420011</t>
  </si>
  <si>
    <t>روغن مایع کوچک نگین</t>
  </si>
  <si>
    <t>2161210023280106</t>
  </si>
  <si>
    <t>6261005083922</t>
  </si>
  <si>
    <t>6261005083984</t>
  </si>
  <si>
    <t>پودر رختشویی دی</t>
  </si>
  <si>
    <t>پودر رختشویی آرن</t>
  </si>
  <si>
    <t>6260232802689</t>
  </si>
  <si>
    <t>پودر ماشین لباسشویی آبان</t>
  </si>
  <si>
    <t>6261005083939</t>
  </si>
  <si>
    <t>پودر ماشین لباسشویی آرن</t>
  </si>
  <si>
    <t>6269771300359</t>
  </si>
  <si>
    <t>حشره کش تارومار</t>
  </si>
  <si>
    <t>6260142650523</t>
  </si>
  <si>
    <t>سرکه قزوین دبه</t>
  </si>
  <si>
    <t>2162250019170016</t>
  </si>
  <si>
    <t>6260191700767</t>
  </si>
  <si>
    <t>نوار بهداشتی لیدی ناز</t>
  </si>
  <si>
    <t>6263957100184</t>
  </si>
  <si>
    <t>2162250395710003</t>
  </si>
  <si>
    <t>نوار بهداشتی مای لیدی</t>
  </si>
  <si>
    <t>نوار بهداشتی گلشن</t>
  </si>
  <si>
    <t>2162410261960062</t>
  </si>
  <si>
    <t>6262619600727</t>
  </si>
  <si>
    <t>دستمال آدریانا 3 عددی</t>
  </si>
  <si>
    <t>2112265425554</t>
  </si>
  <si>
    <t>دستمال پرفکت</t>
  </si>
  <si>
    <t>2162410115680001</t>
  </si>
  <si>
    <t>6269447802224</t>
  </si>
  <si>
    <t>چسب زخم مدیفکس</t>
  </si>
  <si>
    <t>cigar</t>
  </si>
  <si>
    <t>Non Barcodes</t>
  </si>
  <si>
    <t>kilos</t>
  </si>
  <si>
    <t>packages</t>
  </si>
  <si>
    <t>Torsh</t>
  </si>
  <si>
    <t>1100</t>
  </si>
  <si>
    <t>1200</t>
  </si>
  <si>
    <t>1300</t>
  </si>
  <si>
    <t>1400</t>
  </si>
  <si>
    <t>1500</t>
  </si>
  <si>
    <t>1600</t>
  </si>
  <si>
    <t>1700</t>
  </si>
  <si>
    <t>1800</t>
  </si>
  <si>
    <t>تخمه کیلو 150</t>
  </si>
  <si>
    <t>1900</t>
  </si>
  <si>
    <t>تخمه کیلو 100</t>
  </si>
  <si>
    <t>تخمه کیلو 120</t>
  </si>
  <si>
    <t>2000</t>
  </si>
  <si>
    <t>2100</t>
  </si>
  <si>
    <t>2200</t>
  </si>
  <si>
    <t>جوراب</t>
  </si>
  <si>
    <t>2300</t>
  </si>
  <si>
    <t>2400</t>
  </si>
  <si>
    <t>2500</t>
  </si>
  <si>
    <t>ویفر کیلو 80</t>
  </si>
  <si>
    <t>ویفر کیلو 100</t>
  </si>
  <si>
    <t>2700</t>
  </si>
  <si>
    <t xml:space="preserve">بیسکوییت فله </t>
  </si>
  <si>
    <t>2800</t>
  </si>
  <si>
    <t>آبنبات</t>
  </si>
  <si>
    <t>2900</t>
  </si>
  <si>
    <t>2600</t>
  </si>
  <si>
    <t>ذغال فله</t>
  </si>
  <si>
    <t>3000</t>
  </si>
  <si>
    <t>3100</t>
  </si>
  <si>
    <t>3200</t>
  </si>
  <si>
    <t>3300</t>
  </si>
  <si>
    <t>3400</t>
  </si>
  <si>
    <t>3500</t>
  </si>
  <si>
    <t>دستکش استاد</t>
  </si>
  <si>
    <t>دستکش تکنسین</t>
  </si>
  <si>
    <t>کاغذ کادو</t>
  </si>
  <si>
    <t>3600</t>
  </si>
  <si>
    <t>3700</t>
  </si>
  <si>
    <t>لیمو خشک</t>
  </si>
  <si>
    <t>3800</t>
  </si>
  <si>
    <t>3900</t>
  </si>
  <si>
    <t>4000</t>
  </si>
  <si>
    <t xml:space="preserve">لوبیا کیلویی </t>
  </si>
  <si>
    <t>4100</t>
  </si>
  <si>
    <t>6260308304437</t>
  </si>
  <si>
    <t>سس کچاب سحر</t>
  </si>
  <si>
    <t>6260308304444</t>
  </si>
  <si>
    <t>سس تند سحر</t>
  </si>
  <si>
    <t>6262484608583</t>
  </si>
  <si>
    <t>6262484608644</t>
  </si>
  <si>
    <t>6262484608651</t>
  </si>
  <si>
    <t>6262484608613</t>
  </si>
  <si>
    <t>6262484608606</t>
  </si>
  <si>
    <t>آبنبات چوبی آناناس</t>
  </si>
  <si>
    <t>آبنبات چوبی آلبالو</t>
  </si>
  <si>
    <t>آبنبات چوبی بلوبری</t>
  </si>
  <si>
    <t>آبنبات چوبی کولا</t>
  </si>
  <si>
    <t>آبنبات چوبی</t>
  </si>
  <si>
    <t>آبنبات چوبی سیب</t>
  </si>
  <si>
    <t>4200</t>
  </si>
  <si>
    <t>6262050500211</t>
  </si>
  <si>
    <t>کمپوت گیلاس آقاجون</t>
  </si>
  <si>
    <t>0160100205050003</t>
  </si>
  <si>
    <t>6262916600253</t>
  </si>
  <si>
    <t>دوغ خوشگوار</t>
  </si>
  <si>
    <t>6269100604011</t>
  </si>
  <si>
    <t>0162810910060001</t>
  </si>
  <si>
    <t xml:space="preserve">پشمک زعفرانی </t>
  </si>
  <si>
    <t>0162810910060002</t>
  </si>
  <si>
    <t>6269100604028</t>
  </si>
  <si>
    <t>پشمک کاکائو</t>
  </si>
  <si>
    <t>inventory list</t>
  </si>
  <si>
    <t>6261005000257</t>
  </si>
  <si>
    <t>مایع ظرف شویی دی لیمو</t>
  </si>
  <si>
    <t>6261847503275</t>
  </si>
  <si>
    <t>کرانچی فلفلی چی توز</t>
  </si>
  <si>
    <t>6260575900769</t>
  </si>
  <si>
    <t>چیپس کچاب کوچک باتو</t>
  </si>
  <si>
    <t>6263812800334</t>
  </si>
  <si>
    <t>چی پلت سرکه ای</t>
  </si>
  <si>
    <t>6261178014334</t>
  </si>
  <si>
    <t>کراکر نمکی فوج</t>
  </si>
  <si>
    <t>6260575904309</t>
  </si>
  <si>
    <t>چیپس کچاب متوسط باتو</t>
  </si>
  <si>
    <t>6260002926331</t>
  </si>
  <si>
    <t>چیپس سرکه ای مزمز</t>
  </si>
  <si>
    <t>6260575904279</t>
  </si>
  <si>
    <t>چیپس سرکه ای متوسط باتو</t>
  </si>
  <si>
    <t>6260575904330</t>
  </si>
  <si>
    <t>چیپس مرغ سوخاری باتو</t>
  </si>
  <si>
    <t>6260575904323</t>
  </si>
  <si>
    <t>چیپس فلفلی باتو</t>
  </si>
  <si>
    <t>6260002926348</t>
  </si>
  <si>
    <t>چیپس کچاپ مزمز</t>
  </si>
  <si>
    <t>6260002931205</t>
  </si>
  <si>
    <t>چیپس ماست و ریحان مزمز</t>
  </si>
  <si>
    <t>0162900054350626</t>
  </si>
  <si>
    <t>6260404400200</t>
  </si>
  <si>
    <t>شیرینی وثوق پرتقالی</t>
  </si>
  <si>
    <t>6260469900509</t>
  </si>
  <si>
    <t>کیک موزی بابانا</t>
  </si>
  <si>
    <t>0162510046990021</t>
  </si>
  <si>
    <t>6260176502508</t>
  </si>
  <si>
    <t>0162300017650160</t>
  </si>
  <si>
    <t xml:space="preserve">شیرین عسل </t>
  </si>
  <si>
    <t>6260469900110</t>
  </si>
  <si>
    <t>0162510046990122</t>
  </si>
  <si>
    <t>6260918500175</t>
  </si>
  <si>
    <t>کلوچه گردویی لاهیجان</t>
  </si>
  <si>
    <t>کیک بابا 2</t>
  </si>
  <si>
    <t>6260918500182</t>
  </si>
  <si>
    <t>کلوچه نارگیلی لاهیجان</t>
  </si>
  <si>
    <t>6260103100012</t>
  </si>
  <si>
    <t>کیک صبحانه نان رضوی</t>
  </si>
  <si>
    <t>کیک اسفنجی کنجدی</t>
  </si>
  <si>
    <t>کیک اسفنجی کاکائو</t>
  </si>
  <si>
    <t>کیک کاکائویی نادری</t>
  </si>
  <si>
    <t>6262477911157</t>
  </si>
  <si>
    <t>بادام زمینی سرکه ای مزمز</t>
  </si>
  <si>
    <t>6262477911973</t>
  </si>
  <si>
    <t>مغز تخمه سرکه ای</t>
  </si>
  <si>
    <t>6261149065129</t>
  </si>
  <si>
    <t>پاستیل قلبی</t>
  </si>
  <si>
    <t>6261149065112</t>
  </si>
  <si>
    <t>پاستیل خرسی</t>
  </si>
  <si>
    <t>پاستیل نوشابه ای</t>
  </si>
  <si>
    <t>6261149065136</t>
  </si>
  <si>
    <t>پاستیل پروانه ای</t>
  </si>
  <si>
    <t>6261149065679</t>
  </si>
  <si>
    <t>پاستیل انار</t>
  </si>
  <si>
    <t>6264078411593</t>
  </si>
  <si>
    <t>بستنی چوبی کاکائو الدورادو</t>
  </si>
  <si>
    <t>6261163400197</t>
  </si>
  <si>
    <t>6264078411616</t>
  </si>
  <si>
    <t>6264078408067</t>
  </si>
  <si>
    <t>6264078409163</t>
  </si>
  <si>
    <t>بستنی کیمی الدورادو</t>
  </si>
  <si>
    <t>بستنی حصیری الدورادو</t>
  </si>
  <si>
    <t>بستنی توت فرنگی الدورادو</t>
  </si>
  <si>
    <t>6264078411609</t>
  </si>
  <si>
    <t>بستنی موزی الدورادو</t>
  </si>
  <si>
    <t>6264078402324</t>
  </si>
  <si>
    <t>بستنی فالوده دومینو</t>
  </si>
  <si>
    <t>6260522306576</t>
  </si>
  <si>
    <t>بستنی هندوانه</t>
  </si>
  <si>
    <t>0133100116340027</t>
  </si>
  <si>
    <t>6261163400289</t>
  </si>
  <si>
    <t>بستنی قیفی شکلاتی چشمه چین</t>
  </si>
  <si>
    <t>6264078411395</t>
  </si>
  <si>
    <t>بستنی بیسکویتی دومینو</t>
  </si>
  <si>
    <t>6260522304046</t>
  </si>
  <si>
    <t>بستنی کاکائو دایتی</t>
  </si>
  <si>
    <t>6263812801249</t>
  </si>
  <si>
    <t>چی توز طلایی متوسط</t>
  </si>
  <si>
    <t>6260053158989</t>
  </si>
  <si>
    <t>چی توز حلقه ای</t>
  </si>
  <si>
    <t>6263812801232</t>
  </si>
  <si>
    <t>چی توز موتوری بزرگ</t>
  </si>
  <si>
    <t>اسفند کیلویی</t>
  </si>
  <si>
    <t>4300</t>
  </si>
  <si>
    <t>4400</t>
  </si>
  <si>
    <t>4500</t>
  </si>
  <si>
    <t>4600</t>
  </si>
  <si>
    <t>6260053186241</t>
  </si>
  <si>
    <t>چی توز چرخی</t>
  </si>
  <si>
    <t>6265663103961</t>
  </si>
  <si>
    <t>0162900054350822</t>
  </si>
  <si>
    <t>6260543505668</t>
  </si>
  <si>
    <t>پفیلا کوچک هاگلز</t>
  </si>
  <si>
    <t>پفیلا کچاپ لینا</t>
  </si>
  <si>
    <t>6261178411010</t>
  </si>
  <si>
    <t>پفک نمکی توپوق</t>
  </si>
  <si>
    <t>چی توز طلایی بزرگ</t>
  </si>
  <si>
    <t>6263812801225</t>
  </si>
  <si>
    <t>چی توز موتوری</t>
  </si>
  <si>
    <t>6260142610053</t>
  </si>
  <si>
    <t>سرکه قزوین بطری</t>
  </si>
  <si>
    <t>سرکه مهستان قزوین</t>
  </si>
  <si>
    <t>4700</t>
  </si>
  <si>
    <t>6269948100638</t>
  </si>
  <si>
    <t>6262690600074</t>
  </si>
  <si>
    <t>0162230039610011</t>
  </si>
  <si>
    <t>6260396100560</t>
  </si>
  <si>
    <t>کاکائو فندقی</t>
  </si>
  <si>
    <t>نسکافه تیم</t>
  </si>
  <si>
    <t>ژله نارسودا</t>
  </si>
  <si>
    <t>6260567198587</t>
  </si>
  <si>
    <t>0162230056710017</t>
  </si>
  <si>
    <t>کاکائو به آمد</t>
  </si>
  <si>
    <t>6260623920510</t>
  </si>
  <si>
    <t>کاکائو قاشقی</t>
  </si>
  <si>
    <t>ژله 2000</t>
  </si>
  <si>
    <t>لواشک رز طلا</t>
  </si>
  <si>
    <t>آدامس سکه ای</t>
  </si>
  <si>
    <t>5400</t>
  </si>
  <si>
    <t>5500</t>
  </si>
  <si>
    <t xml:space="preserve">بادکنک بزرگ </t>
  </si>
  <si>
    <t>بادکنک کوچک</t>
  </si>
  <si>
    <t>4800</t>
  </si>
  <si>
    <t>4900</t>
  </si>
  <si>
    <t>5000</t>
  </si>
  <si>
    <t>5100</t>
  </si>
  <si>
    <t>5200</t>
  </si>
  <si>
    <t>5300</t>
  </si>
  <si>
    <t>5600</t>
  </si>
  <si>
    <t>موند تاج نقره ای</t>
  </si>
  <si>
    <t>کاکائو 2000</t>
  </si>
  <si>
    <t>چای فله 700</t>
  </si>
  <si>
    <t>چای فله 750</t>
  </si>
  <si>
    <t>شکلات فله 150</t>
  </si>
  <si>
    <t>قند کیلویی</t>
  </si>
  <si>
    <t>کمپوت گلابی مقدس</t>
  </si>
  <si>
    <t>2162314158000002</t>
  </si>
  <si>
    <t>6261580000017</t>
  </si>
  <si>
    <t>موبر بدون بو برتر</t>
  </si>
  <si>
    <t>آدامس تتو اوینا</t>
  </si>
  <si>
    <t>5800</t>
  </si>
  <si>
    <t>6263380901228</t>
  </si>
  <si>
    <t>ژله آماد نوبل</t>
  </si>
  <si>
    <t>6260748000371</t>
  </si>
  <si>
    <t>کراکر کاکائو افشنگ</t>
  </si>
  <si>
    <t>6260138002138</t>
  </si>
  <si>
    <t>6260138002169</t>
  </si>
  <si>
    <t>0162240047420017</t>
  </si>
  <si>
    <t>آدامس توت فرنگی اوینا</t>
  </si>
  <si>
    <t>آدامس موزی فز</t>
  </si>
  <si>
    <t>آدمس نعنایی</t>
  </si>
  <si>
    <t>6261149074541</t>
  </si>
  <si>
    <t>آدامس نعنایی smile</t>
  </si>
  <si>
    <t>6260474216800</t>
  </si>
  <si>
    <t>آدامس بادکنکی میوه ای</t>
  </si>
  <si>
    <t>0160610318690001</t>
  </si>
  <si>
    <t>6263186900012</t>
  </si>
  <si>
    <t>آلوچه چند میوه رخسار</t>
  </si>
  <si>
    <t>5900</t>
  </si>
  <si>
    <t>لواشک سسی</t>
  </si>
  <si>
    <t>6260109281555</t>
  </si>
  <si>
    <t>کرم کاکائو آیدین</t>
  </si>
  <si>
    <t>6260000700025</t>
  </si>
  <si>
    <t>6260138003319</t>
  </si>
  <si>
    <t>6260000700032</t>
  </si>
  <si>
    <t>باتری قلمی موبیت</t>
  </si>
  <si>
    <t>باتری نیم قلمی موربیت</t>
  </si>
  <si>
    <t>اسمارتیس sweet day</t>
  </si>
  <si>
    <t>6000</t>
  </si>
  <si>
    <t>6100</t>
  </si>
  <si>
    <t>کبریت ستاره ممتاز</t>
  </si>
  <si>
    <t>8902061156820</t>
  </si>
  <si>
    <t>خودکار کلارو</t>
  </si>
  <si>
    <t>6266264000147</t>
  </si>
  <si>
    <t>خودکار کیان</t>
  </si>
  <si>
    <t>6260000771995</t>
  </si>
  <si>
    <t>6263380900658</t>
  </si>
  <si>
    <t>وازلین لیوزیا</t>
  </si>
  <si>
    <t>ژله آماده ژیلنا</t>
  </si>
  <si>
    <t>6200</t>
  </si>
  <si>
    <t>6300</t>
  </si>
  <si>
    <t>چسب 5 سانتی</t>
  </si>
  <si>
    <t>پودر مورچه نابود</t>
  </si>
  <si>
    <t>6400</t>
  </si>
  <si>
    <t>6260124301429</t>
  </si>
  <si>
    <t>ساندیس انگور کریشنا</t>
  </si>
  <si>
    <t>پفک طلایی خانواده نادری</t>
  </si>
  <si>
    <t>6500</t>
  </si>
  <si>
    <t>6269893300695</t>
  </si>
  <si>
    <t>6600</t>
  </si>
  <si>
    <t>6700</t>
  </si>
  <si>
    <t>6800</t>
  </si>
  <si>
    <t>زاج</t>
  </si>
  <si>
    <t>6900</t>
  </si>
  <si>
    <t>7000</t>
  </si>
  <si>
    <t>6262532300070</t>
  </si>
  <si>
    <t>6260004276212</t>
  </si>
  <si>
    <t>کره گیاهی صبح داران</t>
  </si>
  <si>
    <t>کره گیاهی آذربایجان</t>
  </si>
  <si>
    <t>کره حیوانی کیله چو</t>
  </si>
  <si>
    <t>6261149146101</t>
  </si>
  <si>
    <t>6260079200839</t>
  </si>
  <si>
    <t>دلستر انار اسکای</t>
  </si>
  <si>
    <t>0162810216710010</t>
  </si>
  <si>
    <t>6262167101516</t>
  </si>
  <si>
    <t>6261178017779</t>
  </si>
  <si>
    <t>حلوا شکری سیرنگ</t>
  </si>
  <si>
    <t>بیسکوئیت موزی آناتا</t>
  </si>
  <si>
    <t>PURCHASE</t>
  </si>
  <si>
    <t>6265826100028</t>
  </si>
  <si>
    <t>6262003401954</t>
  </si>
  <si>
    <t>وینستون آبی</t>
  </si>
  <si>
    <t>6268167900012</t>
  </si>
  <si>
    <t>6268167900050</t>
  </si>
  <si>
    <t>اسکار مشکی</t>
  </si>
  <si>
    <t>اسکار نقره ای</t>
  </si>
  <si>
    <t>6260002666725</t>
  </si>
  <si>
    <t>6261149190210</t>
  </si>
  <si>
    <t>ماکارونی شیما</t>
  </si>
  <si>
    <t>6269948100201</t>
  </si>
  <si>
    <t>شکلات داغ تیم</t>
  </si>
  <si>
    <t>6260533000067</t>
  </si>
  <si>
    <t>کمپوت گیلاس بهشاد</t>
  </si>
  <si>
    <t>0133200064440006</t>
  </si>
  <si>
    <t>6260161504913</t>
  </si>
  <si>
    <t>6260161504906</t>
  </si>
  <si>
    <t>شیر فافا</t>
  </si>
  <si>
    <t>شیر پرچرب کاله</t>
  </si>
  <si>
    <t>شیر کم چرب کاله</t>
  </si>
  <si>
    <t>6260644400497</t>
  </si>
  <si>
    <t>6260166910306</t>
  </si>
  <si>
    <t>0160290016690012</t>
  </si>
  <si>
    <t>0160310066200020</t>
  </si>
  <si>
    <t xml:space="preserve">آبمیوه سیب موز </t>
  </si>
  <si>
    <t>آبمیوه هلو</t>
  </si>
  <si>
    <t>6260161506450</t>
  </si>
  <si>
    <t>خامه کاله</t>
  </si>
  <si>
    <t>6260152300579</t>
  </si>
  <si>
    <t xml:space="preserve">روغن مایع آفتاب </t>
  </si>
  <si>
    <t>6260308310278</t>
  </si>
  <si>
    <t>6260138002121</t>
  </si>
  <si>
    <t xml:space="preserve">آدامس موزی </t>
  </si>
  <si>
    <t>5700</t>
  </si>
  <si>
    <t>شکلا فله 120</t>
  </si>
  <si>
    <t>7100</t>
  </si>
  <si>
    <t>دستکش ساق بلند تیراژه</t>
  </si>
  <si>
    <t>6265663104265</t>
  </si>
  <si>
    <t>برنجک لینا</t>
  </si>
  <si>
    <t>شیرین عسل</t>
  </si>
  <si>
    <t>کیک گردویی لاهیجان</t>
  </si>
  <si>
    <t>0162900054350642</t>
  </si>
  <si>
    <t>6260053185640</t>
  </si>
  <si>
    <t>6263812801386</t>
  </si>
  <si>
    <t>چی توز خلالی</t>
  </si>
  <si>
    <t>6260053186333</t>
  </si>
  <si>
    <t>چی پلت کچاپ</t>
  </si>
  <si>
    <t>6261149188453</t>
  </si>
  <si>
    <t>کیک وانیلی شیرین عسل</t>
  </si>
  <si>
    <t>6260000252135</t>
  </si>
  <si>
    <t>6260001171039</t>
  </si>
  <si>
    <t>6260001171022</t>
  </si>
  <si>
    <t>6260001171008</t>
  </si>
  <si>
    <t>نودالیت تکی</t>
  </si>
  <si>
    <t xml:space="preserve">نودالیت بسته ای </t>
  </si>
  <si>
    <t>0133100116340003</t>
  </si>
  <si>
    <t>6260063201057</t>
  </si>
  <si>
    <t>6260063298149</t>
  </si>
  <si>
    <t>6264078410992</t>
  </si>
  <si>
    <t>6260063295841</t>
  </si>
  <si>
    <t>بستنی حصیری محلی</t>
  </si>
  <si>
    <t>گز بستنی</t>
  </si>
  <si>
    <t>کیمی دو مینو</t>
  </si>
  <si>
    <t>6261163400036</t>
  </si>
  <si>
    <t>معجون پاک</t>
  </si>
  <si>
    <t>مینی پاکنوم</t>
  </si>
  <si>
    <t>قیفی استارلا</t>
  </si>
  <si>
    <t>6260522300031</t>
  </si>
  <si>
    <t>بستنی موزی دایتی</t>
  </si>
  <si>
    <t>7200</t>
  </si>
  <si>
    <t xml:space="preserve">بستنی لیوانی </t>
  </si>
  <si>
    <t>7300</t>
  </si>
  <si>
    <t>بستنی حصیری</t>
  </si>
  <si>
    <t>6264078409156</t>
  </si>
  <si>
    <t>بستنی عروسکی الدورادو</t>
  </si>
  <si>
    <t>6260063214255</t>
  </si>
  <si>
    <t>کیمی استارلا</t>
  </si>
  <si>
    <t>6260063225435</t>
  </si>
  <si>
    <t>لیوانی پاک</t>
  </si>
  <si>
    <t>لیوانی سنتی</t>
  </si>
  <si>
    <t>6260063202139</t>
  </si>
  <si>
    <t>ژله 4000</t>
  </si>
  <si>
    <t>6260138002787</t>
  </si>
  <si>
    <t>6260474216404</t>
  </si>
  <si>
    <t>7400</t>
  </si>
  <si>
    <t>باسلوق</t>
  </si>
  <si>
    <t>7500</t>
  </si>
  <si>
    <t>آدامس شیک</t>
  </si>
  <si>
    <t>6260501700753</t>
  </si>
  <si>
    <t>6261149146125</t>
  </si>
  <si>
    <t>دلستر پرتقال اسکای</t>
  </si>
  <si>
    <t>7600</t>
  </si>
  <si>
    <t>دستکش معمولی</t>
  </si>
  <si>
    <t>6260002926362</t>
  </si>
  <si>
    <t>چیپس لیمویی مزمز</t>
  </si>
  <si>
    <t>8458412400024</t>
  </si>
  <si>
    <t>6260488532156</t>
  </si>
  <si>
    <t>6261101140215</t>
  </si>
  <si>
    <t>وایتکس برف</t>
  </si>
  <si>
    <t>0160290222820002</t>
  </si>
  <si>
    <t>ساندیس سیب موز نارونه</t>
  </si>
  <si>
    <t>6260308300460</t>
  </si>
  <si>
    <t>سس مایونز کوچک سحر</t>
  </si>
  <si>
    <t>6260000685506</t>
  </si>
  <si>
    <t>خرما کبکاب</t>
  </si>
  <si>
    <t>6262723900058</t>
  </si>
  <si>
    <t>خرما کیلویی</t>
  </si>
  <si>
    <t>6260000897275</t>
  </si>
  <si>
    <t>روغن مایع پانا</t>
  </si>
  <si>
    <t>6261422504543</t>
  </si>
  <si>
    <t>نوشابه انرژی زا فایر</t>
  </si>
  <si>
    <t>6261178574029</t>
  </si>
  <si>
    <t>دایجستیو کاکائویی</t>
  </si>
  <si>
    <t>6261149098806</t>
  </si>
  <si>
    <t>خامه شیرین عسل</t>
  </si>
  <si>
    <t>6260501003052</t>
  </si>
  <si>
    <t>کرمدار نارگیل نادری</t>
  </si>
  <si>
    <t>6262036200272</t>
  </si>
  <si>
    <t>لواشک نی نی سون</t>
  </si>
  <si>
    <t>6261149067529</t>
  </si>
  <si>
    <t>پاستیل میوه ای شیرین عسل</t>
  </si>
  <si>
    <t>6260002926379</t>
  </si>
  <si>
    <t>چیپس پیاز جعفری مزمز</t>
  </si>
  <si>
    <t>0162900054350821</t>
  </si>
  <si>
    <t>6260543505682</t>
  </si>
  <si>
    <t>پفیلا پنیری هاگلز</t>
  </si>
  <si>
    <t>6260079211316</t>
  </si>
  <si>
    <t>دلستر یک ونیم لیمو</t>
  </si>
  <si>
    <t>6260079211323</t>
  </si>
  <si>
    <t>دلستر یک ونیم آناناس</t>
  </si>
  <si>
    <t>6260079211293</t>
  </si>
  <si>
    <t>دلستر یک و نیم استوایی</t>
  </si>
  <si>
    <t>6260079277138</t>
  </si>
  <si>
    <t>لیموناد خانواده بهنوش</t>
  </si>
  <si>
    <t>6265554201035</t>
  </si>
  <si>
    <t>6269007000015</t>
  </si>
  <si>
    <t>برنج مژده</t>
  </si>
  <si>
    <t>برنج جشنواره</t>
  </si>
  <si>
    <t>7700</t>
  </si>
  <si>
    <t>زولبیا و بامیه</t>
  </si>
  <si>
    <t>6260737001631</t>
  </si>
  <si>
    <t>شیر آویسا</t>
  </si>
  <si>
    <t>انرژی زا فایر</t>
  </si>
  <si>
    <t>2162410115680007</t>
  </si>
  <si>
    <t>6261156800089</t>
  </si>
  <si>
    <t>دستمال کاغذی روشا</t>
  </si>
  <si>
    <t>آبمیوه سیب موز بدون گاز نارونه</t>
  </si>
  <si>
    <t>6260000252166</t>
  </si>
  <si>
    <t>نودلیت مرغ</t>
  </si>
  <si>
    <t>7800</t>
  </si>
  <si>
    <t>فندک</t>
  </si>
  <si>
    <t>6260575902312</t>
  </si>
  <si>
    <t>چیپس سرکه کوچک</t>
  </si>
  <si>
    <t>6260575902404</t>
  </si>
  <si>
    <t>چیپس گوجه کوچک</t>
  </si>
  <si>
    <t>6260543505347</t>
  </si>
  <si>
    <t>0162900054350801</t>
  </si>
  <si>
    <t>پفیلا سرکه ای</t>
  </si>
  <si>
    <t>SALE</t>
  </si>
  <si>
    <t>6261149146231</t>
  </si>
  <si>
    <t>دلستر گلابی</t>
  </si>
  <si>
    <t>7900</t>
  </si>
  <si>
    <t>دارچین</t>
  </si>
  <si>
    <t>8936036022933</t>
  </si>
  <si>
    <t>آدامس موزی اصل</t>
  </si>
  <si>
    <t>6260567101723</t>
  </si>
  <si>
    <t>آی آی به آمد</t>
  </si>
  <si>
    <t>کرانچی پنیری</t>
  </si>
  <si>
    <t>626184750344</t>
  </si>
  <si>
    <t>6261149024867</t>
  </si>
  <si>
    <t>کیک کاکائویی آلبینا</t>
  </si>
  <si>
    <t>طلایی چی توز</t>
  </si>
  <si>
    <t>6261204000164</t>
  </si>
  <si>
    <t>بهمن کوچک</t>
  </si>
  <si>
    <t>6265826100837</t>
  </si>
  <si>
    <t>6262532300087</t>
  </si>
  <si>
    <t>کره گیاهی صد گرمی آذر بایجان</t>
  </si>
  <si>
    <t>6269948100195</t>
  </si>
  <si>
    <t xml:space="preserve">کاپوچینو </t>
  </si>
  <si>
    <t>6260501700746</t>
  </si>
  <si>
    <t>6260501700722</t>
  </si>
  <si>
    <t>دلستر لیمو لاندا</t>
  </si>
  <si>
    <t>دلستر استوایی آکوالند</t>
  </si>
  <si>
    <t>دلستر هلو لاندا</t>
  </si>
  <si>
    <t>احمد کرمی حاج اصغر</t>
  </si>
  <si>
    <t>مهران جهانی</t>
  </si>
  <si>
    <t>paid</t>
  </si>
  <si>
    <t>علی عمو</t>
  </si>
  <si>
    <t>رسولی سرای</t>
  </si>
  <si>
    <t>حمید جهانی محمود</t>
  </si>
  <si>
    <t>مهدی رزاقی</t>
  </si>
  <si>
    <t>600000000008</t>
  </si>
  <si>
    <t>6265663104715</t>
  </si>
  <si>
    <t>برنجک متوسط</t>
  </si>
  <si>
    <t>6260543505620</t>
  </si>
  <si>
    <t>0162900054350816</t>
  </si>
  <si>
    <t>چاکلز پنیر و سبزیجات</t>
  </si>
  <si>
    <t>6260543504791</t>
  </si>
  <si>
    <t>0162900054350751</t>
  </si>
  <si>
    <t>چاکلز جادویی</t>
  </si>
  <si>
    <t>6262036200012</t>
  </si>
  <si>
    <t>لواشک شلاقی</t>
  </si>
  <si>
    <t xml:space="preserve">مهدی رستمی </t>
  </si>
  <si>
    <t>چی توز طلایی</t>
  </si>
  <si>
    <t>6260170902281</t>
  </si>
  <si>
    <t>ویفر خانواده نادری</t>
  </si>
  <si>
    <t>آقای محمدی</t>
  </si>
  <si>
    <t>6260000252128</t>
  </si>
  <si>
    <t>نودلیت گوشت</t>
  </si>
  <si>
    <t>6260000252142</t>
  </si>
  <si>
    <t>نودلیت تند</t>
  </si>
  <si>
    <t>2582525885273</t>
  </si>
  <si>
    <t>فریزر چسبی خاتون</t>
  </si>
  <si>
    <t>رستم زابلی</t>
  </si>
  <si>
    <t>محمد رشیدی رازعلی</t>
  </si>
  <si>
    <t>حاج آقا</t>
  </si>
  <si>
    <t>مهدی کرمی محمد آقا</t>
  </si>
  <si>
    <t>معصومه رزاقی</t>
  </si>
  <si>
    <t>*رزاقی*</t>
  </si>
  <si>
    <t>Enter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</si>
</sst>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[$-409]m/d/yy\ h:mm\ AM/PM;@"/>
    <numFmt numFmtId="165" formatCode="_(* #,##0.000_);_(* \(#,##0.000\);_(* &quot;-&quot;???_);_(@_)"/>
    <numFmt numFmtId="166" formatCode="[$-160429]dd/mm/yy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30"/>
      <color theme="1"/>
      <name val="Arial Rounded MT Bold"/>
      <family val="2"/>
    </font>
    <font>
      <sz val="11"/>
      <color theme="3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B Nazanin"/>
      <charset val="178"/>
    </font>
    <font>
      <b/>
      <sz val="11"/>
      <color theme="1"/>
      <name val="B Nazanin"/>
      <charset val="178"/>
    </font>
    <font>
      <b/>
      <sz val="14"/>
      <color theme="1"/>
      <name val="B Nazanin"/>
      <charset val="178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theme="1"/>
      <name val="B Nazanin"/>
      <charset val="178"/>
    </font>
    <font>
      <sz val="14"/>
      <color theme="1"/>
      <name val="B Nazanin"/>
      <charset val="178"/>
    </font>
    <font>
      <sz val="8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gradientFill degree="90">
        <stop position="0">
          <color theme="4" tint="0.80001220740379042"/>
        </stop>
        <stop position="1">
          <color theme="4" tint="0.59999389629810485"/>
        </stop>
      </gradientFill>
    </fill>
    <fill>
      <gradientFill degree="90">
        <stop position="0">
          <color theme="0" tint="-5.0965910824915313E-2"/>
        </stop>
        <stop position="1">
          <color theme="0" tint="-0.1490218817712943"/>
        </stop>
      </gradientFill>
    </fill>
    <fill>
      <patternFill patternType="solid">
        <fgColor theme="3" tint="0.399975585192419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gradientFill degree="270">
        <stop position="0">
          <color theme="3" tint="0.59999389629810485"/>
        </stop>
        <stop position="1">
          <color theme="3" tint="0.40000610370189521"/>
        </stop>
      </gradientFill>
    </fill>
    <fill>
      <gradientFill degree="9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rgb="FF92D050"/>
        <bgColor indexed="64"/>
      </patternFill>
    </fill>
    <fill>
      <gradientFill degree="90">
        <stop position="0">
          <color theme="7" tint="0.40000610370189521"/>
        </stop>
        <stop position="1">
          <color theme="7" tint="0.59999389629810485"/>
        </stop>
      </gradientFill>
    </fill>
    <fill>
      <gradientFill degree="90">
        <stop position="0">
          <color theme="7" tint="0.59999389629810485"/>
        </stop>
        <stop position="1">
          <color theme="7" tint="0.80001220740379042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gradientFill degree="90">
        <stop position="0">
          <color theme="0" tint="-0.25098422193060094"/>
        </stop>
        <stop position="1">
          <color theme="0" tint="-0.1490218817712943"/>
        </stop>
      </gradientFill>
    </fill>
    <fill>
      <gradientFill degree="90">
        <stop position="0">
          <color theme="0" tint="-0.1490218817712943"/>
        </stop>
        <stop position="1">
          <color theme="0" tint="-5.0965910824915313E-2"/>
        </stop>
      </gradientFill>
    </fill>
    <fill>
      <patternFill patternType="solid">
        <fgColor rgb="FF4BD0FF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 tint="-0.24994659260841701"/>
      </left>
      <right style="thin">
        <color indexed="64"/>
      </right>
      <top style="thin">
        <color indexed="64"/>
      </top>
      <bottom style="medium">
        <color theme="3" tint="-0.24994659260841701"/>
      </bottom>
      <diagonal/>
    </border>
    <border>
      <left/>
      <right/>
      <top/>
      <bottom style="thin">
        <color indexed="64"/>
      </bottom>
      <diagonal/>
    </border>
    <border>
      <left style="medium">
        <color theme="3" tint="-0.24994659260841701"/>
      </left>
      <right/>
      <top style="medium">
        <color theme="3" tint="-0.24994659260841701"/>
      </top>
      <bottom style="thin">
        <color indexed="64"/>
      </bottom>
      <diagonal/>
    </border>
    <border>
      <left/>
      <right/>
      <top style="medium">
        <color theme="3" tint="-0.24994659260841701"/>
      </top>
      <bottom style="thin">
        <color indexed="64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7">
    <xf numFmtId="0" fontId="0" fillId="0" borderId="0" xfId="0"/>
    <xf numFmtId="0" fontId="0" fillId="3" borderId="0" xfId="0" applyFill="1"/>
    <xf numFmtId="0" fontId="0" fillId="4" borderId="0" xfId="0" applyFill="1"/>
    <xf numFmtId="0" fontId="0" fillId="6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16" borderId="1" xfId="0" applyFill="1" applyBorder="1"/>
    <xf numFmtId="0" fontId="0" fillId="18" borderId="1" xfId="0" applyFill="1" applyBorder="1"/>
    <xf numFmtId="0" fontId="0" fillId="20" borderId="0" xfId="0" applyFill="1" applyAlignment="1">
      <alignment horizontal="center"/>
    </xf>
    <xf numFmtId="0" fontId="0" fillId="19" borderId="1" xfId="0" applyFill="1" applyBorder="1"/>
    <xf numFmtId="0" fontId="2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center"/>
    </xf>
    <xf numFmtId="0" fontId="0" fillId="8" borderId="11" xfId="0" applyFill="1" applyBorder="1"/>
    <xf numFmtId="0" fontId="0" fillId="23" borderId="1" xfId="0" applyFill="1" applyBorder="1"/>
    <xf numFmtId="0" fontId="0" fillId="23" borderId="1" xfId="0" applyFill="1" applyBorder="1" applyAlignment="1">
      <alignment horizontal="center"/>
    </xf>
    <xf numFmtId="22" fontId="0" fillId="0" borderId="0" xfId="0" applyNumberFormat="1"/>
    <xf numFmtId="0" fontId="0" fillId="4" borderId="7" xfId="0" applyFill="1" applyBorder="1"/>
    <xf numFmtId="0" fontId="3" fillId="4" borderId="1" xfId="0" applyFont="1" applyFill="1" applyBorder="1" applyAlignment="1">
      <alignment horizontal="center"/>
    </xf>
    <xf numFmtId="0" fontId="3" fillId="26" borderId="1" xfId="0" applyFont="1" applyFill="1" applyBorder="1" applyAlignment="1">
      <alignment horizontal="center"/>
    </xf>
    <xf numFmtId="0" fontId="0" fillId="0" borderId="1" xfId="0" applyBorder="1"/>
    <xf numFmtId="0" fontId="0" fillId="0" borderId="10" xfId="0" applyBorder="1"/>
    <xf numFmtId="0" fontId="7" fillId="2" borderId="0" xfId="0" applyFont="1" applyFill="1"/>
    <xf numFmtId="0" fontId="0" fillId="4" borderId="0" xfId="0" applyFill="1" applyAlignment="1">
      <alignment horizontal="left"/>
    </xf>
    <xf numFmtId="0" fontId="0" fillId="8" borderId="1" xfId="0" applyFill="1" applyBorder="1"/>
    <xf numFmtId="0" fontId="0" fillId="8" borderId="3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0" borderId="1" xfId="0" applyBorder="1" applyAlignment="1">
      <alignment horizontal="left"/>
    </xf>
    <xf numFmtId="10" fontId="0" fillId="0" borderId="1" xfId="2" applyNumberFormat="1" applyFont="1" applyBorder="1" applyAlignment="1">
      <alignment horizontal="left"/>
    </xf>
    <xf numFmtId="0" fontId="0" fillId="7" borderId="1" xfId="0" applyFill="1" applyBorder="1"/>
    <xf numFmtId="0" fontId="0" fillId="18" borderId="1" xfId="0" applyFill="1" applyBorder="1" applyAlignment="1">
      <alignment horizontal="center"/>
    </xf>
    <xf numFmtId="7" fontId="0" fillId="0" borderId="0" xfId="0" applyNumberFormat="1"/>
    <xf numFmtId="0" fontId="3" fillId="23" borderId="1" xfId="0" applyFont="1" applyFill="1" applyBorder="1" applyAlignment="1">
      <alignment horizontal="center"/>
    </xf>
    <xf numFmtId="0" fontId="0" fillId="28" borderId="1" xfId="0" applyFill="1" applyBorder="1"/>
    <xf numFmtId="0" fontId="5" fillId="4" borderId="2" xfId="0" applyFont="1" applyFill="1" applyBorder="1" applyAlignment="1">
      <alignment horizontal="left"/>
    </xf>
    <xf numFmtId="0" fontId="5" fillId="4" borderId="0" xfId="0" applyFont="1" applyFill="1" applyAlignment="1">
      <alignment horizontal="left"/>
    </xf>
    <xf numFmtId="0" fontId="5" fillId="4" borderId="0" xfId="0" applyFont="1" applyFill="1" applyAlignment="1">
      <alignment horizontal="center"/>
    </xf>
    <xf numFmtId="0" fontId="0" fillId="5" borderId="1" xfId="0" applyFill="1" applyBorder="1" applyAlignment="1">
      <alignment horizontal="left" vertical="center"/>
    </xf>
    <xf numFmtId="0" fontId="0" fillId="4" borderId="1" xfId="0" applyFill="1" applyBorder="1"/>
    <xf numFmtId="0" fontId="0" fillId="5" borderId="1" xfId="0" applyFill="1" applyBorder="1" applyAlignment="1">
      <alignment horizontal="left" vertical="center" indent="1"/>
    </xf>
    <xf numFmtId="0" fontId="3" fillId="13" borderId="8" xfId="0" applyFont="1" applyFill="1" applyBorder="1" applyAlignment="1">
      <alignment horizontal="center"/>
    </xf>
    <xf numFmtId="0" fontId="3" fillId="13" borderId="9" xfId="0" applyFont="1" applyFill="1" applyBorder="1" applyAlignment="1">
      <alignment horizontal="center"/>
    </xf>
    <xf numFmtId="0" fontId="0" fillId="24" borderId="1" xfId="0" applyFill="1" applyBorder="1"/>
    <xf numFmtId="0" fontId="0" fillId="24" borderId="1" xfId="0" applyFill="1" applyBorder="1" applyAlignment="1">
      <alignment horizontal="left"/>
    </xf>
    <xf numFmtId="7" fontId="5" fillId="4" borderId="0" xfId="0" applyNumberFormat="1" applyFont="1" applyFill="1" applyAlignment="1">
      <alignment horizontal="left"/>
    </xf>
    <xf numFmtId="0" fontId="0" fillId="27" borderId="0" xfId="0" applyFill="1"/>
    <xf numFmtId="0" fontId="0" fillId="2" borderId="0" xfId="0" applyFill="1"/>
    <xf numFmtId="0" fontId="0" fillId="3" borderId="0" xfId="0" applyFill="1" applyAlignment="1">
      <alignment horizontal="right" vertical="center"/>
    </xf>
    <xf numFmtId="164" fontId="0" fillId="4" borderId="0" xfId="0" applyNumberFormat="1" applyFill="1"/>
    <xf numFmtId="0" fontId="3" fillId="30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right"/>
    </xf>
    <xf numFmtId="0" fontId="0" fillId="4" borderId="1" xfId="0" applyFill="1" applyBorder="1" applyAlignment="1">
      <alignment horizontal="right" vertical="center"/>
    </xf>
    <xf numFmtId="22" fontId="0" fillId="4" borderId="2" xfId="0" applyNumberFormat="1" applyFill="1" applyBorder="1"/>
    <xf numFmtId="0" fontId="8" fillId="4" borderId="0" xfId="0" applyFont="1" applyFill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0" fillId="31" borderId="1" xfId="0" applyFill="1" applyBorder="1"/>
    <xf numFmtId="49" fontId="0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 vertical="center"/>
    </xf>
    <xf numFmtId="49" fontId="0" fillId="0" borderId="0" xfId="0" applyNumberFormat="1" applyFont="1" applyBorder="1" applyAlignment="1">
      <alignment horizontal="center" vertical="center"/>
    </xf>
    <xf numFmtId="49" fontId="9" fillId="0" borderId="0" xfId="0" applyNumberFormat="1" applyFont="1" applyAlignment="1">
      <alignment horizontal="right" vertical="center" wrapText="1"/>
    </xf>
    <xf numFmtId="49" fontId="9" fillId="0" borderId="0" xfId="0" applyNumberFormat="1" applyFont="1" applyAlignment="1">
      <alignment horizontal="right"/>
    </xf>
    <xf numFmtId="49" fontId="9" fillId="0" borderId="0" xfId="0" applyNumberFormat="1" applyFont="1" applyBorder="1" applyAlignment="1">
      <alignment horizontal="right" vertical="center"/>
    </xf>
    <xf numFmtId="0" fontId="9" fillId="0" borderId="0" xfId="0" applyFont="1" applyAlignment="1">
      <alignment horizontal="right" wrapText="1"/>
    </xf>
    <xf numFmtId="165" fontId="0" fillId="0" borderId="0" xfId="1" applyNumberFormat="1" applyFont="1"/>
    <xf numFmtId="49" fontId="0" fillId="0" borderId="0" xfId="0" applyNumberFormat="1"/>
    <xf numFmtId="165" fontId="0" fillId="28" borderId="1" xfId="1" applyNumberFormat="1" applyFont="1" applyFill="1" applyBorder="1"/>
    <xf numFmtId="165" fontId="10" fillId="4" borderId="0" xfId="0" applyNumberFormat="1" applyFont="1" applyFill="1"/>
    <xf numFmtId="165" fontId="10" fillId="0" borderId="0" xfId="0" applyNumberFormat="1" applyFont="1"/>
    <xf numFmtId="0" fontId="10" fillId="0" borderId="0" xfId="0" applyFont="1"/>
    <xf numFmtId="0" fontId="11" fillId="4" borderId="0" xfId="0" applyFont="1" applyFill="1" applyAlignment="1">
      <alignment horizontal="center"/>
    </xf>
    <xf numFmtId="165" fontId="11" fillId="4" borderId="0" xfId="1" applyNumberFormat="1" applyFont="1" applyFill="1" applyBorder="1" applyAlignment="1">
      <alignment horizontal="left"/>
    </xf>
    <xf numFmtId="165" fontId="11" fillId="4" borderId="0" xfId="1" applyNumberFormat="1" applyFont="1" applyFill="1" applyBorder="1"/>
    <xf numFmtId="165" fontId="11" fillId="4" borderId="0" xfId="0" applyNumberFormat="1" applyFont="1" applyFill="1"/>
    <xf numFmtId="0" fontId="11" fillId="4" borderId="0" xfId="0" applyFont="1" applyFill="1"/>
    <xf numFmtId="0" fontId="13" fillId="4" borderId="0" xfId="0" applyFont="1" applyFill="1"/>
    <xf numFmtId="165" fontId="12" fillId="4" borderId="0" xfId="0" applyNumberFormat="1" applyFont="1" applyFill="1"/>
    <xf numFmtId="165" fontId="11" fillId="4" borderId="2" xfId="1" applyNumberFormat="1" applyFont="1" applyFill="1" applyBorder="1" applyAlignment="1">
      <alignment horizontal="left"/>
    </xf>
    <xf numFmtId="9" fontId="11" fillId="4" borderId="2" xfId="2" applyFont="1" applyFill="1" applyBorder="1" applyAlignment="1">
      <alignment horizontal="right"/>
    </xf>
    <xf numFmtId="9" fontId="11" fillId="4" borderId="0" xfId="2" applyFont="1" applyFill="1" applyBorder="1" applyAlignment="1">
      <alignment horizontal="right"/>
    </xf>
    <xf numFmtId="0" fontId="11" fillId="4" borderId="5" xfId="0" applyFont="1" applyFill="1" applyBorder="1" applyAlignment="1">
      <alignment horizontal="left"/>
    </xf>
    <xf numFmtId="0" fontId="11" fillId="4" borderId="7" xfId="0" applyFont="1" applyFill="1" applyBorder="1" applyAlignment="1">
      <alignment horizontal="left"/>
    </xf>
    <xf numFmtId="0" fontId="11" fillId="4" borderId="7" xfId="0" applyFont="1" applyFill="1" applyBorder="1"/>
    <xf numFmtId="0" fontId="14" fillId="4" borderId="3" xfId="0" applyFont="1" applyFill="1" applyBorder="1" applyAlignment="1">
      <alignment vertic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165" fontId="16" fillId="28" borderId="1" xfId="1" applyNumberFormat="1" applyFont="1" applyFill="1" applyBorder="1"/>
    <xf numFmtId="0" fontId="11" fillId="0" borderId="0" xfId="0" applyFont="1" applyAlignment="1">
      <alignment horizontal="center"/>
    </xf>
    <xf numFmtId="1" fontId="17" fillId="4" borderId="4" xfId="0" applyNumberFormat="1" applyFont="1" applyFill="1" applyBorder="1" applyAlignment="1">
      <alignment horizontal="left" vertical="top"/>
    </xf>
    <xf numFmtId="1" fontId="17" fillId="4" borderId="6" xfId="0" applyNumberFormat="1" applyFont="1" applyFill="1" applyBorder="1" applyAlignment="1">
      <alignment horizontal="left" vertical="top"/>
    </xf>
    <xf numFmtId="1" fontId="17" fillId="4" borderId="6" xfId="0" applyNumberFormat="1" applyFont="1" applyFill="1" applyBorder="1" applyAlignment="1">
      <alignment vertical="top"/>
    </xf>
    <xf numFmtId="1" fontId="17" fillId="4" borderId="0" xfId="0" applyNumberFormat="1" applyFont="1" applyFill="1" applyAlignment="1">
      <alignment vertical="top"/>
    </xf>
    <xf numFmtId="49" fontId="17" fillId="4" borderId="0" xfId="0" applyNumberFormat="1" applyFont="1" applyFill="1" applyAlignment="1">
      <alignment vertical="top"/>
    </xf>
    <xf numFmtId="165" fontId="0" fillId="0" borderId="0" xfId="0" applyNumberFormat="1"/>
    <xf numFmtId="0" fontId="7" fillId="2" borderId="0" xfId="0" applyFont="1" applyFill="1" applyAlignment="1">
      <alignment horizontal="center"/>
    </xf>
    <xf numFmtId="0" fontId="0" fillId="0" borderId="8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8" borderId="11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2" fillId="21" borderId="14" xfId="0" applyFont="1" applyFill="1" applyBorder="1" applyAlignment="1">
      <alignment horizontal="center"/>
    </xf>
    <xf numFmtId="0" fontId="2" fillId="21" borderId="15" xfId="0" applyFont="1" applyFill="1" applyBorder="1" applyAlignment="1">
      <alignment horizontal="center"/>
    </xf>
    <xf numFmtId="0" fontId="2" fillId="21" borderId="16" xfId="0" applyFont="1" applyFill="1" applyBorder="1" applyAlignment="1">
      <alignment horizontal="center"/>
    </xf>
    <xf numFmtId="0" fontId="2" fillId="21" borderId="4" xfId="0" applyFont="1" applyFill="1" applyBorder="1" applyAlignment="1">
      <alignment horizontal="center"/>
    </xf>
    <xf numFmtId="0" fontId="2" fillId="21" borderId="2" xfId="0" applyFont="1" applyFill="1" applyBorder="1" applyAlignment="1">
      <alignment horizontal="center"/>
    </xf>
    <xf numFmtId="0" fontId="2" fillId="21" borderId="5" xfId="0" applyFont="1" applyFill="1" applyBorder="1" applyAlignment="1">
      <alignment horizontal="center"/>
    </xf>
    <xf numFmtId="0" fontId="3" fillId="29" borderId="1" xfId="0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wrapText="1"/>
    </xf>
    <xf numFmtId="0" fontId="0" fillId="4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right"/>
    </xf>
    <xf numFmtId="166" fontId="15" fillId="4" borderId="1" xfId="0" applyNumberFormat="1" applyFont="1" applyFill="1" applyBorder="1" applyAlignment="1">
      <alignment horizontal="left"/>
    </xf>
    <xf numFmtId="0" fontId="3" fillId="22" borderId="0" xfId="0" applyFont="1" applyFill="1" applyAlignment="1">
      <alignment horizontal="center"/>
    </xf>
    <xf numFmtId="0" fontId="3" fillId="22" borderId="1" xfId="0" applyFont="1" applyFill="1" applyBorder="1" applyAlignment="1">
      <alignment horizontal="center"/>
    </xf>
    <xf numFmtId="0" fontId="0" fillId="17" borderId="0" xfId="0" applyFill="1" applyAlignment="1">
      <alignment horizontal="center"/>
    </xf>
    <xf numFmtId="0" fontId="3" fillId="11" borderId="13" xfId="0" applyFont="1" applyFill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3" fillId="7" borderId="8" xfId="0" applyFont="1" applyFill="1" applyBorder="1" applyAlignment="1">
      <alignment horizontal="center"/>
    </xf>
    <xf numFmtId="0" fontId="3" fillId="7" borderId="9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3" fillId="25" borderId="1" xfId="0" applyFont="1" applyFill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10">
    <dxf>
      <fill>
        <patternFill>
          <bgColor rgb="FFF4F7FA"/>
        </patternFill>
      </fill>
      <border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auto="1"/>
          <bgColor rgb="FFECF2F8"/>
        </patternFill>
      </fill>
      <border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0"/>
        </patternFill>
      </fill>
    </dxf>
    <dxf>
      <fill>
        <gradientFill degree="90">
          <stop position="0">
            <color rgb="FFF7F7F7"/>
          </stop>
          <stop position="1">
            <color rgb="FFF7F7F7"/>
          </stop>
        </gradient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3" tint="-0.25098422193060094"/>
          </stop>
        </gradientFill>
      </fill>
    </dxf>
    <dxf>
      <font>
        <b val="0"/>
        <i/>
        <color theme="0" tint="-0.34998626667073579"/>
      </font>
    </dxf>
    <dxf>
      <fill>
        <patternFill>
          <bgColor theme="0"/>
        </patternFill>
      </fill>
    </dxf>
    <dxf>
      <fill>
        <gradientFill degree="90">
          <stop position="0">
            <color rgb="FFF7F7F7"/>
          </stop>
          <stop position="1">
            <color rgb="FFF7F7F7"/>
          </stop>
        </gradient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1EAF3"/>
        </patternFill>
      </fill>
    </dxf>
  </dxfs>
  <tableStyles count="0" defaultTableStyle="TableStyleMedium2" defaultPivotStyle="PivotStyleLight16"/>
  <colors>
    <mruColors>
      <color rgb="FF4BD0FF"/>
      <color rgb="FFF4F7FA"/>
      <color rgb="FFECF2F8"/>
      <color rgb="FFE1EAF3"/>
      <color rgb="FFF7F7F7"/>
      <color rgb="FFCCD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533400</xdr:colOff>
      <xdr:row>1</xdr:row>
      <xdr:rowOff>166687</xdr:rowOff>
    </xdr:from>
    <xdr:to>
      <xdr:col>9</xdr:col>
      <xdr:colOff>129540</xdr:colOff>
      <xdr:row>1</xdr:row>
      <xdr:rowOff>395287</xdr:rowOff>
    </xdr:to>
    <xdr:sp macro="[0]!SalesPurchase_Toggle" textlink="">
      <xdr:nvSpPr>
        <xdr:cNvPr id="67" name="ToggleBack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5353050" y="728662"/>
          <a:ext cx="548640" cy="228600"/>
        </a:xfrm>
        <a:prstGeom prst="rect">
          <a:avLst/>
        </a:prstGeom>
        <a:solidFill>
          <a:schemeClr val="bg1"/>
        </a:solidFill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1</xdr:row>
      <xdr:rowOff>166687</xdr:rowOff>
    </xdr:from>
    <xdr:to>
      <xdr:col>8</xdr:col>
      <xdr:colOff>683895</xdr:colOff>
      <xdr:row>1</xdr:row>
      <xdr:rowOff>395287</xdr:rowOff>
    </xdr:to>
    <xdr:sp macro="[0]!SalesPurchase_Toggle" textlink="">
      <xdr:nvSpPr>
        <xdr:cNvPr id="463" name="ToggleSwitch">
          <a:extLst>
            <a:ext uri="{FF2B5EF4-FFF2-40B4-BE49-F238E27FC236}">
              <a16:creationId xmlns:a16="http://schemas.microsoft.com/office/drawing/2014/main" id="{00000000-0008-0000-0100-0000CF010000}"/>
            </a:ext>
          </a:extLst>
        </xdr:cNvPr>
        <xdr:cNvSpPr/>
      </xdr:nvSpPr>
      <xdr:spPr>
        <a:xfrm>
          <a:off x="2924175" y="728662"/>
          <a:ext cx="150495" cy="228600"/>
        </a:xfrm>
        <a:prstGeom prst="rect">
          <a:avLst/>
        </a:prstGeom>
        <a:solidFill>
          <a:srgbClr val="0070C0"/>
        </a:solidFill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47625</xdr:colOff>
      <xdr:row>1</xdr:row>
      <xdr:rowOff>166687</xdr:rowOff>
    </xdr:from>
    <xdr:to>
      <xdr:col>8</xdr:col>
      <xdr:colOff>504825</xdr:colOff>
      <xdr:row>1</xdr:row>
      <xdr:rowOff>395287</xdr:rowOff>
    </xdr:to>
    <xdr:sp macro="" textlink="">
      <xdr:nvSpPr>
        <xdr:cNvPr id="464" name="TextBox 463">
          <a:extLst>
            <a:ext uri="{FF2B5EF4-FFF2-40B4-BE49-F238E27FC236}">
              <a16:creationId xmlns:a16="http://schemas.microsoft.com/office/drawing/2014/main" id="{00000000-0008-0000-0100-0000D0010000}"/>
            </a:ext>
          </a:extLst>
        </xdr:cNvPr>
        <xdr:cNvSpPr txBox="1"/>
      </xdr:nvSpPr>
      <xdr:spPr>
        <a:xfrm>
          <a:off x="4867275" y="728662"/>
          <a:ext cx="4572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" tIns="0" rIns="18288" bIns="0" rtlCol="0" anchor="ctr"/>
        <a:lstStyle/>
        <a:p>
          <a:pPr algn="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SALE</a:t>
          </a:r>
        </a:p>
      </xdr:txBody>
    </xdr:sp>
    <xdr:clientData/>
  </xdr:twoCellAnchor>
  <xdr:twoCellAnchor>
    <xdr:from>
      <xdr:col>9</xdr:col>
      <xdr:colOff>142875</xdr:colOff>
      <xdr:row>1</xdr:row>
      <xdr:rowOff>166687</xdr:rowOff>
    </xdr:from>
    <xdr:to>
      <xdr:col>9</xdr:col>
      <xdr:colOff>920115</xdr:colOff>
      <xdr:row>1</xdr:row>
      <xdr:rowOff>395287</xdr:rowOff>
    </xdr:to>
    <xdr:sp macro="" textlink="">
      <xdr:nvSpPr>
        <xdr:cNvPr id="465" name="TextBox 464">
          <a:extLst>
            <a:ext uri="{FF2B5EF4-FFF2-40B4-BE49-F238E27FC236}">
              <a16:creationId xmlns:a16="http://schemas.microsoft.com/office/drawing/2014/main" id="{00000000-0008-0000-0100-0000D1010000}"/>
            </a:ext>
          </a:extLst>
        </xdr:cNvPr>
        <xdr:cNvSpPr txBox="1"/>
      </xdr:nvSpPr>
      <xdr:spPr>
        <a:xfrm>
          <a:off x="5915025" y="728662"/>
          <a:ext cx="77724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" tIns="0" rIns="18288" bIns="0" rtlCol="0" anchor="ctr"/>
        <a:lstStyle/>
        <a:p>
          <a:pPr algn="l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PURCHASE</a:t>
          </a:r>
        </a:p>
      </xdr:txBody>
    </xdr:sp>
    <xdr:clientData/>
  </xdr:twoCellAnchor>
  <xdr:twoCellAnchor>
    <xdr:from>
      <xdr:col>9</xdr:col>
      <xdr:colOff>1133475</xdr:colOff>
      <xdr:row>1</xdr:row>
      <xdr:rowOff>100011</xdr:rowOff>
    </xdr:from>
    <xdr:to>
      <xdr:col>12</xdr:col>
      <xdr:colOff>276225</xdr:colOff>
      <xdr:row>1</xdr:row>
      <xdr:rowOff>447674</xdr:rowOff>
    </xdr:to>
    <xdr:sp macro="" textlink="$B$1">
      <xdr:nvSpPr>
        <xdr:cNvPr id="466" name="TextBox 465">
          <a:extLst>
            <a:ext uri="{FF2B5EF4-FFF2-40B4-BE49-F238E27FC236}">
              <a16:creationId xmlns:a16="http://schemas.microsoft.com/office/drawing/2014/main" id="{00000000-0008-0000-0100-0000D2010000}"/>
            </a:ext>
          </a:extLst>
        </xdr:cNvPr>
        <xdr:cNvSpPr txBox="1"/>
      </xdr:nvSpPr>
      <xdr:spPr>
        <a:xfrm>
          <a:off x="6905625" y="661986"/>
          <a:ext cx="1962150" cy="3476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" tIns="0" rIns="18288" bIns="0" rtlCol="0" anchor="ctr"/>
        <a:lstStyle/>
        <a:p>
          <a:pPr algn="ctr"/>
          <a:fld id="{3A1C7FC0-6890-4241-A12C-4A956DF9DFAF}" type="TxLink">
            <a:rPr lang="en-US" sz="2500" b="0" i="0" u="none" strike="noStrike">
              <a:solidFill>
                <a:schemeClr val="tx2">
                  <a:lumMod val="75000"/>
                </a:schemeClr>
              </a:solidFill>
              <a:latin typeface="Arial Rounded MT Bold" panose="020F0704030504030204" pitchFamily="34" charset="0"/>
              <a:cs typeface="Calibri"/>
            </a:rPr>
            <a:pPr algn="ctr"/>
            <a:t>SALE</a:t>
          </a:fld>
          <a:endParaRPr lang="en-US" sz="2500" b="1" i="0" u="none" strike="noStrike">
            <a:solidFill>
              <a:schemeClr val="tx2">
                <a:lumMod val="75000"/>
              </a:schemeClr>
            </a:solidFill>
            <a:latin typeface="Arial Rounded MT Bold" panose="020F0704030504030204" pitchFamily="34" charset="0"/>
            <a:cs typeface="Calibri"/>
          </a:endParaRP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731520</xdr:colOff>
      <xdr:row>0</xdr:row>
      <xdr:rowOff>0</xdr:rowOff>
    </xdr:to>
    <xdr:sp macro="" textlink="">
      <xdr:nvSpPr>
        <xdr:cNvPr id="474" name="Rectangle 473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SpPr/>
      </xdr:nvSpPr>
      <xdr:spPr>
        <a:xfrm>
          <a:off x="11934825" y="0"/>
          <a:ext cx="731520" cy="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100" b="0"/>
            <a:t>Logout</a:t>
          </a:r>
        </a:p>
      </xdr:txBody>
    </xdr:sp>
    <xdr:clientData/>
  </xdr:twoCellAnchor>
  <xdr:twoCellAnchor editAs="oneCell">
    <xdr:from>
      <xdr:col>18</xdr:col>
      <xdr:colOff>0</xdr:colOff>
      <xdr:row>1</xdr:row>
      <xdr:rowOff>128586</xdr:rowOff>
    </xdr:from>
    <xdr:to>
      <xdr:col>18</xdr:col>
      <xdr:colOff>685800</xdr:colOff>
      <xdr:row>3</xdr:row>
      <xdr:rowOff>42861</xdr:rowOff>
    </xdr:to>
    <xdr:grpSp>
      <xdr:nvGrpSpPr>
        <xdr:cNvPr id="97" name="CategoryGrp2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GrpSpPr/>
      </xdr:nvGrpSpPr>
      <xdr:grpSpPr>
        <a:xfrm>
          <a:off x="9696450" y="693736"/>
          <a:ext cx="685800" cy="688975"/>
          <a:chOff x="11603355" y="690561"/>
          <a:chExt cx="685800" cy="685800"/>
        </a:xfrm>
      </xdr:grpSpPr>
      <xdr:sp macro="[0]!POS_LoadSubCategory" textlink="Admin!E4">
        <xdr:nvSpPr>
          <xdr:cNvPr id="423" name="Category2">
            <a:extLst>
              <a:ext uri="{FF2B5EF4-FFF2-40B4-BE49-F238E27FC236}">
                <a16:creationId xmlns:a16="http://schemas.microsoft.com/office/drawing/2014/main" id="{00000000-0008-0000-0100-0000A7010000}"/>
              </a:ext>
            </a:extLst>
          </xdr:cNvPr>
          <xdr:cNvSpPr/>
        </xdr:nvSpPr>
        <xdr:spPr>
          <a:xfrm>
            <a:off x="11603355" y="690561"/>
            <a:ext cx="685800" cy="685800"/>
          </a:xfrm>
          <a:prstGeom prst="rect">
            <a:avLst/>
          </a:prstGeom>
        </xdr:spPr>
        <xdr:style>
          <a:lnRef idx="1">
            <a:schemeClr val="accent1"/>
          </a:lnRef>
          <a:fillRef idx="1001">
            <a:schemeClr val="dk2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18288" rtlCol="0" anchor="b"/>
          <a:lstStyle/>
          <a:p>
            <a:pPr algn="ctr"/>
            <a:fld id="{2511AED8-365C-477D-862C-CD3847321438}" type="TxLink">
              <a:rPr lang="en-US" sz="1100" b="0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Drinks &amp; Beverages</a:t>
            </a:fld>
            <a:endParaRPr lang="en-US" sz="1100"/>
          </a:p>
        </xdr:txBody>
      </xdr:sp>
      <xdr:pic macro="[0]!POS_LoadSubCategory">
        <xdr:nvPicPr>
          <xdr:cNvPr id="69" name="CatIcon2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44325" y="716700"/>
            <a:ext cx="411581" cy="292608"/>
          </a:xfrm>
          <a:prstGeom prst="rect">
            <a:avLst/>
          </a:prstGeom>
        </xdr:spPr>
      </xdr:pic>
    </xdr:grpSp>
    <xdr:clientData/>
  </xdr:twoCellAnchor>
  <xdr:twoCellAnchor editAs="oneCell">
    <xdr:from>
      <xdr:col>20</xdr:col>
      <xdr:colOff>0</xdr:colOff>
      <xdr:row>1</xdr:row>
      <xdr:rowOff>128586</xdr:rowOff>
    </xdr:from>
    <xdr:to>
      <xdr:col>20</xdr:col>
      <xdr:colOff>685800</xdr:colOff>
      <xdr:row>3</xdr:row>
      <xdr:rowOff>42861</xdr:rowOff>
    </xdr:to>
    <xdr:grpSp>
      <xdr:nvGrpSpPr>
        <xdr:cNvPr id="99" name="CategoryGrp4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GrpSpPr/>
      </xdr:nvGrpSpPr>
      <xdr:grpSpPr>
        <a:xfrm>
          <a:off x="11258550" y="693736"/>
          <a:ext cx="685800" cy="688975"/>
          <a:chOff x="13169265" y="690561"/>
          <a:chExt cx="685800" cy="685800"/>
        </a:xfrm>
      </xdr:grpSpPr>
      <xdr:sp macro="[0]!POS_LoadSubCategory" textlink="Admin!G4">
        <xdr:nvSpPr>
          <xdr:cNvPr id="425" name="Category4">
            <a:extLst>
              <a:ext uri="{FF2B5EF4-FFF2-40B4-BE49-F238E27FC236}">
                <a16:creationId xmlns:a16="http://schemas.microsoft.com/office/drawing/2014/main" id="{00000000-0008-0000-0100-0000A9010000}"/>
              </a:ext>
            </a:extLst>
          </xdr:cNvPr>
          <xdr:cNvSpPr/>
        </xdr:nvSpPr>
        <xdr:spPr>
          <a:xfrm>
            <a:off x="13169265" y="690561"/>
            <a:ext cx="685800" cy="685800"/>
          </a:xfrm>
          <a:prstGeom prst="rect">
            <a:avLst/>
          </a:prstGeom>
        </xdr:spPr>
        <xdr:style>
          <a:lnRef idx="1">
            <a:schemeClr val="accent1"/>
          </a:lnRef>
          <a:fillRef idx="1001">
            <a:schemeClr val="dk2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18288" rtlCol="0" anchor="b"/>
          <a:lstStyle/>
          <a:p>
            <a:pPr algn="ctr"/>
            <a:fld id="{44386170-6D6B-429E-B64D-8878E2A0EBFC}" type="TxLink">
              <a:rPr lang="en-US" sz="1100" b="0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Dairy &amp; Eggs</a:t>
            </a:fld>
            <a:endParaRPr lang="en-US" sz="1100"/>
          </a:p>
        </xdr:txBody>
      </xdr:sp>
      <xdr:pic macro="[0]!POS_LoadSubCategory">
        <xdr:nvPicPr>
          <xdr:cNvPr id="70" name="CatIcon4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370700" y="716700"/>
            <a:ext cx="292608" cy="292608"/>
          </a:xfrm>
          <a:prstGeom prst="rect">
            <a:avLst/>
          </a:prstGeom>
        </xdr:spPr>
      </xdr:pic>
    </xdr:grpSp>
    <xdr:clientData/>
  </xdr:twoCellAnchor>
  <xdr:twoCellAnchor editAs="oneCell">
    <xdr:from>
      <xdr:col>22</xdr:col>
      <xdr:colOff>0</xdr:colOff>
      <xdr:row>1</xdr:row>
      <xdr:rowOff>128586</xdr:rowOff>
    </xdr:from>
    <xdr:to>
      <xdr:col>22</xdr:col>
      <xdr:colOff>685800</xdr:colOff>
      <xdr:row>3</xdr:row>
      <xdr:rowOff>42861</xdr:rowOff>
    </xdr:to>
    <xdr:grpSp>
      <xdr:nvGrpSpPr>
        <xdr:cNvPr id="1026" name="CategoryGrp6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GrpSpPr/>
      </xdr:nvGrpSpPr>
      <xdr:grpSpPr>
        <a:xfrm>
          <a:off x="12820650" y="693736"/>
          <a:ext cx="685800" cy="688975"/>
          <a:chOff x="14735175" y="690561"/>
          <a:chExt cx="685800" cy="685800"/>
        </a:xfrm>
      </xdr:grpSpPr>
      <xdr:sp macro="[0]!POS_LoadSubCategory" textlink="Admin!I4">
        <xdr:nvSpPr>
          <xdr:cNvPr id="427" name="Category6">
            <a:extLst>
              <a:ext uri="{FF2B5EF4-FFF2-40B4-BE49-F238E27FC236}">
                <a16:creationId xmlns:a16="http://schemas.microsoft.com/office/drawing/2014/main" id="{00000000-0008-0000-0100-0000AB010000}"/>
              </a:ext>
            </a:extLst>
          </xdr:cNvPr>
          <xdr:cNvSpPr/>
        </xdr:nvSpPr>
        <xdr:spPr>
          <a:xfrm>
            <a:off x="14735175" y="690561"/>
            <a:ext cx="685800" cy="685800"/>
          </a:xfrm>
          <a:prstGeom prst="rect">
            <a:avLst/>
          </a:prstGeom>
        </xdr:spPr>
        <xdr:style>
          <a:lnRef idx="1">
            <a:schemeClr val="accent1"/>
          </a:lnRef>
          <a:fillRef idx="1001">
            <a:schemeClr val="dk2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18288" rtlCol="0" anchor="b"/>
          <a:lstStyle/>
          <a:p>
            <a:pPr algn="ctr"/>
            <a:fld id="{E054A255-2D27-4E19-8598-368224E27CFB}" type="TxLink">
              <a:rPr lang="en-US" sz="1100" b="0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Fruits &amp; Vegetables</a:t>
            </a:fld>
            <a:endParaRPr lang="en-US" sz="1100"/>
          </a:p>
        </xdr:txBody>
      </xdr:sp>
      <xdr:pic macro="[0]!POS_LoadSubCategory">
        <xdr:nvPicPr>
          <xdr:cNvPr id="71" name="CatIcon6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11350" y="707175"/>
            <a:ext cx="292608" cy="292608"/>
          </a:xfrm>
          <a:prstGeom prst="rect">
            <a:avLst/>
          </a:prstGeom>
        </xdr:spPr>
      </xdr:pic>
    </xdr:grpSp>
    <xdr:clientData/>
  </xdr:twoCellAnchor>
  <xdr:twoCellAnchor editAs="oneCell">
    <xdr:from>
      <xdr:col>17</xdr:col>
      <xdr:colOff>0</xdr:colOff>
      <xdr:row>1</xdr:row>
      <xdr:rowOff>128586</xdr:rowOff>
    </xdr:from>
    <xdr:to>
      <xdr:col>17</xdr:col>
      <xdr:colOff>685800</xdr:colOff>
      <xdr:row>3</xdr:row>
      <xdr:rowOff>42861</xdr:rowOff>
    </xdr:to>
    <xdr:grpSp>
      <xdr:nvGrpSpPr>
        <xdr:cNvPr id="96" name="CategoryGrp1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GrpSpPr/>
      </xdr:nvGrpSpPr>
      <xdr:grpSpPr>
        <a:xfrm>
          <a:off x="8915400" y="693736"/>
          <a:ext cx="685800" cy="688975"/>
          <a:chOff x="10820400" y="690561"/>
          <a:chExt cx="685800" cy="685800"/>
        </a:xfrm>
      </xdr:grpSpPr>
      <xdr:sp macro="[0]!POS_LoadSubCategory" textlink="Admin!D4">
        <xdr:nvSpPr>
          <xdr:cNvPr id="45" name="Category1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/>
        </xdr:nvSpPr>
        <xdr:spPr>
          <a:xfrm>
            <a:off x="10820400" y="690561"/>
            <a:ext cx="685800" cy="68580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18288" rtlCol="0" anchor="b"/>
          <a:lstStyle/>
          <a:p>
            <a:pPr algn="ctr"/>
            <a:fld id="{61D81DC4-BD1C-4D90-9EB6-394A9B8681A8}" type="TxLink">
              <a:rPr lang="en-US" sz="1100" b="0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Non Barcodes</a:t>
            </a:fld>
            <a:endParaRPr lang="en-US" sz="1100"/>
          </a:p>
        </xdr:txBody>
      </xdr:sp>
      <xdr:pic macro="[0]!POS_LoadSubCategory">
        <xdr:nvPicPr>
          <xdr:cNvPr id="72" name="CatIcon1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13225" y="707175"/>
            <a:ext cx="292608" cy="292608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514350</xdr:colOff>
      <xdr:row>1</xdr:row>
      <xdr:rowOff>196177</xdr:rowOff>
    </xdr:from>
    <xdr:to>
      <xdr:col>14</xdr:col>
      <xdr:colOff>53884</xdr:colOff>
      <xdr:row>1</xdr:row>
      <xdr:rowOff>424777</xdr:rowOff>
    </xdr:to>
    <xdr:grpSp>
      <xdr:nvGrpSpPr>
        <xdr:cNvPr id="1126" name="LogoutBtn">
          <a:extLst>
            <a:ext uri="{FF2B5EF4-FFF2-40B4-BE49-F238E27FC236}">
              <a16:creationId xmlns:a16="http://schemas.microsoft.com/office/drawing/2014/main" id="{00000000-0008-0000-0100-000066040000}"/>
            </a:ext>
          </a:extLst>
        </xdr:cNvPr>
        <xdr:cNvGrpSpPr/>
      </xdr:nvGrpSpPr>
      <xdr:grpSpPr>
        <a:xfrm>
          <a:off x="7423150" y="761327"/>
          <a:ext cx="733334" cy="228600"/>
          <a:chOff x="9715500" y="758152"/>
          <a:chExt cx="731520" cy="228600"/>
        </a:xfrm>
      </xdr:grpSpPr>
      <xdr:sp macro="[0]!User_Logout" textlink="">
        <xdr:nvSpPr>
          <xdr:cNvPr id="473" name="Rectangle 472">
            <a:extLst>
              <a:ext uri="{FF2B5EF4-FFF2-40B4-BE49-F238E27FC236}">
                <a16:creationId xmlns:a16="http://schemas.microsoft.com/office/drawing/2014/main" id="{00000000-0008-0000-0100-0000D9010000}"/>
              </a:ext>
            </a:extLst>
          </xdr:cNvPr>
          <xdr:cNvSpPr/>
        </xdr:nvSpPr>
        <xdr:spPr>
          <a:xfrm>
            <a:off x="9715500" y="758152"/>
            <a:ext cx="731520" cy="228600"/>
          </a:xfrm>
          <a:prstGeom prst="rect">
            <a:avLst/>
          </a:pr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0"/>
              <a:t>Logout</a:t>
            </a:r>
          </a:p>
        </xdr:txBody>
      </xdr:sp>
      <xdr:pic macro="[0]!User_Logout">
        <xdr:nvPicPr>
          <xdr:cNvPr id="73" name="Picture 72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34475" y="781012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21</xdr:col>
      <xdr:colOff>0</xdr:colOff>
      <xdr:row>1</xdr:row>
      <xdr:rowOff>128586</xdr:rowOff>
    </xdr:from>
    <xdr:to>
      <xdr:col>21</xdr:col>
      <xdr:colOff>685800</xdr:colOff>
      <xdr:row>3</xdr:row>
      <xdr:rowOff>42861</xdr:rowOff>
    </xdr:to>
    <xdr:grpSp>
      <xdr:nvGrpSpPr>
        <xdr:cNvPr id="1025" name="CategoryGrp5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GrpSpPr/>
      </xdr:nvGrpSpPr>
      <xdr:grpSpPr>
        <a:xfrm>
          <a:off x="12039600" y="693736"/>
          <a:ext cx="685800" cy="688975"/>
          <a:chOff x="13952220" y="690561"/>
          <a:chExt cx="685800" cy="685800"/>
        </a:xfrm>
      </xdr:grpSpPr>
      <xdr:sp macro="[0]!POS_LoadSubCategory" textlink="Admin!H4">
        <xdr:nvSpPr>
          <xdr:cNvPr id="426" name="Category5">
            <a:extLst>
              <a:ext uri="{FF2B5EF4-FFF2-40B4-BE49-F238E27FC236}">
                <a16:creationId xmlns:a16="http://schemas.microsoft.com/office/drawing/2014/main" id="{00000000-0008-0000-0100-0000AA010000}"/>
              </a:ext>
            </a:extLst>
          </xdr:cNvPr>
          <xdr:cNvSpPr/>
        </xdr:nvSpPr>
        <xdr:spPr>
          <a:xfrm>
            <a:off x="13952220" y="690561"/>
            <a:ext cx="685800" cy="685800"/>
          </a:xfrm>
          <a:prstGeom prst="rect">
            <a:avLst/>
          </a:prstGeom>
        </xdr:spPr>
        <xdr:style>
          <a:lnRef idx="1">
            <a:schemeClr val="accent1"/>
          </a:lnRef>
          <a:fillRef idx="1001">
            <a:schemeClr val="dk2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18288" rtlCol="0" anchor="b"/>
          <a:lstStyle/>
          <a:p>
            <a:pPr algn="ctr"/>
            <a:fld id="{D70B9330-4475-461B-8C69-E2E117BA95D4}" type="TxLink">
              <a:rPr lang="en-US" sz="1100" b="0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Frozen Food</a:t>
            </a:fld>
            <a:endParaRPr lang="en-US" sz="1100"/>
          </a:p>
        </xdr:txBody>
      </xdr:sp>
      <xdr:pic macro="[0]!POS_LoadSubCategory">
        <xdr:nvPicPr>
          <xdr:cNvPr id="80" name="CatIcon5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08825" y="707175"/>
            <a:ext cx="178307" cy="292608"/>
          </a:xfrm>
          <a:prstGeom prst="rect">
            <a:avLst/>
          </a:prstGeom>
        </xdr:spPr>
      </xdr:pic>
    </xdr:grpSp>
    <xdr:clientData/>
  </xdr:twoCellAnchor>
  <xdr:twoCellAnchor editAs="oneCell">
    <xdr:from>
      <xdr:col>19</xdr:col>
      <xdr:colOff>0</xdr:colOff>
      <xdr:row>1</xdr:row>
      <xdr:rowOff>128586</xdr:rowOff>
    </xdr:from>
    <xdr:to>
      <xdr:col>19</xdr:col>
      <xdr:colOff>685800</xdr:colOff>
      <xdr:row>3</xdr:row>
      <xdr:rowOff>42861</xdr:rowOff>
    </xdr:to>
    <xdr:grpSp>
      <xdr:nvGrpSpPr>
        <xdr:cNvPr id="98" name="CategoryGrp3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GrpSpPr/>
      </xdr:nvGrpSpPr>
      <xdr:grpSpPr>
        <a:xfrm>
          <a:off x="10477500" y="693736"/>
          <a:ext cx="685800" cy="688975"/>
          <a:chOff x="12386310" y="690561"/>
          <a:chExt cx="685800" cy="685800"/>
        </a:xfrm>
      </xdr:grpSpPr>
      <xdr:sp macro="[0]!POS_LoadSubCategory" textlink="Admin!F4">
        <xdr:nvSpPr>
          <xdr:cNvPr id="424" name="Category3">
            <a:extLst>
              <a:ext uri="{FF2B5EF4-FFF2-40B4-BE49-F238E27FC236}">
                <a16:creationId xmlns:a16="http://schemas.microsoft.com/office/drawing/2014/main" id="{00000000-0008-0000-0100-0000A8010000}"/>
              </a:ext>
            </a:extLst>
          </xdr:cNvPr>
          <xdr:cNvSpPr/>
        </xdr:nvSpPr>
        <xdr:spPr>
          <a:xfrm>
            <a:off x="12386310" y="690561"/>
            <a:ext cx="685800" cy="685800"/>
          </a:xfrm>
          <a:prstGeom prst="rect">
            <a:avLst/>
          </a:prstGeom>
        </xdr:spPr>
        <xdr:style>
          <a:lnRef idx="1">
            <a:schemeClr val="accent1"/>
          </a:lnRef>
          <a:fillRef idx="1001">
            <a:schemeClr val="dk2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18288" rtlCol="0" anchor="b"/>
          <a:lstStyle/>
          <a:p>
            <a:pPr algn="ctr"/>
            <a:fld id="{C973A283-CD22-45F2-A125-2F4CE5451A34}" type="TxLink">
              <a:rPr lang="en-US" sz="1100" b="0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Meats &amp; Seafood</a:t>
            </a:fld>
            <a:endParaRPr lang="en-US" sz="1100"/>
          </a:p>
        </xdr:txBody>
      </xdr:sp>
      <xdr:pic macro="[0]!POS_LoadSubCategory">
        <xdr:nvPicPr>
          <xdr:cNvPr id="81" name="CatIcon3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25275" y="707175"/>
            <a:ext cx="189738" cy="292608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0</xdr:colOff>
      <xdr:row>11</xdr:row>
      <xdr:rowOff>12700</xdr:rowOff>
    </xdr:from>
    <xdr:to>
      <xdr:col>13</xdr:col>
      <xdr:colOff>665029</xdr:colOff>
      <xdr:row>11</xdr:row>
      <xdr:rowOff>195580</xdr:rowOff>
    </xdr:to>
    <xdr:grpSp>
      <xdr:nvGrpSpPr>
        <xdr:cNvPr id="1032" name="SelItemGrp" hidden="1">
          <a:extLst>
            <a:ext uri="{FF2B5EF4-FFF2-40B4-BE49-F238E27FC236}">
              <a16:creationId xmlns:a16="http://schemas.microsoft.com/office/drawing/2014/main" id="{00000000-0008-0000-0100-000008040000}"/>
            </a:ext>
          </a:extLst>
        </xdr:cNvPr>
        <xdr:cNvGrpSpPr/>
      </xdr:nvGrpSpPr>
      <xdr:grpSpPr>
        <a:xfrm>
          <a:off x="4635500" y="3181350"/>
          <a:ext cx="2938329" cy="182880"/>
          <a:chOff x="7157850" y="2279887"/>
          <a:chExt cx="2923755" cy="182880"/>
        </a:xfrm>
      </xdr:grpSpPr>
      <xdr:pic macro="[0]!Order_ItemRemove">
        <xdr:nvPicPr>
          <xdr:cNvPr id="82" name="Picture 81" hidden="1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8725" y="2279887"/>
            <a:ext cx="182880" cy="182880"/>
          </a:xfrm>
          <a:prstGeom prst="rect">
            <a:avLst/>
          </a:prstGeom>
        </xdr:spPr>
      </xdr:pic>
      <xdr:pic macro="[0]!Order_ItemIncreaseQty">
        <xdr:nvPicPr>
          <xdr:cNvPr id="84" name="Picture 83" hidden="1">
            <a:extLst>
              <a:ext uri="{FF2B5EF4-FFF2-40B4-BE49-F238E27FC236}">
                <a16:creationId xmlns:a16="http://schemas.microsoft.com/office/drawing/2014/main" id="{00000000-0008-0000-0100-00005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65075" y="2279887"/>
            <a:ext cx="182880" cy="182880"/>
          </a:xfrm>
          <a:prstGeom prst="rect">
            <a:avLst/>
          </a:prstGeom>
        </xdr:spPr>
      </xdr:pic>
      <xdr:pic macro="[0]!Order_ItemDecreaseQty">
        <xdr:nvPicPr>
          <xdr:cNvPr id="86" name="Picture 85" hidden="1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57850" y="2279887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68850</xdr:colOff>
      <xdr:row>0</xdr:row>
      <xdr:rowOff>19050</xdr:rowOff>
    </xdr:from>
    <xdr:to>
      <xdr:col>22</xdr:col>
      <xdr:colOff>200616</xdr:colOff>
      <xdr:row>1</xdr:row>
      <xdr:rowOff>76198</xdr:rowOff>
    </xdr:to>
    <xdr:grpSp>
      <xdr:nvGrpSpPr>
        <xdr:cNvPr id="1123" name="Group 1122">
          <a:extLst>
            <a:ext uri="{FF2B5EF4-FFF2-40B4-BE49-F238E27FC236}">
              <a16:creationId xmlns:a16="http://schemas.microsoft.com/office/drawing/2014/main" id="{00000000-0008-0000-0100-000063040000}"/>
            </a:ext>
          </a:extLst>
        </xdr:cNvPr>
        <xdr:cNvGrpSpPr/>
      </xdr:nvGrpSpPr>
      <xdr:grpSpPr>
        <a:xfrm>
          <a:off x="2297700" y="19050"/>
          <a:ext cx="10723566" cy="622298"/>
          <a:chOff x="1973850" y="19050"/>
          <a:chExt cx="10684874" cy="695323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2009775" y="19050"/>
            <a:ext cx="10648949" cy="590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3600">
                <a:solidFill>
                  <a:schemeClr val="accent1">
                    <a:lumMod val="50000"/>
                  </a:schemeClr>
                </a:solidFill>
                <a:latin typeface="Arial Rounded MT Bold" panose="020F0704030504030204" pitchFamily="34" charset="0"/>
              </a:rPr>
              <a:t>POINT OF SALE (WITH INVENTORY)</a:t>
            </a:r>
          </a:p>
        </xdr:txBody>
      </xdr:sp>
      <xdr:pic>
        <xdr:nvPicPr>
          <xdr:cNvPr id="87" name="Picture 86">
            <a:extLst>
              <a:ext uri="{FF2B5EF4-FFF2-40B4-BE49-F238E27FC236}">
                <a16:creationId xmlns:a16="http://schemas.microsoft.com/office/drawing/2014/main" id="{00000000-0008-0000-01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73850" y="21224"/>
            <a:ext cx="607425" cy="693149"/>
          </a:xfrm>
          <a:prstGeom prst="rect">
            <a:avLst/>
          </a:prstGeom>
        </xdr:spPr>
      </xdr:pic>
    </xdr:grpSp>
    <xdr:clientData/>
  </xdr:twoCellAnchor>
  <xdr:twoCellAnchor editAs="oneCell">
    <xdr:from>
      <xdr:col>9</xdr:col>
      <xdr:colOff>1123650</xdr:colOff>
      <xdr:row>2</xdr:row>
      <xdr:rowOff>18750</xdr:rowOff>
    </xdr:from>
    <xdr:to>
      <xdr:col>9</xdr:col>
      <xdr:colOff>1353146</xdr:colOff>
      <xdr:row>2</xdr:row>
      <xdr:rowOff>201630</xdr:rowOff>
    </xdr:to>
    <xdr:pic>
      <xdr:nvPicPr>
        <xdr:cNvPr id="92" name="Picture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5800" y="1123650"/>
          <a:ext cx="229496" cy="182880"/>
        </a:xfrm>
        <a:prstGeom prst="rect">
          <a:avLst/>
        </a:prstGeom>
      </xdr:spPr>
    </xdr:pic>
    <xdr:clientData/>
  </xdr:twoCellAnchor>
  <xdr:twoCellAnchor editAs="oneCell">
    <xdr:from>
      <xdr:col>8</xdr:col>
      <xdr:colOff>740250</xdr:colOff>
      <xdr:row>2</xdr:row>
      <xdr:rowOff>25875</xdr:rowOff>
    </xdr:from>
    <xdr:to>
      <xdr:col>9</xdr:col>
      <xdr:colOff>177045</xdr:colOff>
      <xdr:row>2</xdr:row>
      <xdr:rowOff>208755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9900" y="1130775"/>
          <a:ext cx="182880" cy="182880"/>
        </a:xfrm>
        <a:prstGeom prst="rect">
          <a:avLst/>
        </a:prstGeom>
      </xdr:spPr>
    </xdr:pic>
    <xdr:clientData/>
  </xdr:twoCellAnchor>
  <xdr:twoCellAnchor editAs="oneCell">
    <xdr:from>
      <xdr:col>13</xdr:col>
      <xdr:colOff>514350</xdr:colOff>
      <xdr:row>1</xdr:row>
      <xdr:rowOff>200025</xdr:rowOff>
    </xdr:from>
    <xdr:to>
      <xdr:col>14</xdr:col>
      <xdr:colOff>53884</xdr:colOff>
      <xdr:row>1</xdr:row>
      <xdr:rowOff>428625</xdr:rowOff>
    </xdr:to>
    <xdr:grpSp>
      <xdr:nvGrpSpPr>
        <xdr:cNvPr id="1125" name="LoginBtn" hidden="1">
          <a:extLst>
            <a:ext uri="{FF2B5EF4-FFF2-40B4-BE49-F238E27FC236}">
              <a16:creationId xmlns:a16="http://schemas.microsoft.com/office/drawing/2014/main" id="{00000000-0008-0000-0100-000065040000}"/>
            </a:ext>
          </a:extLst>
        </xdr:cNvPr>
        <xdr:cNvGrpSpPr/>
      </xdr:nvGrpSpPr>
      <xdr:grpSpPr>
        <a:xfrm>
          <a:off x="7423150" y="765175"/>
          <a:ext cx="733334" cy="228600"/>
          <a:chOff x="9686925" y="514350"/>
          <a:chExt cx="731520" cy="228600"/>
        </a:xfrm>
      </xdr:grpSpPr>
      <xdr:sp macro="[0]!User_Login" textlink="">
        <xdr:nvSpPr>
          <xdr:cNvPr id="475" name="Rectangle 474" hidden="1">
            <a:extLst>
              <a:ext uri="{FF2B5EF4-FFF2-40B4-BE49-F238E27FC236}">
                <a16:creationId xmlns:a16="http://schemas.microsoft.com/office/drawing/2014/main" id="{00000000-0008-0000-0100-0000DB010000}"/>
              </a:ext>
            </a:extLst>
          </xdr:cNvPr>
          <xdr:cNvSpPr/>
        </xdr:nvSpPr>
        <xdr:spPr>
          <a:xfrm>
            <a:off x="9686925" y="514350"/>
            <a:ext cx="731520" cy="228600"/>
          </a:xfrm>
          <a:prstGeom prst="rect">
            <a:avLst/>
          </a:pr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0"/>
              <a:t>Login</a:t>
            </a:r>
          </a:p>
        </xdr:txBody>
      </xdr:sp>
      <xdr:pic macro="[0]!User_Login">
        <xdr:nvPicPr>
          <xdr:cNvPr id="94" name="Picture 93" hidden="1">
            <a:extLst>
              <a:ext uri="{FF2B5EF4-FFF2-40B4-BE49-F238E27FC236}">
                <a16:creationId xmlns:a16="http://schemas.microsoft.com/office/drawing/2014/main" id="{00000000-0008-0000-0100-00005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67550" y="537825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0</xdr:colOff>
      <xdr:row>6</xdr:row>
      <xdr:rowOff>203200</xdr:rowOff>
    </xdr:from>
    <xdr:to>
      <xdr:col>15</xdr:col>
      <xdr:colOff>0</xdr:colOff>
      <xdr:row>13</xdr:row>
      <xdr:rowOff>121285</xdr:rowOff>
    </xdr:to>
    <xdr:grpSp>
      <xdr:nvGrpSpPr>
        <xdr:cNvPr id="1121" name="FooterGrp">
          <a:extLst>
            <a:ext uri="{FF2B5EF4-FFF2-40B4-BE49-F238E27FC236}">
              <a16:creationId xmlns:a16="http://schemas.microsoft.com/office/drawing/2014/main" id="{00000000-0008-0000-0100-000061040000}"/>
            </a:ext>
          </a:extLst>
        </xdr:cNvPr>
        <xdr:cNvGrpSpPr/>
      </xdr:nvGrpSpPr>
      <xdr:grpSpPr>
        <a:xfrm>
          <a:off x="2393950" y="2228850"/>
          <a:ext cx="5930900" cy="1518285"/>
          <a:chOff x="4810125" y="3409950"/>
          <a:chExt cx="5429250" cy="151828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/>
        </xdr:nvSpPr>
        <xdr:spPr>
          <a:xfrm>
            <a:off x="4819650" y="3409950"/>
            <a:ext cx="5419725" cy="1143000"/>
          </a:xfrm>
          <a:prstGeom prst="rect">
            <a:avLst/>
          </a:prstGeom>
          <a:solidFill>
            <a:schemeClr val="bg1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 txBox="1"/>
        </xdr:nvSpPr>
        <xdr:spPr>
          <a:xfrm>
            <a:off x="8543924" y="3419475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/>
              <a:t>Sub-Total:</a:t>
            </a:r>
          </a:p>
        </xdr:txBody>
      </xdr:sp>
      <xdr:sp macro="" textlink="$A$14">
        <xdr:nvSpPr>
          <xdr:cNvPr id="442" name="TextBox 441">
            <a:extLst>
              <a:ext uri="{FF2B5EF4-FFF2-40B4-BE49-F238E27FC236}">
                <a16:creationId xmlns:a16="http://schemas.microsoft.com/office/drawing/2014/main" id="{00000000-0008-0000-0100-0000BA010000}"/>
              </a:ext>
            </a:extLst>
          </xdr:cNvPr>
          <xdr:cNvSpPr txBox="1"/>
        </xdr:nvSpPr>
        <xdr:spPr>
          <a:xfrm>
            <a:off x="8543924" y="36385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144D164F-808F-4F81-B4EE-D2332D64D68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Tax(0.00%):</a:t>
            </a:fld>
            <a:endParaRPr lang="en-US" sz="1100"/>
          </a:p>
        </xdr:txBody>
      </xdr:sp>
      <xdr:sp macro="" textlink="$B$13">
        <xdr:nvSpPr>
          <xdr:cNvPr id="443" name="TextBox 442">
            <a:extLst>
              <a:ext uri="{FF2B5EF4-FFF2-40B4-BE49-F238E27FC236}">
                <a16:creationId xmlns:a16="http://schemas.microsoft.com/office/drawing/2014/main" id="{00000000-0008-0000-0100-0000BB010000}"/>
              </a:ext>
            </a:extLst>
          </xdr:cNvPr>
          <xdr:cNvSpPr txBox="1"/>
        </xdr:nvSpPr>
        <xdr:spPr>
          <a:xfrm>
            <a:off x="9458324" y="3419475"/>
            <a:ext cx="77724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3C0F0FDF-0CB4-4BA1-ADF9-44D49680CA2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-    </a:t>
            </a:fld>
            <a:endParaRPr lang="en-US" sz="1100"/>
          </a:p>
        </xdr:txBody>
      </xdr:sp>
      <xdr:sp macro="" textlink="$B$14">
        <xdr:nvSpPr>
          <xdr:cNvPr id="444" name="TextBox 443">
            <a:extLst>
              <a:ext uri="{FF2B5EF4-FFF2-40B4-BE49-F238E27FC236}">
                <a16:creationId xmlns:a16="http://schemas.microsoft.com/office/drawing/2014/main" id="{00000000-0008-0000-0100-0000BC010000}"/>
              </a:ext>
            </a:extLst>
          </xdr:cNvPr>
          <xdr:cNvSpPr txBox="1"/>
        </xdr:nvSpPr>
        <xdr:spPr>
          <a:xfrm>
            <a:off x="9458324" y="3638550"/>
            <a:ext cx="77724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7C9BF381-64B2-4296-8524-B6851C4F7B0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-    </a:t>
            </a:fld>
            <a:endParaRPr lang="en-US" sz="1100"/>
          </a:p>
        </xdr:txBody>
      </xdr:sp>
      <xdr:sp macro="" textlink="">
        <xdr:nvSpPr>
          <xdr:cNvPr id="445" name="TextBox 444">
            <a:extLst>
              <a:ext uri="{FF2B5EF4-FFF2-40B4-BE49-F238E27FC236}">
                <a16:creationId xmlns:a16="http://schemas.microsoft.com/office/drawing/2014/main" id="{00000000-0008-0000-0100-0000BD010000}"/>
              </a:ext>
            </a:extLst>
          </xdr:cNvPr>
          <xdr:cNvSpPr txBox="1"/>
        </xdr:nvSpPr>
        <xdr:spPr>
          <a:xfrm>
            <a:off x="8543924" y="38671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 b="1" u="sng"/>
              <a:t>Total:</a:t>
            </a:r>
          </a:p>
        </xdr:txBody>
      </xdr:sp>
      <xdr:sp macro="" textlink="$B$15">
        <xdr:nvSpPr>
          <xdr:cNvPr id="446" name="TextBox 445">
            <a:extLst>
              <a:ext uri="{FF2B5EF4-FFF2-40B4-BE49-F238E27FC236}">
                <a16:creationId xmlns:a16="http://schemas.microsoft.com/office/drawing/2014/main" id="{00000000-0008-0000-0100-0000BE010000}"/>
              </a:ext>
            </a:extLst>
          </xdr:cNvPr>
          <xdr:cNvSpPr txBox="1"/>
        </xdr:nvSpPr>
        <xdr:spPr>
          <a:xfrm>
            <a:off x="9458324" y="3867150"/>
            <a:ext cx="77724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E37C8B0D-30CB-4D5B-974F-0A1F0C9B79B0}" type="TxLink">
              <a:rPr lang="en-US" sz="1100" b="1" i="0" u="sng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-    </a:t>
            </a:fld>
            <a:endParaRPr lang="en-US" sz="1100" b="1" u="sng"/>
          </a:p>
        </xdr:txBody>
      </xdr:sp>
      <xdr:sp macro="" textlink="$B$16">
        <xdr:nvSpPr>
          <xdr:cNvPr id="447" name="TextBox 446">
            <a:extLst>
              <a:ext uri="{FF2B5EF4-FFF2-40B4-BE49-F238E27FC236}">
                <a16:creationId xmlns:a16="http://schemas.microsoft.com/office/drawing/2014/main" id="{00000000-0008-0000-0100-0000BF010000}"/>
              </a:ext>
            </a:extLst>
          </xdr:cNvPr>
          <xdr:cNvSpPr txBox="1"/>
        </xdr:nvSpPr>
        <xdr:spPr>
          <a:xfrm>
            <a:off x="9458324" y="4095750"/>
            <a:ext cx="77724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57D45DD0-E509-42FC-BB59-BF1EC16A6F2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/>
          </a:p>
        </xdr:txBody>
      </xdr:sp>
      <xdr:sp macro="" textlink="$B$17">
        <xdr:nvSpPr>
          <xdr:cNvPr id="448" name="TextBox 447">
            <a:extLst>
              <a:ext uri="{FF2B5EF4-FFF2-40B4-BE49-F238E27FC236}">
                <a16:creationId xmlns:a16="http://schemas.microsoft.com/office/drawing/2014/main" id="{00000000-0008-0000-0100-0000C0010000}"/>
              </a:ext>
            </a:extLst>
          </xdr:cNvPr>
          <xdr:cNvSpPr txBox="1"/>
        </xdr:nvSpPr>
        <xdr:spPr>
          <a:xfrm>
            <a:off x="9458324" y="4324350"/>
            <a:ext cx="77724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417A14C4-FB9F-4623-9DE3-9EFC248C0E3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/>
          </a:p>
        </xdr:txBody>
      </xdr:sp>
      <xdr:sp macro="" textlink="">
        <xdr:nvSpPr>
          <xdr:cNvPr id="449" name="TextBox 448">
            <a:extLst>
              <a:ext uri="{FF2B5EF4-FFF2-40B4-BE49-F238E27FC236}">
                <a16:creationId xmlns:a16="http://schemas.microsoft.com/office/drawing/2014/main" id="{00000000-0008-0000-0100-0000C1010000}"/>
              </a:ext>
            </a:extLst>
          </xdr:cNvPr>
          <xdr:cNvSpPr txBox="1"/>
        </xdr:nvSpPr>
        <xdr:spPr>
          <a:xfrm>
            <a:off x="8543924" y="40957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/>
              <a:t>Total</a:t>
            </a:r>
            <a:r>
              <a:rPr lang="en-US" sz="1100" baseline="0"/>
              <a:t> Paid:</a:t>
            </a:r>
            <a:endParaRPr lang="en-US" sz="1100"/>
          </a:p>
        </xdr:txBody>
      </xdr:sp>
      <xdr:sp macro="" textlink="">
        <xdr:nvSpPr>
          <xdr:cNvPr id="450" name="TextBox 449">
            <a:extLst>
              <a:ext uri="{FF2B5EF4-FFF2-40B4-BE49-F238E27FC236}">
                <a16:creationId xmlns:a16="http://schemas.microsoft.com/office/drawing/2014/main" id="{00000000-0008-0000-0100-0000C2010000}"/>
              </a:ext>
            </a:extLst>
          </xdr:cNvPr>
          <xdr:cNvSpPr txBox="1"/>
        </xdr:nvSpPr>
        <xdr:spPr>
          <a:xfrm>
            <a:off x="8543924" y="43243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/>
              <a:t>Change:</a:t>
            </a:r>
          </a:p>
        </xdr:txBody>
      </xdr:sp>
      <xdr:sp macro="" textlink="FooterMsg">
        <xdr:nvSpPr>
          <xdr:cNvPr id="451" name="TextBox 450">
            <a:extLst>
              <a:ext uri="{FF2B5EF4-FFF2-40B4-BE49-F238E27FC236}">
                <a16:creationId xmlns:a16="http://schemas.microsoft.com/office/drawing/2014/main" id="{00000000-0008-0000-0100-0000C3010000}"/>
              </a:ext>
            </a:extLst>
          </xdr:cNvPr>
          <xdr:cNvSpPr txBox="1"/>
        </xdr:nvSpPr>
        <xdr:spPr>
          <a:xfrm>
            <a:off x="4829175" y="3419475"/>
            <a:ext cx="37338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l"/>
            <a:fld id="{40C393DF-9D1E-4383-BFEA-CC1E905E735A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Thank You For Your Business</a:t>
            </a:fld>
            <a:endParaRPr lang="en-US" sz="1100" b="1"/>
          </a:p>
        </xdr:txBody>
      </xdr:sp>
      <xdr:sp macro="" textlink="">
        <xdr:nvSpPr>
          <xdr:cNvPr id="452" name="TextBox 451">
            <a:extLst>
              <a:ext uri="{FF2B5EF4-FFF2-40B4-BE49-F238E27FC236}">
                <a16:creationId xmlns:a16="http://schemas.microsoft.com/office/drawing/2014/main" id="{00000000-0008-0000-0100-0000C4010000}"/>
              </a:ext>
            </a:extLst>
          </xdr:cNvPr>
          <xdr:cNvSpPr txBox="1"/>
        </xdr:nvSpPr>
        <xdr:spPr>
          <a:xfrm>
            <a:off x="4829175" y="3638550"/>
            <a:ext cx="1600199" cy="9143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t"/>
          <a:lstStyle/>
          <a:p>
            <a:pPr algn="r" rtl="1"/>
            <a:r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  </a:t>
            </a:r>
            <a:r>
              <a:rPr lang="fa-IR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سوپر</a:t>
            </a:r>
            <a:r>
              <a:rPr lang="fa-IR" sz="1100" b="0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مارکت جهانی</a:t>
            </a:r>
            <a:endParaRPr lang="en-US" sz="1100" b="0" i="0" u="none" strike="noStrike">
              <a:solidFill>
                <a:srgbClr val="000000"/>
              </a:solidFill>
              <a:latin typeface="Calibri"/>
              <a:cs typeface="Calibri"/>
            </a:endParaRPr>
          </a:p>
        </xdr:txBody>
      </xdr:sp>
      <xdr:sp macro="" textlink="">
        <xdr:nvSpPr>
          <xdr:cNvPr id="453" name="TextBox 452">
            <a:extLst>
              <a:ext uri="{FF2B5EF4-FFF2-40B4-BE49-F238E27FC236}">
                <a16:creationId xmlns:a16="http://schemas.microsoft.com/office/drawing/2014/main" id="{00000000-0008-0000-0100-0000C5010000}"/>
              </a:ext>
            </a:extLst>
          </xdr:cNvPr>
          <xdr:cNvSpPr txBox="1"/>
        </xdr:nvSpPr>
        <xdr:spPr>
          <a:xfrm>
            <a:off x="6410324" y="36385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Receipt #:</a:t>
            </a:r>
          </a:p>
        </xdr:txBody>
      </xdr:sp>
      <xdr:sp macro="" textlink="">
        <xdr:nvSpPr>
          <xdr:cNvPr id="454" name="TextBox 453">
            <a:extLst>
              <a:ext uri="{FF2B5EF4-FFF2-40B4-BE49-F238E27FC236}">
                <a16:creationId xmlns:a16="http://schemas.microsoft.com/office/drawing/2014/main" id="{00000000-0008-0000-0100-0000C6010000}"/>
              </a:ext>
            </a:extLst>
          </xdr:cNvPr>
          <xdr:cNvSpPr txBox="1"/>
        </xdr:nvSpPr>
        <xdr:spPr>
          <a:xfrm>
            <a:off x="6410324" y="38671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Order On:</a:t>
            </a:r>
          </a:p>
        </xdr:txBody>
      </xdr:sp>
      <xdr:sp macro="" textlink="">
        <xdr:nvSpPr>
          <xdr:cNvPr id="455" name="TextBox 454">
            <a:extLst>
              <a:ext uri="{FF2B5EF4-FFF2-40B4-BE49-F238E27FC236}">
                <a16:creationId xmlns:a16="http://schemas.microsoft.com/office/drawing/2014/main" id="{00000000-0008-0000-0100-0000C7010000}"/>
              </a:ext>
            </a:extLst>
          </xdr:cNvPr>
          <xdr:cNvSpPr txBox="1"/>
        </xdr:nvSpPr>
        <xdr:spPr>
          <a:xfrm>
            <a:off x="6410324" y="40957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Cashier:</a:t>
            </a:r>
          </a:p>
        </xdr:txBody>
      </xdr:sp>
      <xdr:sp macro="" textlink="$P$4">
        <xdr:nvSpPr>
          <xdr:cNvPr id="456" name="TextBox 455">
            <a:extLst>
              <a:ext uri="{FF2B5EF4-FFF2-40B4-BE49-F238E27FC236}">
                <a16:creationId xmlns:a16="http://schemas.microsoft.com/office/drawing/2014/main" id="{00000000-0008-0000-0100-0000C8010000}"/>
              </a:ext>
            </a:extLst>
          </xdr:cNvPr>
          <xdr:cNvSpPr txBox="1"/>
        </xdr:nvSpPr>
        <xdr:spPr>
          <a:xfrm>
            <a:off x="6410323" y="4324350"/>
            <a:ext cx="2133601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ctr"/>
            <a:fld id="{B95C4A47-CDA1-4698-A444-9F17FAF693D2}" type="TxLink">
              <a:rPr lang="en-US" sz="2000" b="0" i="0" u="none" strike="noStrike">
                <a:solidFill>
                  <a:srgbClr val="000000"/>
                </a:solidFill>
                <a:latin typeface="Code 128" panose="05000000000000000000" pitchFamily="2" charset="2"/>
                <a:cs typeface="Calibri"/>
              </a:rPr>
              <a:pPr algn="ctr"/>
              <a:t>10235</a:t>
            </a:fld>
            <a:endParaRPr lang="en-US" sz="2000" b="0" i="0" u="none" strike="noStrike">
              <a:solidFill>
                <a:srgbClr val="000000"/>
              </a:solidFill>
              <a:latin typeface="Code 128" panose="05000000000000000000" pitchFamily="2" charset="2"/>
              <a:cs typeface="Calibri"/>
            </a:endParaRPr>
          </a:p>
        </xdr:txBody>
      </xdr:sp>
      <xdr:sp macro="" textlink="$P$4">
        <xdr:nvSpPr>
          <xdr:cNvPr id="457" name="TextBox 456">
            <a:extLst>
              <a:ext uri="{FF2B5EF4-FFF2-40B4-BE49-F238E27FC236}">
                <a16:creationId xmlns:a16="http://schemas.microsoft.com/office/drawing/2014/main" id="{00000000-0008-0000-0100-0000C9010000}"/>
              </a:ext>
            </a:extLst>
          </xdr:cNvPr>
          <xdr:cNvSpPr txBox="1"/>
        </xdr:nvSpPr>
        <xdr:spPr>
          <a:xfrm>
            <a:off x="7324723" y="3638550"/>
            <a:ext cx="1219201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l"/>
            <a:fld id="{BD487BF1-B379-4C8F-BF33-5F609E31131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10235</a:t>
            </a:fld>
            <a:endParaRPr lang="en-US" sz="1100"/>
          </a:p>
        </xdr:txBody>
      </xdr:sp>
      <xdr:sp macro="" textlink="$L$4">
        <xdr:nvSpPr>
          <xdr:cNvPr id="458" name="TextBox 457">
            <a:extLst>
              <a:ext uri="{FF2B5EF4-FFF2-40B4-BE49-F238E27FC236}">
                <a16:creationId xmlns:a16="http://schemas.microsoft.com/office/drawing/2014/main" id="{00000000-0008-0000-0100-0000CA010000}"/>
              </a:ext>
            </a:extLst>
          </xdr:cNvPr>
          <xdr:cNvSpPr txBox="1"/>
        </xdr:nvSpPr>
        <xdr:spPr>
          <a:xfrm>
            <a:off x="7324723" y="3867150"/>
            <a:ext cx="1219201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l"/>
            <a:fld id="{7D009322-0A9A-4CF1-8449-13286B4C033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08/01/1404</a:t>
            </a:fld>
            <a:endParaRPr lang="en-US" sz="1100"/>
          </a:p>
        </xdr:txBody>
      </xdr:sp>
      <xdr:sp macro="" textlink="$L$3">
        <xdr:nvSpPr>
          <xdr:cNvPr id="459" name="TextBox 458">
            <a:extLst>
              <a:ext uri="{FF2B5EF4-FFF2-40B4-BE49-F238E27FC236}">
                <a16:creationId xmlns:a16="http://schemas.microsoft.com/office/drawing/2014/main" id="{00000000-0008-0000-0100-0000CB010000}"/>
              </a:ext>
            </a:extLst>
          </xdr:cNvPr>
          <xdr:cNvSpPr txBox="1"/>
        </xdr:nvSpPr>
        <xdr:spPr>
          <a:xfrm>
            <a:off x="7324723" y="4095750"/>
            <a:ext cx="1219201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l"/>
            <a:fld id="{D4670101-97DE-4A19-9078-B678BEF78DE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Fred Frankles</a:t>
            </a:fld>
            <a:endParaRPr lang="en-US" sz="1100"/>
          </a:p>
        </xdr:txBody>
      </xdr:sp>
      <xdr:grpSp>
        <xdr:nvGrpSpPr>
          <xdr:cNvPr id="1052" name="Group 1051">
            <a:extLst>
              <a:ext uri="{FF2B5EF4-FFF2-40B4-BE49-F238E27FC236}">
                <a16:creationId xmlns:a16="http://schemas.microsoft.com/office/drawing/2014/main" id="{00000000-0008-0000-0100-00001C040000}"/>
              </a:ext>
            </a:extLst>
          </xdr:cNvPr>
          <xdr:cNvGrpSpPr/>
        </xdr:nvGrpSpPr>
        <xdr:grpSpPr>
          <a:xfrm>
            <a:off x="5687567" y="4562475"/>
            <a:ext cx="777240" cy="365760"/>
            <a:chOff x="5687567" y="4562475"/>
            <a:chExt cx="777240" cy="365760"/>
          </a:xfrm>
        </xdr:grpSpPr>
        <xdr:sp macro="[0]!Order_Pay" textlink="">
          <xdr:nvSpPr>
            <xdr:cNvPr id="468" name="Rectangle 467">
              <a:extLst>
                <a:ext uri="{FF2B5EF4-FFF2-40B4-BE49-F238E27FC236}">
                  <a16:creationId xmlns:a16="http://schemas.microsoft.com/office/drawing/2014/main" id="{00000000-0008-0000-0100-0000D4010000}"/>
                </a:ext>
              </a:extLst>
            </xdr:cNvPr>
            <xdr:cNvSpPr/>
          </xdr:nvSpPr>
          <xdr:spPr>
            <a:xfrm>
              <a:off x="5687567" y="4562475"/>
              <a:ext cx="777240" cy="365760"/>
            </a:xfrm>
            <a:prstGeom prst="rect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/>
                <a:t>Pay</a:t>
              </a:r>
            </a:p>
          </xdr:txBody>
        </xdr:sp>
        <xdr:pic macro="[0]!Order_Pay">
          <xdr:nvPicPr>
            <xdr:cNvPr id="83" name="Picture 82">
              <a:extLst>
                <a:ext uri="{FF2B5EF4-FFF2-40B4-BE49-F238E27FC236}">
                  <a16:creationId xmlns:a16="http://schemas.microsoft.com/office/drawing/2014/main" id="{00000000-0008-0000-0100-00005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772000" y="4649175"/>
              <a:ext cx="201168" cy="201168"/>
            </a:xfrm>
            <a:prstGeom prst="rect">
              <a:avLst/>
            </a:prstGeom>
          </xdr:spPr>
        </xdr:pic>
      </xdr:grpSp>
      <xdr:grpSp>
        <xdr:nvGrpSpPr>
          <xdr:cNvPr id="1053" name="Group 1052">
            <a:extLst>
              <a:ext uri="{FF2B5EF4-FFF2-40B4-BE49-F238E27FC236}">
                <a16:creationId xmlns:a16="http://schemas.microsoft.com/office/drawing/2014/main" id="{00000000-0008-0000-0100-00001D040000}"/>
              </a:ext>
            </a:extLst>
          </xdr:cNvPr>
          <xdr:cNvGrpSpPr/>
        </xdr:nvGrpSpPr>
        <xdr:grpSpPr>
          <a:xfrm>
            <a:off x="6565009" y="4562475"/>
            <a:ext cx="777240" cy="365760"/>
            <a:chOff x="6565009" y="4562475"/>
            <a:chExt cx="777240" cy="365760"/>
          </a:xfrm>
        </xdr:grpSpPr>
        <xdr:sp macro="[0]!Order_Print" textlink="">
          <xdr:nvSpPr>
            <xdr:cNvPr id="469" name="Rectangle 468">
              <a:extLst>
                <a:ext uri="{FF2B5EF4-FFF2-40B4-BE49-F238E27FC236}">
                  <a16:creationId xmlns:a16="http://schemas.microsoft.com/office/drawing/2014/main" id="{00000000-0008-0000-0100-0000D5010000}"/>
                </a:ext>
              </a:extLst>
            </xdr:cNvPr>
            <xdr:cNvSpPr/>
          </xdr:nvSpPr>
          <xdr:spPr>
            <a:xfrm>
              <a:off x="6565009" y="4562475"/>
              <a:ext cx="777240" cy="365760"/>
            </a:xfrm>
            <a:prstGeom prst="rect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/>
                <a:t>Print</a:t>
              </a:r>
            </a:p>
          </xdr:txBody>
        </xdr:sp>
        <xdr:pic macro="[0]!Order_Print">
          <xdr:nvPicPr>
            <xdr:cNvPr id="88" name="Picture 87">
              <a:extLst>
                <a:ext uri="{FF2B5EF4-FFF2-40B4-BE49-F238E27FC236}">
                  <a16:creationId xmlns:a16="http://schemas.microsoft.com/office/drawing/2014/main" id="{00000000-0008-0000-0100-00005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600600" y="4649175"/>
              <a:ext cx="201168" cy="201168"/>
            </a:xfrm>
            <a:prstGeom prst="rect">
              <a:avLst/>
            </a:prstGeom>
          </xdr:spPr>
        </xdr:pic>
      </xdr:grpSp>
      <xdr:grpSp>
        <xdr:nvGrpSpPr>
          <xdr:cNvPr id="1051" name="Group 1050">
            <a:extLst>
              <a:ext uri="{FF2B5EF4-FFF2-40B4-BE49-F238E27FC236}">
                <a16:creationId xmlns:a16="http://schemas.microsoft.com/office/drawing/2014/main" id="{00000000-0008-0000-0100-00001B040000}"/>
              </a:ext>
            </a:extLst>
          </xdr:cNvPr>
          <xdr:cNvGrpSpPr/>
        </xdr:nvGrpSpPr>
        <xdr:grpSpPr>
          <a:xfrm>
            <a:off x="4810125" y="4562475"/>
            <a:ext cx="777240" cy="365760"/>
            <a:chOff x="4810125" y="4562475"/>
            <a:chExt cx="777240" cy="365760"/>
          </a:xfrm>
        </xdr:grpSpPr>
        <xdr:sp macro="[0]!Order_Clear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0100-000044000000}"/>
                </a:ext>
              </a:extLst>
            </xdr:cNvPr>
            <xdr:cNvSpPr/>
          </xdr:nvSpPr>
          <xdr:spPr>
            <a:xfrm>
              <a:off x="4810125" y="4562475"/>
              <a:ext cx="777240" cy="365760"/>
            </a:xfrm>
            <a:prstGeom prst="rect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/>
                <a:t>Clear</a:t>
              </a:r>
            </a:p>
          </xdr:txBody>
        </xdr:sp>
        <xdr:pic macro="[0]!Order_Clear">
          <xdr:nvPicPr>
            <xdr:cNvPr id="89" name="Picture 88">
              <a:extLst>
                <a:ext uri="{FF2B5EF4-FFF2-40B4-BE49-F238E27FC236}">
                  <a16:creationId xmlns:a16="http://schemas.microsoft.com/office/drawing/2014/main" id="{00000000-0008-0000-0100-00005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845600" y="4649175"/>
              <a:ext cx="176022" cy="201168"/>
            </a:xfrm>
            <a:prstGeom prst="rect">
              <a:avLst/>
            </a:prstGeom>
          </xdr:spPr>
        </xdr:pic>
      </xdr:grpSp>
      <xdr:grpSp>
        <xdr:nvGrpSpPr>
          <xdr:cNvPr id="1054" name="Group 1053">
            <a:extLst>
              <a:ext uri="{FF2B5EF4-FFF2-40B4-BE49-F238E27FC236}">
                <a16:creationId xmlns:a16="http://schemas.microsoft.com/office/drawing/2014/main" id="{00000000-0008-0000-0100-00001E040000}"/>
              </a:ext>
            </a:extLst>
          </xdr:cNvPr>
          <xdr:cNvGrpSpPr/>
        </xdr:nvGrpSpPr>
        <xdr:grpSpPr>
          <a:xfrm>
            <a:off x="7442451" y="4562475"/>
            <a:ext cx="1028701" cy="365760"/>
            <a:chOff x="7442451" y="4562475"/>
            <a:chExt cx="1028701" cy="365760"/>
          </a:xfrm>
        </xdr:grpSpPr>
        <xdr:sp macro="[0]!Order_Refund" textlink="">
          <xdr:nvSpPr>
            <xdr:cNvPr id="470" name="Rectangle 469">
              <a:extLst>
                <a:ext uri="{FF2B5EF4-FFF2-40B4-BE49-F238E27FC236}">
                  <a16:creationId xmlns:a16="http://schemas.microsoft.com/office/drawing/2014/main" id="{00000000-0008-0000-0100-0000D6010000}"/>
                </a:ext>
              </a:extLst>
            </xdr:cNvPr>
            <xdr:cNvSpPr/>
          </xdr:nvSpPr>
          <xdr:spPr>
            <a:xfrm>
              <a:off x="7442451" y="4562475"/>
              <a:ext cx="1028701" cy="365760"/>
            </a:xfrm>
            <a:prstGeom prst="rect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/>
                <a:t>Refund</a:t>
              </a:r>
            </a:p>
          </xdr:txBody>
        </xdr:sp>
        <xdr:pic macro="[0]!Order_Refund">
          <xdr:nvPicPr>
            <xdr:cNvPr id="90" name="Picture 89">
              <a:extLst>
                <a:ext uri="{FF2B5EF4-FFF2-40B4-BE49-F238E27FC236}">
                  <a16:creationId xmlns:a16="http://schemas.microsoft.com/office/drawing/2014/main" id="{00000000-0008-0000-0100-00005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491150" y="4649175"/>
              <a:ext cx="201168" cy="201168"/>
            </a:xfrm>
            <a:prstGeom prst="rect">
              <a:avLst/>
            </a:prstGeom>
          </xdr:spPr>
        </xdr:pic>
      </xdr:grpSp>
      <xdr:grpSp>
        <xdr:nvGrpSpPr>
          <xdr:cNvPr id="1120" name="Group 1119">
            <a:extLst>
              <a:ext uri="{FF2B5EF4-FFF2-40B4-BE49-F238E27FC236}">
                <a16:creationId xmlns:a16="http://schemas.microsoft.com/office/drawing/2014/main" id="{00000000-0008-0000-0100-000060040000}"/>
              </a:ext>
            </a:extLst>
          </xdr:cNvPr>
          <xdr:cNvGrpSpPr/>
        </xdr:nvGrpSpPr>
        <xdr:grpSpPr>
          <a:xfrm>
            <a:off x="9448797" y="4562475"/>
            <a:ext cx="777240" cy="365760"/>
            <a:chOff x="9448797" y="4562475"/>
            <a:chExt cx="777240" cy="365760"/>
          </a:xfrm>
        </xdr:grpSpPr>
        <xdr:sp macro="[0]!Order_SaveUpdate" textlink="">
          <xdr:nvSpPr>
            <xdr:cNvPr id="472" name="Rectangle 471">
              <a:extLst>
                <a:ext uri="{FF2B5EF4-FFF2-40B4-BE49-F238E27FC236}">
                  <a16:creationId xmlns:a16="http://schemas.microsoft.com/office/drawing/2014/main" id="{00000000-0008-0000-0100-0000D8010000}"/>
                </a:ext>
              </a:extLst>
            </xdr:cNvPr>
            <xdr:cNvSpPr/>
          </xdr:nvSpPr>
          <xdr:spPr>
            <a:xfrm>
              <a:off x="9448797" y="4562475"/>
              <a:ext cx="777240" cy="365760"/>
            </a:xfrm>
            <a:prstGeom prst="rect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/>
                <a:t>Next</a:t>
              </a:r>
            </a:p>
          </xdr:txBody>
        </xdr:sp>
        <xdr:pic macro="[0]!Order_SaveUpdate">
          <xdr:nvPicPr>
            <xdr:cNvPr id="91" name="Picture 90">
              <a:extLst>
                <a:ext uri="{FF2B5EF4-FFF2-40B4-BE49-F238E27FC236}">
                  <a16:creationId xmlns:a16="http://schemas.microsoft.com/office/drawing/2014/main" id="{00000000-0008-0000-0100-00005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08050" y="4649175"/>
              <a:ext cx="201168" cy="201168"/>
            </a:xfrm>
            <a:prstGeom prst="rect">
              <a:avLst/>
            </a:prstGeom>
          </xdr:spPr>
        </xdr:pic>
      </xdr:grpSp>
      <xdr:grpSp>
        <xdr:nvGrpSpPr>
          <xdr:cNvPr id="1055" name="Group 1054">
            <a:extLst>
              <a:ext uri="{FF2B5EF4-FFF2-40B4-BE49-F238E27FC236}">
                <a16:creationId xmlns:a16="http://schemas.microsoft.com/office/drawing/2014/main" id="{00000000-0008-0000-0100-00001F040000}"/>
              </a:ext>
            </a:extLst>
          </xdr:cNvPr>
          <xdr:cNvGrpSpPr/>
        </xdr:nvGrpSpPr>
        <xdr:grpSpPr>
          <a:xfrm>
            <a:off x="8571354" y="4562475"/>
            <a:ext cx="777240" cy="365760"/>
            <a:chOff x="8571354" y="4562475"/>
            <a:chExt cx="777240" cy="365760"/>
          </a:xfrm>
        </xdr:grpSpPr>
        <xdr:sp macro="[0]!Order_Void" textlink="">
          <xdr:nvSpPr>
            <xdr:cNvPr id="471" name="Rectangle 470">
              <a:extLst>
                <a:ext uri="{FF2B5EF4-FFF2-40B4-BE49-F238E27FC236}">
                  <a16:creationId xmlns:a16="http://schemas.microsoft.com/office/drawing/2014/main" id="{00000000-0008-0000-0100-0000D7010000}"/>
                </a:ext>
              </a:extLst>
            </xdr:cNvPr>
            <xdr:cNvSpPr/>
          </xdr:nvSpPr>
          <xdr:spPr>
            <a:xfrm>
              <a:off x="8571354" y="4562475"/>
              <a:ext cx="777240" cy="365760"/>
            </a:xfrm>
            <a:prstGeom prst="rect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/>
                <a:t>Void</a:t>
              </a:r>
            </a:p>
          </xdr:txBody>
        </xdr:sp>
        <xdr:pic macro="[0]!Order_Void">
          <xdr:nvPicPr>
            <xdr:cNvPr id="95" name="Picture 94">
              <a:extLst>
                <a:ext uri="{FF2B5EF4-FFF2-40B4-BE49-F238E27FC236}">
                  <a16:creationId xmlns:a16="http://schemas.microsoft.com/office/drawing/2014/main" id="{00000000-0008-0000-0100-00005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622150" y="4649175"/>
              <a:ext cx="201168" cy="201168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1123949</xdr:colOff>
      <xdr:row>1</xdr:row>
      <xdr:rowOff>161925</xdr:rowOff>
    </xdr:from>
    <xdr:to>
      <xdr:col>9</xdr:col>
      <xdr:colOff>435016</xdr:colOff>
      <xdr:row>1</xdr:row>
      <xdr:rowOff>504825</xdr:rowOff>
    </xdr:to>
    <xdr:grpSp>
      <xdr:nvGrpSpPr>
        <xdr:cNvPr id="1122" name="ClearResultBtn" hidden="1">
          <a:extLst>
            <a:ext uri="{FF2B5EF4-FFF2-40B4-BE49-F238E27FC236}">
              <a16:creationId xmlns:a16="http://schemas.microsoft.com/office/drawing/2014/main" id="{00000000-0008-0000-0100-000062040000}"/>
            </a:ext>
          </a:extLst>
        </xdr:cNvPr>
        <xdr:cNvGrpSpPr/>
      </xdr:nvGrpSpPr>
      <xdr:grpSpPr>
        <a:xfrm>
          <a:off x="2393950" y="727075"/>
          <a:ext cx="1120816" cy="342900"/>
          <a:chOff x="3190874" y="723900"/>
          <a:chExt cx="1123951" cy="342900"/>
        </a:xfrm>
      </xdr:grpSpPr>
      <xdr:sp macro="[0]!Orders_ClearFilter" textlink="">
        <xdr:nvSpPr>
          <xdr:cNvPr id="66" name="Right Arrow 65" hidden="1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/>
        </xdr:nvSpPr>
        <xdr:spPr>
          <a:xfrm>
            <a:off x="3190874" y="723900"/>
            <a:ext cx="1123951" cy="342900"/>
          </a:xfrm>
          <a:prstGeom prst="rightArrow">
            <a:avLst>
              <a:gd name="adj1" fmla="val 66667"/>
              <a:gd name="adj2" fmla="val 50000"/>
            </a:avLst>
          </a:pr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lIns="18288" tIns="0" rIns="18288" bIns="0" rtlCol="0" anchor="ctr"/>
          <a:lstStyle/>
          <a:p>
            <a:pPr algn="r"/>
            <a:r>
              <a:rPr lang="en-US" sz="1100"/>
              <a:t>Clear Results</a:t>
            </a:r>
          </a:p>
        </xdr:txBody>
      </xdr:sp>
      <xdr:pic macro="[0]!Orders_ClearFilter">
        <xdr:nvPicPr>
          <xdr:cNvPr id="496" name="Picture 495" hidden="1">
            <a:extLst>
              <a:ext uri="{FF2B5EF4-FFF2-40B4-BE49-F238E27FC236}">
                <a16:creationId xmlns:a16="http://schemas.microsoft.com/office/drawing/2014/main" id="{00000000-0008-0000-0100-0000F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45400" y="803910"/>
            <a:ext cx="160020" cy="18288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190500</xdr:colOff>
      <xdr:row>0</xdr:row>
      <xdr:rowOff>533398</xdr:rowOff>
    </xdr:from>
    <xdr:to>
      <xdr:col>0</xdr:col>
      <xdr:colOff>876300</xdr:colOff>
      <xdr:row>1</xdr:row>
      <xdr:rowOff>337183</xdr:rowOff>
    </xdr:to>
    <xdr:sp macro="" textlink="">
      <xdr:nvSpPr>
        <xdr:cNvPr id="516" name="SampleProdShp">
          <a:extLst>
            <a:ext uri="{FF2B5EF4-FFF2-40B4-BE49-F238E27FC236}">
              <a16:creationId xmlns:a16="http://schemas.microsoft.com/office/drawing/2014/main" id="{00000000-0008-0000-0100-000004020000}"/>
            </a:ext>
          </a:extLst>
        </xdr:cNvPr>
        <xdr:cNvSpPr/>
      </xdr:nvSpPr>
      <xdr:spPr>
        <a:xfrm>
          <a:off x="190500" y="533398"/>
          <a:ext cx="685800" cy="365760"/>
        </a:xfrm>
        <a:prstGeom prst="rect">
          <a:avLst/>
        </a:prstGeom>
        <a:gradFill>
          <a:gsLst>
            <a:gs pos="0">
              <a:schemeClr val="accent1">
                <a:lumMod val="20000"/>
                <a:lumOff val="80000"/>
              </a:schemeClr>
            </a:gs>
            <a:gs pos="100000">
              <a:schemeClr val="bg1"/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18288" rtlCol="0" anchor="b"/>
        <a:lstStyle/>
        <a:p>
          <a:pPr algn="ctr"/>
          <a:r>
            <a:rPr lang="en-US" sz="1100" b="0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Sample</a:t>
          </a:r>
          <a:r>
            <a:rPr lang="en-US" sz="1100" b="0" i="0" u="none" strike="noStrike" baseline="0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 Product</a:t>
          </a:r>
          <a:endParaRPr lang="en-US" sz="1100" b="0" i="0" u="none" strike="noStrike">
            <a:solidFill>
              <a:schemeClr val="accent1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17</xdr:col>
      <xdr:colOff>0</xdr:colOff>
      <xdr:row>3</xdr:row>
      <xdr:rowOff>142875</xdr:rowOff>
    </xdr:from>
    <xdr:to>
      <xdr:col>17</xdr:col>
      <xdr:colOff>685800</xdr:colOff>
      <xdr:row>5</xdr:row>
      <xdr:rowOff>51435</xdr:rowOff>
    </xdr:to>
    <xdr:sp macro="[0]!POS_LoadProducts" textlink="">
      <xdr:nvSpPr>
        <xdr:cNvPr id="1135" name="Subcategory1">
          <a:extLst>
            <a:ext uri="{FF2B5EF4-FFF2-40B4-BE49-F238E27FC236}">
              <a16:creationId xmlns:a16="http://schemas.microsoft.com/office/drawing/2014/main" id="{00000000-0008-0000-0100-00006F040000}"/>
            </a:ext>
          </a:extLst>
        </xdr:cNvPr>
        <xdr:cNvSpPr/>
      </xdr:nvSpPr>
      <xdr:spPr>
        <a:xfrm>
          <a:off x="8029575" y="1476375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100"/>
            <a:t>Soda</a:t>
          </a:r>
        </a:p>
      </xdr:txBody>
    </xdr:sp>
    <xdr:clientData/>
  </xdr:twoCellAnchor>
  <xdr:twoCellAnchor>
    <xdr:from>
      <xdr:col>18</xdr:col>
      <xdr:colOff>0</xdr:colOff>
      <xdr:row>3</xdr:row>
      <xdr:rowOff>142875</xdr:rowOff>
    </xdr:from>
    <xdr:to>
      <xdr:col>18</xdr:col>
      <xdr:colOff>685800</xdr:colOff>
      <xdr:row>5</xdr:row>
      <xdr:rowOff>51435</xdr:rowOff>
    </xdr:to>
    <xdr:sp macro="[0]!POS_LoadProducts" textlink="">
      <xdr:nvSpPr>
        <xdr:cNvPr id="751" name="Subcategory2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SpPr/>
      </xdr:nvSpPr>
      <xdr:spPr>
        <a:xfrm>
          <a:off x="8810625" y="1476375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en-US" sz="1100"/>
            <a:t>cigar</a:t>
          </a:r>
        </a:p>
      </xdr:txBody>
    </xdr:sp>
    <xdr:clientData/>
  </xdr:twoCellAnchor>
  <xdr:twoCellAnchor>
    <xdr:from>
      <xdr:col>19</xdr:col>
      <xdr:colOff>0</xdr:colOff>
      <xdr:row>3</xdr:row>
      <xdr:rowOff>142875</xdr:rowOff>
    </xdr:from>
    <xdr:to>
      <xdr:col>19</xdr:col>
      <xdr:colOff>685800</xdr:colOff>
      <xdr:row>5</xdr:row>
      <xdr:rowOff>51435</xdr:rowOff>
    </xdr:to>
    <xdr:sp macro="[0]!POS_LoadProducts" textlink="">
      <xdr:nvSpPr>
        <xdr:cNvPr id="752" name="Subcategory3">
          <a:extLst>
            <a:ext uri="{FF2B5EF4-FFF2-40B4-BE49-F238E27FC236}">
              <a16:creationId xmlns:a16="http://schemas.microsoft.com/office/drawing/2014/main" id="{00000000-0008-0000-0100-0000F0020000}"/>
            </a:ext>
          </a:extLst>
        </xdr:cNvPr>
        <xdr:cNvSpPr/>
      </xdr:nvSpPr>
      <xdr:spPr>
        <a:xfrm>
          <a:off x="9591675" y="1476375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en-US" sz="1100"/>
            <a:t>Beer</a:t>
          </a:r>
        </a:p>
      </xdr:txBody>
    </xdr:sp>
    <xdr:clientData/>
  </xdr:twoCellAnchor>
  <xdr:twoCellAnchor>
    <xdr:from>
      <xdr:col>20</xdr:col>
      <xdr:colOff>0</xdr:colOff>
      <xdr:row>3</xdr:row>
      <xdr:rowOff>142875</xdr:rowOff>
    </xdr:from>
    <xdr:to>
      <xdr:col>20</xdr:col>
      <xdr:colOff>685800</xdr:colOff>
      <xdr:row>5</xdr:row>
      <xdr:rowOff>51435</xdr:rowOff>
    </xdr:to>
    <xdr:sp macro="[0]!POS_LoadProducts" textlink="">
      <xdr:nvSpPr>
        <xdr:cNvPr id="753" name="Subcategory4">
          <a:extLst>
            <a:ext uri="{FF2B5EF4-FFF2-40B4-BE49-F238E27FC236}">
              <a16:creationId xmlns:a16="http://schemas.microsoft.com/office/drawing/2014/main" id="{00000000-0008-0000-0100-0000F1020000}"/>
            </a:ext>
          </a:extLst>
        </xdr:cNvPr>
        <xdr:cNvSpPr/>
      </xdr:nvSpPr>
      <xdr:spPr>
        <a:xfrm>
          <a:off x="10372725" y="1476375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en-US" sz="1100"/>
            <a:t>Spirits</a:t>
          </a:r>
        </a:p>
      </xdr:txBody>
    </xdr:sp>
    <xdr:clientData/>
  </xdr:twoCellAnchor>
  <xdr:twoCellAnchor>
    <xdr:from>
      <xdr:col>21</xdr:col>
      <xdr:colOff>0</xdr:colOff>
      <xdr:row>3</xdr:row>
      <xdr:rowOff>142875</xdr:rowOff>
    </xdr:from>
    <xdr:to>
      <xdr:col>21</xdr:col>
      <xdr:colOff>685800</xdr:colOff>
      <xdr:row>5</xdr:row>
      <xdr:rowOff>51435</xdr:rowOff>
    </xdr:to>
    <xdr:sp macro="[0]!POS_LoadProducts" textlink="">
      <xdr:nvSpPr>
        <xdr:cNvPr id="754" name="Subcategory5">
          <a:extLst>
            <a:ext uri="{FF2B5EF4-FFF2-40B4-BE49-F238E27FC236}">
              <a16:creationId xmlns:a16="http://schemas.microsoft.com/office/drawing/2014/main" id="{00000000-0008-0000-0100-0000F2020000}"/>
            </a:ext>
          </a:extLst>
        </xdr:cNvPr>
        <xdr:cNvSpPr/>
      </xdr:nvSpPr>
      <xdr:spPr>
        <a:xfrm>
          <a:off x="11153775" y="1476375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en-US" sz="1100"/>
            <a:t>Energy Drink</a:t>
          </a:r>
        </a:p>
      </xdr:txBody>
    </xdr:sp>
    <xdr:clientData/>
  </xdr:twoCellAnchor>
  <xdr:twoCellAnchor>
    <xdr:from>
      <xdr:col>22</xdr:col>
      <xdr:colOff>0</xdr:colOff>
      <xdr:row>3</xdr:row>
      <xdr:rowOff>142875</xdr:rowOff>
    </xdr:from>
    <xdr:to>
      <xdr:col>22</xdr:col>
      <xdr:colOff>685800</xdr:colOff>
      <xdr:row>5</xdr:row>
      <xdr:rowOff>51435</xdr:rowOff>
    </xdr:to>
    <xdr:sp macro="[0]!POS_LoadProducts" textlink="">
      <xdr:nvSpPr>
        <xdr:cNvPr id="755" name="Subcategory6">
          <a:extLst>
            <a:ext uri="{FF2B5EF4-FFF2-40B4-BE49-F238E27FC236}">
              <a16:creationId xmlns:a16="http://schemas.microsoft.com/office/drawing/2014/main" id="{00000000-0008-0000-0100-0000F3020000}"/>
            </a:ext>
          </a:extLst>
        </xdr:cNvPr>
        <xdr:cNvSpPr/>
      </xdr:nvSpPr>
      <xdr:spPr>
        <a:xfrm>
          <a:off x="11934825" y="1476375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en-US" sz="1100"/>
            <a:t>Drinking Water</a:t>
          </a:r>
        </a:p>
      </xdr:txBody>
    </xdr:sp>
    <xdr:clientData/>
  </xdr:twoCellAnchor>
  <xdr:twoCellAnchor>
    <xdr:from>
      <xdr:col>17</xdr:col>
      <xdr:colOff>0</xdr:colOff>
      <xdr:row>5</xdr:row>
      <xdr:rowOff>152400</xdr:rowOff>
    </xdr:from>
    <xdr:to>
      <xdr:col>17</xdr:col>
      <xdr:colOff>685800</xdr:colOff>
      <xdr:row>7</xdr:row>
      <xdr:rowOff>60960</xdr:rowOff>
    </xdr:to>
    <xdr:sp macro="[0]!POS_LoadProducts" textlink="">
      <xdr:nvSpPr>
        <xdr:cNvPr id="826" name="Subcategory7">
          <a:extLst>
            <a:ext uri="{FF2B5EF4-FFF2-40B4-BE49-F238E27FC236}">
              <a16:creationId xmlns:a16="http://schemas.microsoft.com/office/drawing/2014/main" id="{00000000-0008-0000-0100-00003A030000}"/>
            </a:ext>
          </a:extLst>
        </xdr:cNvPr>
        <xdr:cNvSpPr/>
      </xdr:nvSpPr>
      <xdr:spPr>
        <a:xfrm>
          <a:off x="8029575" y="1943100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en-US" sz="1100"/>
            <a:t>Juice</a:t>
          </a:r>
        </a:p>
      </xdr:txBody>
    </xdr:sp>
    <xdr:clientData/>
  </xdr:twoCellAnchor>
  <xdr:twoCellAnchor>
    <xdr:from>
      <xdr:col>18</xdr:col>
      <xdr:colOff>0</xdr:colOff>
      <xdr:row>5</xdr:row>
      <xdr:rowOff>152400</xdr:rowOff>
    </xdr:from>
    <xdr:to>
      <xdr:col>18</xdr:col>
      <xdr:colOff>685800</xdr:colOff>
      <xdr:row>7</xdr:row>
      <xdr:rowOff>60960</xdr:rowOff>
    </xdr:to>
    <xdr:sp macro="[0]!POS_LoadProducts" textlink="">
      <xdr:nvSpPr>
        <xdr:cNvPr id="827" name="Subcategory8">
          <a:extLst>
            <a:ext uri="{FF2B5EF4-FFF2-40B4-BE49-F238E27FC236}">
              <a16:creationId xmlns:a16="http://schemas.microsoft.com/office/drawing/2014/main" id="{00000000-0008-0000-0100-00003B030000}"/>
            </a:ext>
          </a:extLst>
        </xdr:cNvPr>
        <xdr:cNvSpPr/>
      </xdr:nvSpPr>
      <xdr:spPr>
        <a:xfrm>
          <a:off x="8810625" y="1943100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en-US" sz="1100"/>
            <a:t>Milk</a:t>
          </a:r>
        </a:p>
      </xdr:txBody>
    </xdr:sp>
    <xdr:clientData/>
  </xdr:twoCellAnchor>
  <xdr:twoCellAnchor>
    <xdr:from>
      <xdr:col>19</xdr:col>
      <xdr:colOff>0</xdr:colOff>
      <xdr:row>5</xdr:row>
      <xdr:rowOff>152400</xdr:rowOff>
    </xdr:from>
    <xdr:to>
      <xdr:col>19</xdr:col>
      <xdr:colOff>685800</xdr:colOff>
      <xdr:row>7</xdr:row>
      <xdr:rowOff>60960</xdr:rowOff>
    </xdr:to>
    <xdr:sp macro="[0]!POS_LoadProducts" textlink="">
      <xdr:nvSpPr>
        <xdr:cNvPr id="828" name="Subcategory9">
          <a:extLst>
            <a:ext uri="{FF2B5EF4-FFF2-40B4-BE49-F238E27FC236}">
              <a16:creationId xmlns:a16="http://schemas.microsoft.com/office/drawing/2014/main" id="{00000000-0008-0000-0100-00003C030000}"/>
            </a:ext>
          </a:extLst>
        </xdr:cNvPr>
        <xdr:cNvSpPr/>
      </xdr:nvSpPr>
      <xdr:spPr>
        <a:xfrm>
          <a:off x="9591675" y="1943100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en-US" sz="1100"/>
            <a:t>Cider</a:t>
          </a:r>
        </a:p>
      </xdr:txBody>
    </xdr:sp>
    <xdr:clientData/>
  </xdr:twoCellAnchor>
  <xdr:twoCellAnchor>
    <xdr:from>
      <xdr:col>20</xdr:col>
      <xdr:colOff>0</xdr:colOff>
      <xdr:row>5</xdr:row>
      <xdr:rowOff>152400</xdr:rowOff>
    </xdr:from>
    <xdr:to>
      <xdr:col>20</xdr:col>
      <xdr:colOff>685800</xdr:colOff>
      <xdr:row>7</xdr:row>
      <xdr:rowOff>60960</xdr:rowOff>
    </xdr:to>
    <xdr:sp macro="[0]!POS_LoadProducts" textlink="">
      <xdr:nvSpPr>
        <xdr:cNvPr id="829" name="Subcategory10">
          <a:extLst>
            <a:ext uri="{FF2B5EF4-FFF2-40B4-BE49-F238E27FC236}">
              <a16:creationId xmlns:a16="http://schemas.microsoft.com/office/drawing/2014/main" id="{00000000-0008-0000-0100-00003D030000}"/>
            </a:ext>
          </a:extLst>
        </xdr:cNvPr>
        <xdr:cNvSpPr/>
      </xdr:nvSpPr>
      <xdr:spPr>
        <a:xfrm>
          <a:off x="10372725" y="1943100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en-US" sz="1100"/>
            <a:t>Cocktails</a:t>
          </a:r>
        </a:p>
      </xdr:txBody>
    </xdr:sp>
    <xdr:clientData/>
  </xdr:twoCellAnchor>
  <xdr:twoCellAnchor>
    <xdr:from>
      <xdr:col>21</xdr:col>
      <xdr:colOff>0</xdr:colOff>
      <xdr:row>5</xdr:row>
      <xdr:rowOff>152400</xdr:rowOff>
    </xdr:from>
    <xdr:to>
      <xdr:col>21</xdr:col>
      <xdr:colOff>685800</xdr:colOff>
      <xdr:row>7</xdr:row>
      <xdr:rowOff>60960</xdr:rowOff>
    </xdr:to>
    <xdr:sp macro="[0]!POS_LoadProducts" textlink="">
      <xdr:nvSpPr>
        <xdr:cNvPr id="830" name="Subcategory11">
          <a:extLst>
            <a:ext uri="{FF2B5EF4-FFF2-40B4-BE49-F238E27FC236}">
              <a16:creationId xmlns:a16="http://schemas.microsoft.com/office/drawing/2014/main" id="{00000000-0008-0000-0100-00003E030000}"/>
            </a:ext>
          </a:extLst>
        </xdr:cNvPr>
        <xdr:cNvSpPr/>
      </xdr:nvSpPr>
      <xdr:spPr>
        <a:xfrm>
          <a:off x="11153775" y="1943100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en-US" sz="1100"/>
            <a:t>Tea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22</xdr:col>
      <xdr:colOff>685800</xdr:colOff>
      <xdr:row>7</xdr:row>
      <xdr:rowOff>60960</xdr:rowOff>
    </xdr:to>
    <xdr:sp macro="[0]!POS_LoadProducts" textlink="">
      <xdr:nvSpPr>
        <xdr:cNvPr id="831" name="Subcategory12">
          <a:extLst>
            <a:ext uri="{FF2B5EF4-FFF2-40B4-BE49-F238E27FC236}">
              <a16:creationId xmlns:a16="http://schemas.microsoft.com/office/drawing/2014/main" id="{00000000-0008-0000-0100-00003F030000}"/>
            </a:ext>
          </a:extLst>
        </xdr:cNvPr>
        <xdr:cNvSpPr/>
      </xdr:nvSpPr>
      <xdr:spPr>
        <a:xfrm>
          <a:off x="11934825" y="1943100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en-US" sz="1100"/>
            <a:t>Coffee</a:t>
          </a:r>
        </a:p>
      </xdr:txBody>
    </xdr:sp>
    <xdr:clientData/>
  </xdr:twoCellAnchor>
  <xdr:twoCellAnchor>
    <xdr:from>
      <xdr:col>17</xdr:col>
      <xdr:colOff>0</xdr:colOff>
      <xdr:row>8</xdr:row>
      <xdr:rowOff>0</xdr:rowOff>
    </xdr:from>
    <xdr:to>
      <xdr:col>17</xdr:col>
      <xdr:colOff>685800</xdr:colOff>
      <xdr:row>9</xdr:row>
      <xdr:rowOff>137160</xdr:rowOff>
    </xdr:to>
    <xdr:sp macro="POS_SelectProduct" textlink="">
      <xdr:nvSpPr>
        <xdr:cNvPr id="120" name="Product3">
          <a:extLst>
            <a:ext uri="{FF2B5EF4-FFF2-40B4-BE49-F238E27FC236}">
              <a16:creationId xmlns:a16="http://schemas.microsoft.com/office/drawing/2014/main" id="{00000000-0008-0000-0100-000004020000}"/>
            </a:ext>
          </a:extLst>
        </xdr:cNvPr>
        <xdr:cNvSpPr/>
      </xdr:nvSpPr>
      <xdr:spPr>
        <a:xfrm>
          <a:off x="8896350" y="2476500"/>
          <a:ext cx="685800" cy="365760"/>
        </a:xfrm>
        <a:prstGeom prst="rect">
          <a:avLst/>
        </a:prstGeom>
        <a:gradFill>
          <a:gsLst>
            <a:gs pos="0">
              <a:schemeClr val="accent1">
                <a:lumMod val="20000"/>
                <a:lumOff val="80000"/>
              </a:schemeClr>
            </a:gs>
            <a:gs pos="100000">
              <a:schemeClr val="bg1"/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18288" rtlCol="0" anchor="b"/>
        <a:lstStyle/>
        <a:p>
          <a:pPr algn="ctr"/>
          <a:r>
            <a:rPr lang="fa-IR" sz="1100" b="0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اسپری برف شادی نور آرا</a:t>
          </a:r>
          <a:endParaRPr lang="en-US" sz="1100" b="0" i="0" u="none" strike="noStrike">
            <a:solidFill>
              <a:schemeClr val="accent1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18</xdr:col>
      <xdr:colOff>0</xdr:colOff>
      <xdr:row>8</xdr:row>
      <xdr:rowOff>0</xdr:rowOff>
    </xdr:from>
    <xdr:to>
      <xdr:col>18</xdr:col>
      <xdr:colOff>685800</xdr:colOff>
      <xdr:row>9</xdr:row>
      <xdr:rowOff>137160</xdr:rowOff>
    </xdr:to>
    <xdr:sp macro="POS_SelectProduct" textlink="">
      <xdr:nvSpPr>
        <xdr:cNvPr id="121" name="Product4">
          <a:extLst>
            <a:ext uri="{FF2B5EF4-FFF2-40B4-BE49-F238E27FC236}">
              <a16:creationId xmlns:a16="http://schemas.microsoft.com/office/drawing/2014/main" id="{00000000-0008-0000-0100-000004020000}"/>
            </a:ext>
          </a:extLst>
        </xdr:cNvPr>
        <xdr:cNvSpPr/>
      </xdr:nvSpPr>
      <xdr:spPr>
        <a:xfrm>
          <a:off x="9677400" y="2476500"/>
          <a:ext cx="685800" cy="365760"/>
        </a:xfrm>
        <a:prstGeom prst="rect">
          <a:avLst/>
        </a:prstGeom>
        <a:gradFill>
          <a:gsLst>
            <a:gs pos="0">
              <a:schemeClr val="accent1">
                <a:lumMod val="20000"/>
                <a:lumOff val="80000"/>
              </a:schemeClr>
            </a:gs>
            <a:gs pos="100000">
              <a:schemeClr val="bg1"/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18288" rtlCol="0" anchor="b"/>
        <a:lstStyle/>
        <a:p>
          <a:pPr algn="ctr"/>
          <a:r>
            <a:rPr lang="fa-IR" sz="1100" b="0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اسفند کیلویی</a:t>
          </a:r>
          <a:endParaRPr lang="en-US" sz="1100" b="0" i="0" u="none" strike="noStrike">
            <a:solidFill>
              <a:schemeClr val="accent1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19</xdr:col>
      <xdr:colOff>0</xdr:colOff>
      <xdr:row>8</xdr:row>
      <xdr:rowOff>0</xdr:rowOff>
    </xdr:from>
    <xdr:to>
      <xdr:col>19</xdr:col>
      <xdr:colOff>685800</xdr:colOff>
      <xdr:row>9</xdr:row>
      <xdr:rowOff>137160</xdr:rowOff>
    </xdr:to>
    <xdr:sp macro="POS_SelectProduct" textlink="">
      <xdr:nvSpPr>
        <xdr:cNvPr id="122" name="Product5">
          <a:extLst>
            <a:ext uri="{FF2B5EF4-FFF2-40B4-BE49-F238E27FC236}">
              <a16:creationId xmlns:a16="http://schemas.microsoft.com/office/drawing/2014/main" id="{00000000-0008-0000-0100-000004020000}"/>
            </a:ext>
          </a:extLst>
        </xdr:cNvPr>
        <xdr:cNvSpPr/>
      </xdr:nvSpPr>
      <xdr:spPr>
        <a:xfrm>
          <a:off x="10458450" y="2476500"/>
          <a:ext cx="685800" cy="365760"/>
        </a:xfrm>
        <a:prstGeom prst="rect">
          <a:avLst/>
        </a:prstGeom>
        <a:gradFill>
          <a:gsLst>
            <a:gs pos="0">
              <a:schemeClr val="accent1">
                <a:lumMod val="20000"/>
                <a:lumOff val="80000"/>
              </a:schemeClr>
            </a:gs>
            <a:gs pos="100000">
              <a:schemeClr val="bg1"/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18288" rtlCol="0" anchor="b"/>
        <a:lstStyle/>
        <a:p>
          <a:pPr algn="ctr"/>
          <a:r>
            <a:rPr lang="fa-IR" sz="1100" b="0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آبلیمو دلیل</a:t>
          </a:r>
          <a:endParaRPr lang="en-US" sz="1100" b="0" i="0" u="none" strike="noStrike">
            <a:solidFill>
              <a:schemeClr val="accent1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20</xdr:col>
      <xdr:colOff>0</xdr:colOff>
      <xdr:row>8</xdr:row>
      <xdr:rowOff>0</xdr:rowOff>
    </xdr:from>
    <xdr:to>
      <xdr:col>20</xdr:col>
      <xdr:colOff>685800</xdr:colOff>
      <xdr:row>9</xdr:row>
      <xdr:rowOff>137160</xdr:rowOff>
    </xdr:to>
    <xdr:sp macro="POS_SelectProduct" textlink="">
      <xdr:nvSpPr>
        <xdr:cNvPr id="123" name="Product6">
          <a:extLst>
            <a:ext uri="{FF2B5EF4-FFF2-40B4-BE49-F238E27FC236}">
              <a16:creationId xmlns:a16="http://schemas.microsoft.com/office/drawing/2014/main" id="{00000000-0008-0000-0100-000004020000}"/>
            </a:ext>
          </a:extLst>
        </xdr:cNvPr>
        <xdr:cNvSpPr/>
      </xdr:nvSpPr>
      <xdr:spPr>
        <a:xfrm>
          <a:off x="11239500" y="2476500"/>
          <a:ext cx="685800" cy="365760"/>
        </a:xfrm>
        <a:prstGeom prst="rect">
          <a:avLst/>
        </a:prstGeom>
        <a:gradFill>
          <a:gsLst>
            <a:gs pos="0">
              <a:schemeClr val="accent1">
                <a:lumMod val="20000"/>
                <a:lumOff val="80000"/>
              </a:schemeClr>
            </a:gs>
            <a:gs pos="100000">
              <a:schemeClr val="bg1"/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18288" rtlCol="0" anchor="b"/>
        <a:lstStyle/>
        <a:p>
          <a:pPr algn="ctr"/>
          <a:r>
            <a:rPr lang="fa-IR" sz="1100" b="0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آبلیمو دلیل</a:t>
          </a:r>
          <a:endParaRPr lang="en-US" sz="1100" b="0" i="0" u="none" strike="noStrike">
            <a:solidFill>
              <a:schemeClr val="accent1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685800</xdr:colOff>
      <xdr:row>9</xdr:row>
      <xdr:rowOff>137160</xdr:rowOff>
    </xdr:to>
    <xdr:sp macro="POS_SelectProduct" textlink="">
      <xdr:nvSpPr>
        <xdr:cNvPr id="124" name="Product7">
          <a:extLst>
            <a:ext uri="{FF2B5EF4-FFF2-40B4-BE49-F238E27FC236}">
              <a16:creationId xmlns:a16="http://schemas.microsoft.com/office/drawing/2014/main" id="{00000000-0008-0000-0100-000004020000}"/>
            </a:ext>
          </a:extLst>
        </xdr:cNvPr>
        <xdr:cNvSpPr/>
      </xdr:nvSpPr>
      <xdr:spPr>
        <a:xfrm>
          <a:off x="12020550" y="2476500"/>
          <a:ext cx="685800" cy="365760"/>
        </a:xfrm>
        <a:prstGeom prst="rect">
          <a:avLst/>
        </a:prstGeom>
        <a:gradFill>
          <a:gsLst>
            <a:gs pos="0">
              <a:schemeClr val="accent1">
                <a:lumMod val="20000"/>
                <a:lumOff val="80000"/>
              </a:schemeClr>
            </a:gs>
            <a:gs pos="100000">
              <a:schemeClr val="bg1"/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18288" rtlCol="0" anchor="b"/>
        <a:lstStyle/>
        <a:p>
          <a:pPr algn="ctr"/>
          <a:r>
            <a:rPr lang="fa-IR" sz="1100" b="0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بستنی کیم دومینو</a:t>
          </a:r>
          <a:endParaRPr lang="en-US" sz="1100" b="0" i="0" u="none" strike="noStrike">
            <a:solidFill>
              <a:schemeClr val="accent1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22</xdr:col>
      <xdr:colOff>0</xdr:colOff>
      <xdr:row>8</xdr:row>
      <xdr:rowOff>0</xdr:rowOff>
    </xdr:from>
    <xdr:to>
      <xdr:col>22</xdr:col>
      <xdr:colOff>685800</xdr:colOff>
      <xdr:row>9</xdr:row>
      <xdr:rowOff>137160</xdr:rowOff>
    </xdr:to>
    <xdr:sp macro="POS_SelectProduct" textlink="">
      <xdr:nvSpPr>
        <xdr:cNvPr id="125" name="Product8">
          <a:extLst>
            <a:ext uri="{FF2B5EF4-FFF2-40B4-BE49-F238E27FC236}">
              <a16:creationId xmlns:a16="http://schemas.microsoft.com/office/drawing/2014/main" id="{00000000-0008-0000-0100-000004020000}"/>
            </a:ext>
          </a:extLst>
        </xdr:cNvPr>
        <xdr:cNvSpPr/>
      </xdr:nvSpPr>
      <xdr:spPr>
        <a:xfrm>
          <a:off x="12801600" y="2476500"/>
          <a:ext cx="685800" cy="365760"/>
        </a:xfrm>
        <a:prstGeom prst="rect">
          <a:avLst/>
        </a:prstGeom>
        <a:gradFill>
          <a:gsLst>
            <a:gs pos="0">
              <a:schemeClr val="accent1">
                <a:lumMod val="20000"/>
                <a:lumOff val="80000"/>
              </a:schemeClr>
            </a:gs>
            <a:gs pos="100000">
              <a:schemeClr val="bg1"/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18288" rtlCol="0" anchor="b"/>
        <a:lstStyle/>
        <a:p>
          <a:pPr algn="ctr"/>
          <a:r>
            <a:rPr lang="fa-IR" sz="1100" b="0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بستنی زمستانی </a:t>
          </a:r>
          <a:r>
            <a:rPr lang="en-US" sz="1100" b="0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Ronak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dmin"/>
  <dimension ref="A1:Q43"/>
  <sheetViews>
    <sheetView topLeftCell="D1" workbookViewId="0">
      <selection activeCell="D4" sqref="D4:I4"/>
    </sheetView>
  </sheetViews>
  <sheetFormatPr defaultRowHeight="15" x14ac:dyDescent="0.25"/>
  <cols>
    <col min="3" max="3" width="13.5703125" bestFit="1" customWidth="1"/>
    <col min="4" max="4" width="20.140625" bestFit="1" customWidth="1"/>
    <col min="5" max="5" width="16" bestFit="1" customWidth="1"/>
    <col min="6" max="6" width="16.140625" bestFit="1" customWidth="1"/>
    <col min="7" max="7" width="16.85546875" bestFit="1" customWidth="1"/>
    <col min="8" max="8" width="15.140625" bestFit="1" customWidth="1"/>
    <col min="9" max="9" width="18.5703125" bestFit="1" customWidth="1"/>
    <col min="11" max="11" width="15.140625" bestFit="1" customWidth="1"/>
    <col min="12" max="12" width="9.140625" customWidth="1"/>
    <col min="13" max="13" width="43.85546875" customWidth="1"/>
    <col min="15" max="15" width="35.5703125" customWidth="1"/>
  </cols>
  <sheetData>
    <row r="1" spans="1:15" ht="39" customHeight="1" thickBot="1" x14ac:dyDescent="0.5">
      <c r="A1" s="23"/>
      <c r="B1" s="23"/>
      <c r="C1" s="100" t="s">
        <v>144</v>
      </c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23"/>
      <c r="O1" s="23"/>
    </row>
    <row r="2" spans="1:15" x14ac:dyDescent="0.25">
      <c r="A2" s="1"/>
      <c r="B2" s="1"/>
      <c r="C2" s="105" t="s">
        <v>65</v>
      </c>
      <c r="D2" s="106"/>
      <c r="E2" s="106"/>
      <c r="F2" s="106"/>
      <c r="G2" s="106"/>
      <c r="H2" s="106"/>
      <c r="I2" s="107"/>
      <c r="J2" s="1"/>
      <c r="K2" s="108" t="s">
        <v>157</v>
      </c>
      <c r="L2" s="109"/>
      <c r="M2" s="110"/>
      <c r="N2" s="1"/>
      <c r="O2" s="1"/>
    </row>
    <row r="3" spans="1:15" x14ac:dyDescent="0.25">
      <c r="A3" s="2"/>
      <c r="B3" s="2"/>
      <c r="C3" s="14" t="s">
        <v>86</v>
      </c>
      <c r="D3" s="12" t="s">
        <v>80</v>
      </c>
      <c r="E3" s="12" t="s">
        <v>81</v>
      </c>
      <c r="F3" s="12" t="s">
        <v>82</v>
      </c>
      <c r="G3" s="12" t="s">
        <v>83</v>
      </c>
      <c r="H3" s="12" t="s">
        <v>84</v>
      </c>
      <c r="I3" s="12" t="s">
        <v>85</v>
      </c>
      <c r="J3" s="2"/>
      <c r="K3" s="25" t="s">
        <v>9</v>
      </c>
      <c r="L3" s="29" t="s">
        <v>8</v>
      </c>
      <c r="M3" s="18"/>
      <c r="N3" s="2"/>
      <c r="O3" s="2"/>
    </row>
    <row r="4" spans="1:15" x14ac:dyDescent="0.25">
      <c r="A4" s="2"/>
      <c r="B4" s="2"/>
      <c r="C4" s="14" t="s">
        <v>1</v>
      </c>
      <c r="D4" s="13" t="s">
        <v>1010</v>
      </c>
      <c r="E4" s="13" t="s">
        <v>34</v>
      </c>
      <c r="F4" s="13" t="s">
        <v>36</v>
      </c>
      <c r="G4" s="13" t="s">
        <v>37</v>
      </c>
      <c r="H4" s="13" t="s">
        <v>38</v>
      </c>
      <c r="I4" s="13" t="s">
        <v>39</v>
      </c>
      <c r="J4" s="2"/>
      <c r="K4" s="25" t="s">
        <v>10</v>
      </c>
      <c r="L4" s="30">
        <v>0</v>
      </c>
      <c r="M4" s="18"/>
      <c r="N4" s="2"/>
      <c r="O4" s="2"/>
    </row>
    <row r="5" spans="1:15" x14ac:dyDescent="0.25">
      <c r="A5" s="2"/>
      <c r="B5" s="2"/>
      <c r="C5" s="103" t="s">
        <v>32</v>
      </c>
      <c r="D5" s="22" t="s">
        <v>1011</v>
      </c>
      <c r="E5" s="22" t="s">
        <v>40</v>
      </c>
      <c r="F5" s="21" t="s">
        <v>112</v>
      </c>
      <c r="G5" s="21" t="s">
        <v>119</v>
      </c>
      <c r="H5" s="21" t="s">
        <v>44</v>
      </c>
      <c r="I5" s="21" t="s">
        <v>124</v>
      </c>
      <c r="J5" s="2"/>
      <c r="K5" s="26" t="s">
        <v>143</v>
      </c>
      <c r="L5" s="101" t="s">
        <v>159</v>
      </c>
      <c r="M5" s="102"/>
      <c r="N5" s="2"/>
      <c r="O5" s="2"/>
    </row>
    <row r="6" spans="1:15" x14ac:dyDescent="0.25">
      <c r="A6" s="2"/>
      <c r="B6" s="2"/>
      <c r="C6" s="103"/>
      <c r="D6" s="22" t="s">
        <v>1012</v>
      </c>
      <c r="E6" s="22" t="s">
        <v>1009</v>
      </c>
      <c r="F6" s="21" t="s">
        <v>49</v>
      </c>
      <c r="G6" s="21" t="s">
        <v>45</v>
      </c>
      <c r="H6" s="21" t="s">
        <v>46</v>
      </c>
      <c r="I6" s="21" t="s">
        <v>125</v>
      </c>
      <c r="J6" s="2"/>
      <c r="K6" s="27" t="s">
        <v>158</v>
      </c>
      <c r="L6" s="28" t="s">
        <v>155</v>
      </c>
      <c r="M6" s="28"/>
      <c r="N6" s="2"/>
      <c r="O6" s="2"/>
    </row>
    <row r="7" spans="1:15" x14ac:dyDescent="0.25">
      <c r="A7" s="2"/>
      <c r="B7" s="2"/>
      <c r="C7" s="103"/>
      <c r="D7" s="22" t="s">
        <v>1013</v>
      </c>
      <c r="E7" s="22" t="s">
        <v>42</v>
      </c>
      <c r="F7" s="21" t="s">
        <v>47</v>
      </c>
      <c r="G7" s="21" t="s">
        <v>66</v>
      </c>
      <c r="H7" s="21" t="s">
        <v>48</v>
      </c>
      <c r="I7" s="21" t="s">
        <v>126</v>
      </c>
      <c r="J7" s="2"/>
      <c r="K7" s="21" t="s">
        <v>24</v>
      </c>
      <c r="L7" s="31" t="s">
        <v>154</v>
      </c>
      <c r="M7" s="31" t="s">
        <v>14</v>
      </c>
      <c r="N7" s="2"/>
      <c r="O7" s="2"/>
    </row>
    <row r="8" spans="1:15" x14ac:dyDescent="0.25">
      <c r="A8" s="2"/>
      <c r="B8" s="2"/>
      <c r="C8" s="103"/>
      <c r="D8" s="22"/>
      <c r="E8" s="22" t="s">
        <v>43</v>
      </c>
      <c r="F8" s="21" t="s">
        <v>89</v>
      </c>
      <c r="G8" s="21" t="s">
        <v>67</v>
      </c>
      <c r="H8" s="21" t="s">
        <v>47</v>
      </c>
      <c r="I8" s="21" t="s">
        <v>141</v>
      </c>
      <c r="J8" s="2"/>
      <c r="K8" s="21" t="s">
        <v>25</v>
      </c>
      <c r="L8" s="21" t="s">
        <v>147</v>
      </c>
      <c r="M8" s="21" t="s">
        <v>15</v>
      </c>
      <c r="N8" s="2"/>
      <c r="O8" s="2"/>
    </row>
    <row r="9" spans="1:15" x14ac:dyDescent="0.25">
      <c r="A9" s="2"/>
      <c r="B9" s="2"/>
      <c r="C9" s="103"/>
      <c r="D9" s="22"/>
      <c r="E9" s="22" t="s">
        <v>68</v>
      </c>
      <c r="F9" s="21" t="s">
        <v>69</v>
      </c>
      <c r="G9" s="21" t="s">
        <v>71</v>
      </c>
      <c r="H9" s="21" t="s">
        <v>49</v>
      </c>
      <c r="I9" s="21" t="s">
        <v>132</v>
      </c>
      <c r="J9" s="2"/>
      <c r="K9" s="21" t="s">
        <v>26</v>
      </c>
      <c r="L9" s="21" t="s">
        <v>146</v>
      </c>
      <c r="M9" s="21" t="s">
        <v>149</v>
      </c>
      <c r="N9" s="2"/>
      <c r="O9" s="2"/>
    </row>
    <row r="10" spans="1:15" x14ac:dyDescent="0.25">
      <c r="A10" s="2"/>
      <c r="B10" s="2"/>
      <c r="C10" s="103"/>
      <c r="D10" s="22"/>
      <c r="E10" s="22" t="s">
        <v>99</v>
      </c>
      <c r="F10" s="21" t="s">
        <v>113</v>
      </c>
      <c r="G10" s="21" t="s">
        <v>120</v>
      </c>
      <c r="H10" s="21" t="s">
        <v>50</v>
      </c>
      <c r="I10" s="21" t="s">
        <v>133</v>
      </c>
      <c r="J10" s="2"/>
      <c r="K10" s="21" t="s">
        <v>27</v>
      </c>
      <c r="L10" s="21" t="s">
        <v>145</v>
      </c>
      <c r="M10" s="21" t="s">
        <v>148</v>
      </c>
      <c r="N10" s="2"/>
      <c r="O10" s="2"/>
    </row>
    <row r="11" spans="1:15" x14ac:dyDescent="0.25">
      <c r="A11" s="2"/>
      <c r="B11" s="2"/>
      <c r="C11" s="103"/>
      <c r="D11" s="22"/>
      <c r="E11" s="22" t="s">
        <v>70</v>
      </c>
      <c r="F11" s="21" t="s">
        <v>114</v>
      </c>
      <c r="G11" s="21" t="s">
        <v>121</v>
      </c>
      <c r="H11" s="21" t="s">
        <v>71</v>
      </c>
      <c r="I11" s="21" t="s">
        <v>134</v>
      </c>
      <c r="J11" s="2"/>
      <c r="K11" s="2"/>
      <c r="L11" s="2"/>
      <c r="M11" s="2"/>
      <c r="N11" s="2"/>
      <c r="O11" s="2"/>
    </row>
    <row r="12" spans="1:15" x14ac:dyDescent="0.25">
      <c r="A12" s="2"/>
      <c r="B12" s="2"/>
      <c r="C12" s="103"/>
      <c r="D12" s="22"/>
      <c r="E12" s="22" t="s">
        <v>100</v>
      </c>
      <c r="F12" s="21" t="s">
        <v>48</v>
      </c>
      <c r="G12" s="21" t="s">
        <v>72</v>
      </c>
      <c r="H12" s="21" t="s">
        <v>123</v>
      </c>
      <c r="I12" s="21" t="s">
        <v>135</v>
      </c>
      <c r="J12" s="2"/>
      <c r="K12" s="2"/>
      <c r="L12" s="2"/>
      <c r="M12" s="2"/>
      <c r="N12" s="2"/>
      <c r="O12" s="2"/>
    </row>
    <row r="13" spans="1:15" x14ac:dyDescent="0.25">
      <c r="A13" s="2"/>
      <c r="B13" s="2"/>
      <c r="C13" s="103"/>
      <c r="D13" s="22"/>
      <c r="E13" s="22" t="s">
        <v>101</v>
      </c>
      <c r="F13" s="21" t="s">
        <v>115</v>
      </c>
      <c r="G13" s="21" t="s">
        <v>122</v>
      </c>
      <c r="H13" s="21" t="s">
        <v>114</v>
      </c>
      <c r="I13" s="21" t="s">
        <v>136</v>
      </c>
      <c r="J13" s="2"/>
      <c r="K13" s="2"/>
      <c r="L13" s="2"/>
      <c r="M13" s="2"/>
      <c r="N13" s="2"/>
      <c r="O13" s="2"/>
    </row>
    <row r="14" spans="1:15" x14ac:dyDescent="0.25">
      <c r="A14" s="2"/>
      <c r="B14" s="2"/>
      <c r="C14" s="103"/>
      <c r="D14" s="22"/>
      <c r="E14" s="22" t="s">
        <v>102</v>
      </c>
      <c r="F14" s="21" t="s">
        <v>116</v>
      </c>
      <c r="G14" s="21" t="s">
        <v>131</v>
      </c>
      <c r="H14" s="21" t="s">
        <v>75</v>
      </c>
      <c r="I14" s="21" t="s">
        <v>137</v>
      </c>
      <c r="J14" s="2"/>
      <c r="K14" s="2"/>
      <c r="L14" s="2"/>
      <c r="M14" s="2"/>
      <c r="N14" s="2"/>
      <c r="O14" s="2"/>
    </row>
    <row r="15" spans="1:15" x14ac:dyDescent="0.25">
      <c r="A15" s="2"/>
      <c r="B15" s="2"/>
      <c r="C15" s="103"/>
      <c r="D15" s="22"/>
      <c r="E15" s="22" t="s">
        <v>103</v>
      </c>
      <c r="F15" s="21" t="s">
        <v>117</v>
      </c>
      <c r="G15" s="21" t="s">
        <v>79</v>
      </c>
      <c r="H15" s="21" t="s">
        <v>76</v>
      </c>
      <c r="I15" s="21" t="s">
        <v>139</v>
      </c>
      <c r="J15" s="2"/>
      <c r="K15" s="2"/>
      <c r="L15" s="24"/>
      <c r="M15" s="2"/>
      <c r="N15" s="2"/>
      <c r="O15" s="2"/>
    </row>
    <row r="16" spans="1:15" ht="15.75" thickBot="1" x14ac:dyDescent="0.3">
      <c r="A16" s="2"/>
      <c r="B16" s="2"/>
      <c r="C16" s="104"/>
      <c r="D16" s="22"/>
      <c r="E16" s="22" t="s">
        <v>77</v>
      </c>
      <c r="F16" s="21" t="s">
        <v>118</v>
      </c>
      <c r="G16" s="21" t="s">
        <v>78</v>
      </c>
      <c r="H16" s="21" t="s">
        <v>79</v>
      </c>
      <c r="I16" s="21" t="s">
        <v>140</v>
      </c>
      <c r="J16" s="2"/>
      <c r="K16" s="2"/>
      <c r="L16" s="24"/>
      <c r="M16" s="2"/>
      <c r="N16" s="2"/>
      <c r="O16" s="2"/>
    </row>
    <row r="17" spans="1:17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4"/>
      <c r="M17" s="2"/>
      <c r="N17" s="2"/>
      <c r="O17" s="2"/>
    </row>
    <row r="18" spans="1:17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4"/>
      <c r="M18" s="2"/>
      <c r="N18" s="2"/>
      <c r="O18" s="2"/>
    </row>
    <row r="19" spans="1:17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4"/>
      <c r="M19" s="7"/>
      <c r="N19" s="7"/>
      <c r="O19" s="7"/>
      <c r="P19" s="6"/>
      <c r="Q19" s="6"/>
    </row>
    <row r="20" spans="1:17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4"/>
      <c r="M20" s="2"/>
      <c r="N20" s="2"/>
      <c r="O20" s="2"/>
    </row>
    <row r="21" spans="1:17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4"/>
      <c r="M21" s="2"/>
      <c r="N21" s="2"/>
      <c r="O21" s="2"/>
    </row>
    <row r="22" spans="1:17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4"/>
      <c r="M22" s="2"/>
      <c r="N22" s="2"/>
      <c r="O22" s="2"/>
    </row>
    <row r="23" spans="1:17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4"/>
      <c r="M23" s="2"/>
      <c r="N23" s="2"/>
      <c r="O23" s="2"/>
    </row>
    <row r="24" spans="1:17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4"/>
      <c r="M24" s="2"/>
      <c r="N24" s="2"/>
      <c r="O24" s="2"/>
    </row>
    <row r="25" spans="1:17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4"/>
      <c r="M25" s="2"/>
      <c r="N25" s="2"/>
      <c r="O25" s="2"/>
    </row>
    <row r="26" spans="1:17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7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7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7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7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7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7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</sheetData>
  <mergeCells count="5">
    <mergeCell ref="C1:M1"/>
    <mergeCell ref="L5:M5"/>
    <mergeCell ref="C5:C16"/>
    <mergeCell ref="C2:I2"/>
    <mergeCell ref="K2:M2"/>
  </mergeCells>
  <pageMargins left="0.25" right="0.25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OS">
    <pageSetUpPr autoPageBreaks="0"/>
  </sheetPr>
  <dimension ref="A1:Z1852"/>
  <sheetViews>
    <sheetView showRowColHeaders="0" tabSelected="1" topLeftCell="B1" zoomScale="150" zoomScaleNormal="150" workbookViewId="0">
      <selection activeCell="I3" sqref="I3"/>
    </sheetView>
  </sheetViews>
  <sheetFormatPr defaultRowHeight="15" x14ac:dyDescent="0.25"/>
  <cols>
    <col min="1" max="1" width="16.85546875" bestFit="1" customWidth="1"/>
    <col min="2" max="2" width="16.5703125" customWidth="1"/>
    <col min="3" max="3" width="2.42578125" customWidth="1"/>
    <col min="4" max="4" width="18" hidden="1" customWidth="1"/>
    <col min="5" max="5" width="14.140625" hidden="1" customWidth="1"/>
    <col min="6" max="6" width="6.7109375" hidden="1" customWidth="1"/>
    <col min="7" max="7" width="2.42578125" hidden="1" customWidth="1"/>
    <col min="8" max="8" width="9.140625" hidden="1" customWidth="1"/>
    <col min="9" max="9" width="10.28515625" customWidth="1"/>
    <col min="10" max="10" width="23.28515625" customWidth="1"/>
    <col min="11" max="11" width="9.28515625" style="6" customWidth="1"/>
    <col min="12" max="12" width="17.140625" customWidth="1"/>
    <col min="13" max="13" width="7.5703125" customWidth="1"/>
    <col min="14" max="14" width="17.85546875" customWidth="1"/>
    <col min="15" max="15" width="3.28515625" customWidth="1"/>
    <col min="16" max="16" width="6.85546875" customWidth="1"/>
    <col min="17" max="17" width="2" customWidth="1"/>
    <col min="18" max="23" width="11.7109375" customWidth="1"/>
  </cols>
  <sheetData>
    <row r="1" spans="1:26" ht="44.25" customHeight="1" x14ac:dyDescent="0.25">
      <c r="A1" s="44" t="s">
        <v>20</v>
      </c>
      <c r="B1" s="45" t="s">
        <v>1458</v>
      </c>
      <c r="C1" s="48"/>
      <c r="D1" s="48"/>
      <c r="E1" s="48"/>
      <c r="F1" s="48"/>
      <c r="G1" s="48"/>
      <c r="H1" s="48"/>
      <c r="I1" s="48"/>
      <c r="J1" s="48"/>
      <c r="K1" s="86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</row>
    <row r="2" spans="1:26" ht="42.75" customHeight="1" x14ac:dyDescent="0.25">
      <c r="A2" s="44" t="s">
        <v>19</v>
      </c>
      <c r="B2" s="45" t="b">
        <v>0</v>
      </c>
      <c r="C2" s="1"/>
      <c r="D2" s="1"/>
      <c r="E2" s="1"/>
      <c r="F2" s="1"/>
      <c r="G2" s="1"/>
      <c r="H2" s="1"/>
      <c r="I2" s="1"/>
      <c r="J2" s="1"/>
      <c r="K2" s="87"/>
      <c r="L2" s="1"/>
      <c r="M2" s="1"/>
      <c r="N2" s="49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" customHeight="1" x14ac:dyDescent="0.25">
      <c r="A3" s="44" t="s">
        <v>127</v>
      </c>
      <c r="B3" s="45">
        <f ca="1">IFERROR(MATCH(P4,Order_ID,0)+2,"")</f>
        <v>238</v>
      </c>
      <c r="C3" s="2"/>
      <c r="D3" s="111" t="s">
        <v>87</v>
      </c>
      <c r="E3" s="111"/>
      <c r="F3" s="111"/>
      <c r="G3" s="2"/>
      <c r="H3" s="2"/>
      <c r="I3" s="39" t="s">
        <v>1519</v>
      </c>
      <c r="J3" s="41"/>
      <c r="K3" s="53" t="s">
        <v>28</v>
      </c>
      <c r="L3" s="113" t="s">
        <v>151</v>
      </c>
      <c r="M3" s="113"/>
      <c r="N3" s="53" t="s">
        <v>170</v>
      </c>
      <c r="O3" s="113" t="s">
        <v>24</v>
      </c>
      <c r="P3" s="113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8" customHeight="1" x14ac:dyDescent="0.55000000000000004">
      <c r="A4" s="44" t="s">
        <v>93</v>
      </c>
      <c r="B4" s="45">
        <f ca="1">IFERROR(MAX(Order_ID)+1,"10000")</f>
        <v>10238</v>
      </c>
      <c r="C4" s="2"/>
      <c r="D4" s="51" t="s">
        <v>51</v>
      </c>
      <c r="E4" s="51" t="s">
        <v>167</v>
      </c>
      <c r="F4" s="51" t="s">
        <v>33</v>
      </c>
      <c r="G4" s="2"/>
      <c r="H4" s="2"/>
      <c r="I4" s="52" t="str">
        <f>IF(B1="SALE","Customer:","Vendor:")</f>
        <v>Customer:</v>
      </c>
      <c r="K4" s="88" t="s">
        <v>169</v>
      </c>
      <c r="L4" s="115">
        <v>45744.823865740742</v>
      </c>
      <c r="M4" s="115"/>
      <c r="N4" s="114" t="s">
        <v>11</v>
      </c>
      <c r="O4" s="114"/>
      <c r="P4" s="40">
        <v>10235</v>
      </c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8" customHeight="1" x14ac:dyDescent="0.25">
      <c r="A5" s="44" t="s">
        <v>94</v>
      </c>
      <c r="B5" s="45" t="str">
        <f ca="1">IFERROR(MATCH(I3,Order_ID,0)+2,"")</f>
        <v/>
      </c>
      <c r="C5" s="2"/>
      <c r="D5" s="54"/>
      <c r="E5" s="2"/>
      <c r="F5" s="2"/>
      <c r="G5" s="2"/>
      <c r="H5" s="2"/>
      <c r="I5" s="85" t="s">
        <v>168</v>
      </c>
      <c r="J5" s="67" t="s">
        <v>739</v>
      </c>
      <c r="K5" s="7"/>
      <c r="L5" s="2"/>
      <c r="M5" s="2"/>
      <c r="N5" s="2" t="str">
        <f>IF(K5="","",(K5*L5)-(K5*L5)*M5)</f>
        <v/>
      </c>
      <c r="O5" s="2"/>
      <c r="P5" s="112" t="s">
        <v>12</v>
      </c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8" customHeight="1" x14ac:dyDescent="0.25">
      <c r="A6" s="44" t="s">
        <v>22</v>
      </c>
      <c r="B6" s="45"/>
      <c r="C6" s="2"/>
      <c r="D6" s="50"/>
      <c r="E6" s="2"/>
      <c r="F6" s="2"/>
      <c r="G6" s="7"/>
      <c r="H6" s="55" t="s">
        <v>173</v>
      </c>
      <c r="I6" s="42" t="s">
        <v>171</v>
      </c>
      <c r="J6" s="32" t="s">
        <v>3</v>
      </c>
      <c r="K6" s="43" t="s">
        <v>4</v>
      </c>
      <c r="L6" s="43" t="s">
        <v>5</v>
      </c>
      <c r="M6" s="43" t="s">
        <v>6</v>
      </c>
      <c r="N6" s="43" t="s">
        <v>7</v>
      </c>
      <c r="O6" s="43"/>
      <c r="P6" s="11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8" customHeight="1" x14ac:dyDescent="0.5">
      <c r="A7" s="44" t="s">
        <v>172</v>
      </c>
      <c r="B7" s="45">
        <f ca="1">IFERROR(MATCH(J5,Prod_SKU,0)+2,"")</f>
        <v>301</v>
      </c>
      <c r="C7" s="2"/>
      <c r="D7" s="50"/>
      <c r="E7" s="2"/>
      <c r="F7" s="2"/>
      <c r="G7" s="2"/>
      <c r="H7" s="55"/>
      <c r="I7" s="94"/>
      <c r="J7" s="36"/>
      <c r="K7" s="93"/>
      <c r="L7" s="79"/>
      <c r="M7" s="80"/>
      <c r="N7" s="73"/>
      <c r="O7" s="82"/>
      <c r="P7" s="56" t="str">
        <f t="shared" ref="P7:P70" si="0">IF(I7="","",SUMIFS(OrderItems_Qty,OrderItems_Type,"PURCHASE",OrderItems_SKU,I7)-SUMIFS(OrderItems_Qty,OrderItems_Type,"SALE",OrderItems_SKU,I7))</f>
        <v/>
      </c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8" customHeight="1" x14ac:dyDescent="0.5">
      <c r="A8" s="44" t="s">
        <v>160</v>
      </c>
      <c r="B8" s="45">
        <v>10</v>
      </c>
      <c r="C8" s="2"/>
      <c r="D8" s="50"/>
      <c r="E8" s="2"/>
      <c r="F8" s="2"/>
      <c r="G8" s="2"/>
      <c r="H8" s="55"/>
      <c r="I8" s="95"/>
      <c r="J8" s="37"/>
      <c r="K8" s="93"/>
      <c r="L8" s="73"/>
      <c r="M8" s="81"/>
      <c r="N8" s="73"/>
      <c r="O8" s="83"/>
      <c r="P8" s="38" t="str">
        <f t="shared" si="0"/>
        <v/>
      </c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8" customHeight="1" x14ac:dyDescent="0.5">
      <c r="A9" s="44" t="s">
        <v>13</v>
      </c>
      <c r="B9" s="45">
        <v>1</v>
      </c>
      <c r="C9" s="2"/>
      <c r="D9" s="50"/>
      <c r="E9" s="2"/>
      <c r="F9" s="2"/>
      <c r="G9" s="2"/>
      <c r="H9" s="55"/>
      <c r="I9" s="95"/>
      <c r="J9" s="37"/>
      <c r="K9" s="93"/>
      <c r="L9" s="73"/>
      <c r="M9" s="81"/>
      <c r="N9" s="73"/>
      <c r="O9" s="83"/>
      <c r="P9" s="38" t="str">
        <f t="shared" si="0"/>
        <v/>
      </c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8" customHeight="1" x14ac:dyDescent="0.5">
      <c r="A10" s="44" t="s">
        <v>30</v>
      </c>
      <c r="B10" s="45">
        <f ca="1">IFERROR(MATCH(B9,User_ID,0)+2,"")</f>
        <v>3</v>
      </c>
      <c r="C10" s="2"/>
      <c r="D10" s="50"/>
      <c r="E10" s="2"/>
      <c r="F10" s="2"/>
      <c r="G10" s="2"/>
      <c r="H10" s="55"/>
      <c r="I10" s="95"/>
      <c r="J10" s="37"/>
      <c r="K10" s="93"/>
      <c r="L10" s="73"/>
      <c r="M10" s="81"/>
      <c r="N10" s="73"/>
      <c r="O10" s="83"/>
      <c r="P10" s="38" t="str">
        <f t="shared" si="0"/>
        <v/>
      </c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8" customHeight="1" x14ac:dyDescent="0.5">
      <c r="A11" s="44" t="s">
        <v>161</v>
      </c>
      <c r="B11" s="45" t="str">
        <f ca="1">IFERROR(INDEX(User_Role,B10-2,1),"")</f>
        <v>Manager</v>
      </c>
      <c r="C11" s="2"/>
      <c r="D11" s="50"/>
      <c r="E11" s="2"/>
      <c r="F11" s="2"/>
      <c r="G11" s="2"/>
      <c r="H11" s="55"/>
      <c r="I11" s="95"/>
      <c r="J11" s="46"/>
      <c r="K11" s="93"/>
      <c r="L11" s="73"/>
      <c r="M11" s="81"/>
      <c r="N11" s="73"/>
      <c r="O11" s="83"/>
      <c r="P11" s="38" t="str">
        <f t="shared" si="0"/>
        <v/>
      </c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8" customHeight="1" x14ac:dyDescent="0.5">
      <c r="A12" s="47"/>
      <c r="B12" s="47"/>
      <c r="C12" s="2"/>
      <c r="D12" s="50"/>
      <c r="E12" s="2"/>
      <c r="F12" s="2"/>
      <c r="G12" s="2"/>
      <c r="H12" s="55"/>
      <c r="I12" s="95"/>
      <c r="J12" s="46"/>
      <c r="K12" s="93"/>
      <c r="L12" s="73"/>
      <c r="M12" s="81"/>
      <c r="N12" s="73"/>
      <c r="O12" s="83"/>
      <c r="P12" s="38" t="str">
        <f t="shared" si="0"/>
        <v/>
      </c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8" customHeight="1" x14ac:dyDescent="0.5">
      <c r="A13" s="35" t="s">
        <v>16</v>
      </c>
      <c r="B13" s="68">
        <f>SUM(N7:N999)</f>
        <v>0</v>
      </c>
      <c r="C13" s="2"/>
      <c r="D13" s="50"/>
      <c r="E13" s="2"/>
      <c r="F13" s="2"/>
      <c r="G13" s="2"/>
      <c r="H13" s="55"/>
      <c r="I13" s="95"/>
      <c r="J13" s="46"/>
      <c r="K13" s="93"/>
      <c r="L13" s="73"/>
      <c r="M13" s="81"/>
      <c r="N13" s="73"/>
      <c r="O13" s="83"/>
      <c r="P13" s="38" t="str">
        <f t="shared" si="0"/>
        <v/>
      </c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8" customHeight="1" x14ac:dyDescent="0.5">
      <c r="A14" s="35" t="str">
        <f>TaxName&amp;"("&amp;TEXT(TaxRate,"0.00%")&amp;"):"</f>
        <v>Tax(0.00%):</v>
      </c>
      <c r="B14" s="68">
        <f>B13*TaxRate</f>
        <v>0</v>
      </c>
      <c r="C14" s="2"/>
      <c r="D14" s="50"/>
      <c r="E14" s="2"/>
      <c r="F14" s="2"/>
      <c r="G14" s="2"/>
      <c r="H14" s="55"/>
      <c r="I14" s="95"/>
      <c r="J14" s="46"/>
      <c r="K14" s="93"/>
      <c r="L14" s="73"/>
      <c r="M14" s="81"/>
      <c r="N14" s="73"/>
      <c r="O14" s="83"/>
      <c r="P14" s="38" t="str">
        <f t="shared" si="0"/>
        <v/>
      </c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8" customHeight="1" x14ac:dyDescent="0.55000000000000004">
      <c r="A15" s="35" t="s">
        <v>7</v>
      </c>
      <c r="B15" s="92">
        <f>SUM(B13:B14)</f>
        <v>0</v>
      </c>
      <c r="C15" s="2"/>
      <c r="D15" s="50"/>
      <c r="E15" s="2"/>
      <c r="F15" s="2"/>
      <c r="G15" s="2"/>
      <c r="H15" s="55"/>
      <c r="I15" s="95"/>
      <c r="J15" s="37"/>
      <c r="K15" s="93"/>
      <c r="L15" s="73"/>
      <c r="M15" s="81"/>
      <c r="N15" s="73"/>
      <c r="O15" s="83"/>
      <c r="P15" s="38" t="str">
        <f t="shared" si="0"/>
        <v/>
      </c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8" customHeight="1" x14ac:dyDescent="0.55000000000000004">
      <c r="A16" s="35" t="s">
        <v>17</v>
      </c>
      <c r="B16" s="92"/>
      <c r="C16" s="2"/>
      <c r="D16" s="50"/>
      <c r="E16" s="2"/>
      <c r="F16" s="2"/>
      <c r="G16" s="2"/>
      <c r="H16" s="55"/>
      <c r="I16" s="95"/>
      <c r="J16" s="37"/>
      <c r="K16" s="93"/>
      <c r="L16" s="73"/>
      <c r="M16" s="81"/>
      <c r="N16" s="73"/>
      <c r="O16" s="83"/>
      <c r="P16" s="38" t="str">
        <f t="shared" si="0"/>
        <v/>
      </c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8" customHeight="1" x14ac:dyDescent="0.55000000000000004">
      <c r="A17" s="35" t="s">
        <v>18</v>
      </c>
      <c r="B17" s="92" t="str">
        <f>IF(B16="","",B16-B15)</f>
        <v/>
      </c>
      <c r="C17" s="2"/>
      <c r="D17" s="50"/>
      <c r="E17" s="2"/>
      <c r="F17" s="2"/>
      <c r="G17" s="2"/>
      <c r="H17" s="55"/>
      <c r="I17" s="95"/>
      <c r="J17" s="37"/>
      <c r="K17" s="93"/>
      <c r="L17" s="73"/>
      <c r="M17" s="81"/>
      <c r="N17" s="73"/>
      <c r="O17" s="83"/>
      <c r="P17" s="38" t="str">
        <f t="shared" si="0"/>
        <v/>
      </c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8" customHeight="1" x14ac:dyDescent="0.5">
      <c r="A18" s="47"/>
      <c r="B18" s="47"/>
      <c r="C18" s="2"/>
      <c r="D18" s="50"/>
      <c r="E18" s="2"/>
      <c r="F18" s="2"/>
      <c r="G18" s="2"/>
      <c r="H18" s="55"/>
      <c r="I18" s="95"/>
      <c r="J18" s="37"/>
      <c r="K18" s="93"/>
      <c r="L18" s="73"/>
      <c r="M18" s="81"/>
      <c r="N18" s="73"/>
      <c r="O18" s="83"/>
      <c r="P18" s="38" t="str">
        <f t="shared" si="0"/>
        <v/>
      </c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8" customHeight="1" x14ac:dyDescent="0.5">
      <c r="A19" s="57" t="s">
        <v>174</v>
      </c>
      <c r="B19" s="57" t="b">
        <f ca="1">IFERROR(IF(AND(B1="SALE",ISERROR(MATCH(J4,Customer_Name,0)=TRUE)),TRUE,FALSE),FALSE)</f>
        <v>1</v>
      </c>
      <c r="C19" s="2"/>
      <c r="D19" s="50"/>
      <c r="E19" s="2"/>
      <c r="F19" s="2"/>
      <c r="G19" s="2"/>
      <c r="H19" s="7"/>
      <c r="I19" s="95"/>
      <c r="J19" s="37"/>
      <c r="K19" s="93"/>
      <c r="L19" s="73"/>
      <c r="M19" s="81"/>
      <c r="N19" s="73"/>
      <c r="O19" s="83"/>
      <c r="P19" s="38" t="str">
        <f t="shared" si="0"/>
        <v/>
      </c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8" customHeight="1" x14ac:dyDescent="0.5">
      <c r="A20" s="57" t="s">
        <v>175</v>
      </c>
      <c r="B20" s="57" t="b">
        <f ca="1">IFERROR(IF(AND(B1="PURCHASE",ISERROR(MATCH(J4,Vendor_Name,0)=TRUE)),TRUE,FALSE),FALSE)</f>
        <v>0</v>
      </c>
      <c r="C20" s="2"/>
      <c r="D20" s="50"/>
      <c r="E20" s="2"/>
      <c r="F20" s="2"/>
      <c r="G20" s="2"/>
      <c r="H20" s="7"/>
      <c r="I20" s="95"/>
      <c r="J20" s="37"/>
      <c r="K20" s="93"/>
      <c r="L20" s="73"/>
      <c r="M20" s="81"/>
      <c r="N20" s="73"/>
      <c r="O20" s="83"/>
      <c r="P20" s="38" t="str">
        <f t="shared" si="0"/>
        <v/>
      </c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8" customHeight="1" x14ac:dyDescent="0.5">
      <c r="A21" s="47"/>
      <c r="B21" s="47"/>
      <c r="C21" s="2"/>
      <c r="D21" s="50"/>
      <c r="E21" s="2"/>
      <c r="F21" s="2"/>
      <c r="G21" s="2"/>
      <c r="H21" s="7"/>
      <c r="I21" s="95"/>
      <c r="J21" s="37"/>
      <c r="K21" s="93"/>
      <c r="L21" s="73"/>
      <c r="M21" s="81"/>
      <c r="N21" s="73"/>
      <c r="O21" s="83"/>
      <c r="P21" s="38" t="str">
        <f t="shared" si="0"/>
        <v/>
      </c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8" customHeight="1" x14ac:dyDescent="0.5">
      <c r="A22" s="47"/>
      <c r="B22" s="47"/>
      <c r="C22" s="2"/>
      <c r="D22" s="50"/>
      <c r="E22" s="2"/>
      <c r="F22" s="2"/>
      <c r="G22" s="2"/>
      <c r="H22" s="7"/>
      <c r="I22" s="95"/>
      <c r="J22" s="37"/>
      <c r="K22" s="93"/>
      <c r="L22" s="73"/>
      <c r="M22" s="81"/>
      <c r="N22" s="73"/>
      <c r="O22" s="83"/>
      <c r="P22" s="38" t="str">
        <f t="shared" si="0"/>
        <v/>
      </c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8" customHeight="1" x14ac:dyDescent="0.5">
      <c r="A23" s="47"/>
      <c r="B23" s="47"/>
      <c r="C23" s="2"/>
      <c r="D23" s="50"/>
      <c r="E23" s="2"/>
      <c r="F23" s="2"/>
      <c r="G23" s="2"/>
      <c r="H23" s="7"/>
      <c r="I23" s="95"/>
      <c r="J23" s="37"/>
      <c r="K23" s="93"/>
      <c r="L23" s="73"/>
      <c r="M23" s="81"/>
      <c r="N23" s="73"/>
      <c r="O23" s="83"/>
      <c r="P23" s="38" t="str">
        <f t="shared" si="0"/>
        <v/>
      </c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8" customHeight="1" x14ac:dyDescent="0.5">
      <c r="A24" s="47"/>
      <c r="B24" s="47"/>
      <c r="C24" s="2"/>
      <c r="D24" s="50"/>
      <c r="E24" s="2"/>
      <c r="F24" s="2"/>
      <c r="G24" s="2"/>
      <c r="H24" s="7"/>
      <c r="I24" s="95"/>
      <c r="J24" s="37"/>
      <c r="K24" s="93"/>
      <c r="L24" s="73"/>
      <c r="M24" s="81"/>
      <c r="N24" s="73"/>
      <c r="O24" s="83"/>
      <c r="P24" s="38" t="str">
        <f t="shared" si="0"/>
        <v/>
      </c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7.45" customHeight="1" x14ac:dyDescent="0.5">
      <c r="A25" s="47"/>
      <c r="B25" s="47"/>
      <c r="C25" s="2"/>
      <c r="D25" s="50"/>
      <c r="E25" s="2"/>
      <c r="F25" s="2"/>
      <c r="G25" s="2"/>
      <c r="H25" s="7"/>
      <c r="I25" s="95"/>
      <c r="J25" s="24"/>
      <c r="K25" s="93"/>
      <c r="L25" s="73"/>
      <c r="M25" s="81"/>
      <c r="N25" s="73"/>
      <c r="O25" s="83"/>
      <c r="P25" s="7" t="str">
        <f t="shared" si="0"/>
        <v/>
      </c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7.45" customHeight="1" x14ac:dyDescent="0.5">
      <c r="A26" s="47"/>
      <c r="B26" s="47"/>
      <c r="C26" s="2"/>
      <c r="D26" s="50"/>
      <c r="E26" s="2"/>
      <c r="F26" s="2"/>
      <c r="G26" s="2"/>
      <c r="H26" s="7"/>
      <c r="I26" s="95"/>
      <c r="J26" s="24"/>
      <c r="K26" s="93"/>
      <c r="L26" s="73"/>
      <c r="M26" s="81"/>
      <c r="N26" s="73"/>
      <c r="O26" s="83"/>
      <c r="P26" s="7" t="str">
        <f t="shared" si="0"/>
        <v/>
      </c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7.45" customHeight="1" x14ac:dyDescent="0.5">
      <c r="A27" s="47"/>
      <c r="B27" s="47"/>
      <c r="C27" s="2"/>
      <c r="D27" s="50"/>
      <c r="E27" s="2"/>
      <c r="F27" s="2"/>
      <c r="G27" s="2"/>
      <c r="H27" s="7"/>
      <c r="I27" s="95"/>
      <c r="J27" s="24"/>
      <c r="K27" s="93"/>
      <c r="L27" s="73"/>
      <c r="M27" s="81"/>
      <c r="N27" s="73"/>
      <c r="O27" s="83"/>
      <c r="P27" s="7" t="str">
        <f t="shared" si="0"/>
        <v/>
      </c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7.45" customHeight="1" x14ac:dyDescent="0.5">
      <c r="A28" s="47"/>
      <c r="B28" s="47"/>
      <c r="C28" s="2"/>
      <c r="D28" s="50"/>
      <c r="E28" s="2"/>
      <c r="F28" s="2"/>
      <c r="G28" s="2"/>
      <c r="H28" s="7"/>
      <c r="I28" s="95"/>
      <c r="J28" s="24"/>
      <c r="K28" s="93"/>
      <c r="L28" s="73"/>
      <c r="M28" s="81"/>
      <c r="N28" s="73"/>
      <c r="O28" s="83"/>
      <c r="P28" s="7" t="str">
        <f t="shared" si="0"/>
        <v/>
      </c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7.45" customHeight="1" x14ac:dyDescent="0.5">
      <c r="A29" s="47"/>
      <c r="B29" s="47"/>
      <c r="C29" s="2"/>
      <c r="D29" s="50"/>
      <c r="E29" s="2"/>
      <c r="F29" s="2"/>
      <c r="G29" s="2"/>
      <c r="H29" s="7"/>
      <c r="I29" s="95"/>
      <c r="J29" s="24"/>
      <c r="K29" s="93"/>
      <c r="L29" s="73"/>
      <c r="M29" s="81"/>
      <c r="N29" s="73"/>
      <c r="O29" s="83"/>
      <c r="P29" s="24" t="str">
        <f t="shared" si="0"/>
        <v/>
      </c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7.45" customHeight="1" x14ac:dyDescent="0.5">
      <c r="A30" s="47"/>
      <c r="B30" s="47"/>
      <c r="C30" s="2"/>
      <c r="D30" s="50"/>
      <c r="E30" s="2"/>
      <c r="F30" s="2"/>
      <c r="G30" s="2"/>
      <c r="H30" s="7"/>
      <c r="I30" s="96"/>
      <c r="J30" s="2"/>
      <c r="K30" s="93"/>
      <c r="L30" s="74"/>
      <c r="M30" s="76"/>
      <c r="N30" s="74"/>
      <c r="O30" s="84"/>
      <c r="P30" s="2" t="str">
        <f t="shared" si="0"/>
        <v/>
      </c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7.45" customHeight="1" x14ac:dyDescent="0.5">
      <c r="A31" s="47"/>
      <c r="B31" s="47"/>
      <c r="C31" s="2"/>
      <c r="D31" s="50"/>
      <c r="E31" s="2"/>
      <c r="F31" s="2"/>
      <c r="G31" s="2"/>
      <c r="H31" s="7"/>
      <c r="I31" s="96"/>
      <c r="J31" s="2"/>
      <c r="K31" s="93"/>
      <c r="L31" s="74"/>
      <c r="M31" s="76"/>
      <c r="N31" s="74"/>
      <c r="O31" s="84"/>
      <c r="P31" s="2" t="str">
        <f t="shared" si="0"/>
        <v/>
      </c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7.45" customHeight="1" x14ac:dyDescent="0.5">
      <c r="A32" s="47"/>
      <c r="B32" s="47"/>
      <c r="C32" s="2"/>
      <c r="D32" s="50"/>
      <c r="E32" s="2"/>
      <c r="F32" s="2"/>
      <c r="G32" s="2"/>
      <c r="H32" s="7"/>
      <c r="I32" s="96"/>
      <c r="J32" s="2"/>
      <c r="K32" s="93"/>
      <c r="L32" s="74"/>
      <c r="M32" s="76"/>
      <c r="N32" s="74"/>
      <c r="O32" s="84"/>
      <c r="P32" s="2" t="str">
        <f t="shared" si="0"/>
        <v/>
      </c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7.45" customHeight="1" x14ac:dyDescent="0.5">
      <c r="A33" s="47"/>
      <c r="B33" s="47"/>
      <c r="C33" s="2"/>
      <c r="D33" s="50"/>
      <c r="E33" s="2"/>
      <c r="F33" s="2"/>
      <c r="G33" s="2"/>
      <c r="H33" s="7"/>
      <c r="I33" s="96"/>
      <c r="J33" s="2"/>
      <c r="K33" s="93"/>
      <c r="L33" s="74"/>
      <c r="M33" s="76"/>
      <c r="N33" s="74"/>
      <c r="O33" s="84"/>
      <c r="P33" s="2" t="str">
        <f t="shared" si="0"/>
        <v/>
      </c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7.45" customHeight="1" x14ac:dyDescent="0.5">
      <c r="A34" s="47"/>
      <c r="B34" s="47"/>
      <c r="C34" s="2"/>
      <c r="D34" s="50"/>
      <c r="E34" s="2"/>
      <c r="F34" s="2"/>
      <c r="G34" s="2"/>
      <c r="H34" s="7"/>
      <c r="I34" s="96"/>
      <c r="J34" s="2"/>
      <c r="K34" s="93"/>
      <c r="L34" s="75"/>
      <c r="M34" s="76"/>
      <c r="N34" s="74"/>
      <c r="O34" s="84"/>
      <c r="P34" s="2" t="str">
        <f t="shared" si="0"/>
        <v/>
      </c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7.45" customHeight="1" x14ac:dyDescent="0.5">
      <c r="A35" s="47"/>
      <c r="B35" s="47"/>
      <c r="C35" s="2"/>
      <c r="D35" s="50"/>
      <c r="E35" s="2"/>
      <c r="F35" s="2"/>
      <c r="G35" s="2"/>
      <c r="H35" s="7"/>
      <c r="I35" s="96"/>
      <c r="J35" s="2"/>
      <c r="K35" s="93"/>
      <c r="L35" s="75"/>
      <c r="M35" s="76"/>
      <c r="N35" s="74"/>
      <c r="O35" s="84"/>
      <c r="P35" s="2" t="str">
        <f t="shared" si="0"/>
        <v/>
      </c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7.45" customHeight="1" x14ac:dyDescent="0.5">
      <c r="A36" s="47"/>
      <c r="B36" s="47"/>
      <c r="C36" s="2"/>
      <c r="D36" s="50"/>
      <c r="E36" s="2"/>
      <c r="F36" s="2"/>
      <c r="G36" s="2"/>
      <c r="H36" s="7"/>
      <c r="I36" s="96"/>
      <c r="J36" s="2"/>
      <c r="K36" s="93"/>
      <c r="L36" s="75"/>
      <c r="M36" s="76"/>
      <c r="N36" s="74"/>
      <c r="O36" s="84"/>
      <c r="P36" s="2" t="str">
        <f t="shared" si="0"/>
        <v/>
      </c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7.45" customHeight="1" x14ac:dyDescent="0.5">
      <c r="A37" s="47"/>
      <c r="B37" s="47"/>
      <c r="C37" s="2"/>
      <c r="D37" s="50"/>
      <c r="E37" s="2"/>
      <c r="F37" s="2"/>
      <c r="G37" s="2"/>
      <c r="H37" s="7"/>
      <c r="I37" s="96"/>
      <c r="J37" s="2"/>
      <c r="K37" s="93"/>
      <c r="L37" s="75"/>
      <c r="M37" s="76"/>
      <c r="N37" s="74"/>
      <c r="O37" s="84"/>
      <c r="P37" s="2" t="str">
        <f t="shared" si="0"/>
        <v/>
      </c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7.45" customHeight="1" x14ac:dyDescent="0.5">
      <c r="A38" s="47"/>
      <c r="B38" s="47"/>
      <c r="C38" s="2"/>
      <c r="D38" s="50"/>
      <c r="E38" s="2"/>
      <c r="F38" s="2"/>
      <c r="G38" s="2"/>
      <c r="H38" s="7"/>
      <c r="I38" s="96"/>
      <c r="J38" s="2"/>
      <c r="K38" s="93"/>
      <c r="L38" s="75"/>
      <c r="M38" s="76"/>
      <c r="N38" s="74"/>
      <c r="O38" s="84"/>
      <c r="P38" s="2" t="str">
        <f t="shared" si="0"/>
        <v/>
      </c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7.45" customHeight="1" x14ac:dyDescent="0.5">
      <c r="C39" s="2"/>
      <c r="D39" s="50"/>
      <c r="E39" s="2"/>
      <c r="F39" s="2"/>
      <c r="G39" s="2"/>
      <c r="H39" s="7"/>
      <c r="I39" s="96"/>
      <c r="J39" s="2"/>
      <c r="K39" s="93"/>
      <c r="L39" s="75"/>
      <c r="M39" s="76"/>
      <c r="N39" s="74"/>
      <c r="O39" s="84"/>
      <c r="P39" s="2" t="str">
        <f t="shared" si="0"/>
        <v/>
      </c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7.45" customHeight="1" x14ac:dyDescent="0.5">
      <c r="C40" s="2"/>
      <c r="D40" s="50"/>
      <c r="E40" s="2"/>
      <c r="F40" s="2"/>
      <c r="G40" s="2"/>
      <c r="H40" s="2"/>
      <c r="I40" s="96"/>
      <c r="J40" s="2"/>
      <c r="K40" s="93"/>
      <c r="L40" s="75"/>
      <c r="M40" s="76"/>
      <c r="N40" s="74"/>
      <c r="O40" s="84"/>
      <c r="P40" s="2" t="str">
        <f t="shared" si="0"/>
        <v/>
      </c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7.45" customHeight="1" x14ac:dyDescent="0.5">
      <c r="C41" s="2"/>
      <c r="D41" s="50"/>
      <c r="E41" s="2"/>
      <c r="F41" s="2"/>
      <c r="G41" s="2"/>
      <c r="H41" s="2"/>
      <c r="I41" s="96"/>
      <c r="J41" s="2"/>
      <c r="K41" s="93"/>
      <c r="L41" s="75"/>
      <c r="M41" s="76"/>
      <c r="N41" s="74"/>
      <c r="O41" s="84"/>
      <c r="P41" s="2" t="str">
        <f t="shared" si="0"/>
        <v/>
      </c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7.45" customHeight="1" x14ac:dyDescent="0.5">
      <c r="C42" s="2"/>
      <c r="D42" s="50"/>
      <c r="E42" s="2"/>
      <c r="F42" s="2"/>
      <c r="G42" s="2"/>
      <c r="H42" s="2"/>
      <c r="I42" s="96"/>
      <c r="J42" s="2"/>
      <c r="K42" s="93"/>
      <c r="L42" s="75"/>
      <c r="M42" s="76"/>
      <c r="N42" s="74"/>
      <c r="O42" s="84"/>
      <c r="P42" s="2" t="str">
        <f t="shared" si="0"/>
        <v/>
      </c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7.45" customHeight="1" x14ac:dyDescent="0.5">
      <c r="C43" s="2"/>
      <c r="D43" s="50"/>
      <c r="E43" s="2"/>
      <c r="F43" s="2"/>
      <c r="G43" s="2"/>
      <c r="H43" s="2"/>
      <c r="I43" s="96"/>
      <c r="J43" s="2"/>
      <c r="K43" s="93"/>
      <c r="L43" s="75"/>
      <c r="M43" s="76"/>
      <c r="N43" s="74"/>
      <c r="O43" s="84"/>
      <c r="P43" s="2" t="str">
        <f t="shared" si="0"/>
        <v/>
      </c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7.45" customHeight="1" x14ac:dyDescent="0.5">
      <c r="C44" s="2"/>
      <c r="D44" s="50"/>
      <c r="E44" s="2"/>
      <c r="F44" s="2"/>
      <c r="G44" s="2"/>
      <c r="H44" s="2"/>
      <c r="I44" s="96"/>
      <c r="J44" s="2"/>
      <c r="K44" s="93"/>
      <c r="L44" s="75"/>
      <c r="M44" s="76"/>
      <c r="N44" s="74"/>
      <c r="O44" s="84"/>
      <c r="P44" s="2" t="str">
        <f t="shared" si="0"/>
        <v/>
      </c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7.45" customHeight="1" x14ac:dyDescent="0.5">
      <c r="C45" s="2"/>
      <c r="D45" s="50"/>
      <c r="E45" s="2"/>
      <c r="F45" s="2"/>
      <c r="G45" s="2"/>
      <c r="H45" s="2"/>
      <c r="I45" s="96"/>
      <c r="J45" s="2"/>
      <c r="K45" s="93"/>
      <c r="L45" s="75"/>
      <c r="M45" s="76"/>
      <c r="N45" s="74"/>
      <c r="O45" s="84"/>
      <c r="P45" s="2" t="str">
        <f t="shared" si="0"/>
        <v/>
      </c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7.45" customHeight="1" x14ac:dyDescent="0.5">
      <c r="C46" s="2"/>
      <c r="D46" s="50"/>
      <c r="E46" s="2"/>
      <c r="F46" s="2"/>
      <c r="G46" s="2"/>
      <c r="H46" s="2"/>
      <c r="I46" s="96"/>
      <c r="J46" s="2"/>
      <c r="K46" s="93"/>
      <c r="L46" s="75"/>
      <c r="M46" s="76"/>
      <c r="N46" s="74"/>
      <c r="O46" s="84"/>
      <c r="P46" s="2" t="str">
        <f t="shared" si="0"/>
        <v/>
      </c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7.45" customHeight="1" x14ac:dyDescent="0.5">
      <c r="C47" s="2"/>
      <c r="D47" s="50"/>
      <c r="E47" s="2"/>
      <c r="F47" s="2"/>
      <c r="G47" s="2"/>
      <c r="H47" s="2"/>
      <c r="I47" s="96"/>
      <c r="J47" s="2"/>
      <c r="K47" s="93"/>
      <c r="L47" s="75"/>
      <c r="M47" s="76"/>
      <c r="N47" s="74"/>
      <c r="O47" s="84"/>
      <c r="P47" s="2" t="str">
        <f t="shared" si="0"/>
        <v/>
      </c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7.45" customHeight="1" x14ac:dyDescent="0.5">
      <c r="C48" s="2"/>
      <c r="D48" s="50"/>
      <c r="E48" s="2"/>
      <c r="F48" s="2"/>
      <c r="G48" s="2"/>
      <c r="H48" s="2"/>
      <c r="I48" s="96"/>
      <c r="J48" s="2"/>
      <c r="K48" s="93"/>
      <c r="L48" s="75"/>
      <c r="M48" s="76"/>
      <c r="N48" s="74"/>
      <c r="O48" s="84"/>
      <c r="P48" s="2" t="str">
        <f t="shared" si="0"/>
        <v/>
      </c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3:26" ht="17.45" customHeight="1" x14ac:dyDescent="0.5">
      <c r="C49" s="2"/>
      <c r="D49" s="50"/>
      <c r="E49" s="2"/>
      <c r="F49" s="2"/>
      <c r="G49" s="2"/>
      <c r="H49" s="2"/>
      <c r="I49" s="96"/>
      <c r="J49" s="2"/>
      <c r="K49" s="93"/>
      <c r="L49" s="75"/>
      <c r="M49" s="76"/>
      <c r="N49" s="74"/>
      <c r="O49" s="84"/>
      <c r="P49" s="2" t="str">
        <f t="shared" si="0"/>
        <v/>
      </c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3:26" ht="17.45" customHeight="1" x14ac:dyDescent="0.5">
      <c r="C50" s="2"/>
      <c r="D50" s="50"/>
      <c r="E50" s="2"/>
      <c r="F50" s="2"/>
      <c r="G50" s="2"/>
      <c r="H50" s="2"/>
      <c r="I50" s="96"/>
      <c r="J50" s="2"/>
      <c r="K50" s="93"/>
      <c r="L50" s="75"/>
      <c r="M50" s="76"/>
      <c r="N50" s="74"/>
      <c r="O50" s="84"/>
      <c r="P50" s="2" t="str">
        <f t="shared" si="0"/>
        <v/>
      </c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3:26" ht="17.45" customHeight="1" x14ac:dyDescent="0.5">
      <c r="C51" s="2"/>
      <c r="D51" s="50"/>
      <c r="E51" s="2"/>
      <c r="F51" s="2"/>
      <c r="G51" s="2"/>
      <c r="H51" s="2"/>
      <c r="I51" s="96"/>
      <c r="J51" s="2"/>
      <c r="K51" s="93"/>
      <c r="L51" s="75"/>
      <c r="M51" s="76"/>
      <c r="N51" s="74"/>
      <c r="O51" s="84"/>
      <c r="P51" s="2" t="str">
        <f t="shared" si="0"/>
        <v/>
      </c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3:26" ht="17.45" customHeight="1" x14ac:dyDescent="0.5">
      <c r="C52" s="2"/>
      <c r="D52" s="50"/>
      <c r="E52" s="2"/>
      <c r="F52" s="2"/>
      <c r="G52" s="2"/>
      <c r="H52" s="2"/>
      <c r="I52" s="96"/>
      <c r="J52" s="2"/>
      <c r="K52" s="93"/>
      <c r="L52" s="75"/>
      <c r="M52" s="76"/>
      <c r="N52" s="74"/>
      <c r="O52" s="84"/>
      <c r="P52" s="2" t="str">
        <f t="shared" si="0"/>
        <v/>
      </c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3:26" ht="17.45" customHeight="1" x14ac:dyDescent="0.5">
      <c r="C53" s="2"/>
      <c r="D53" s="50"/>
      <c r="E53" s="2"/>
      <c r="F53" s="2"/>
      <c r="G53" s="2"/>
      <c r="H53" s="2"/>
      <c r="I53" s="96"/>
      <c r="J53" s="2"/>
      <c r="K53" s="93"/>
      <c r="L53" s="75"/>
      <c r="M53" s="76"/>
      <c r="N53" s="74"/>
      <c r="O53" s="84"/>
      <c r="P53" s="2" t="str">
        <f t="shared" si="0"/>
        <v/>
      </c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3:26" ht="17.45" customHeight="1" x14ac:dyDescent="0.5">
      <c r="C54" s="2"/>
      <c r="D54" s="50"/>
      <c r="E54" s="2"/>
      <c r="F54" s="2"/>
      <c r="G54" s="2"/>
      <c r="H54" s="2"/>
      <c r="I54" s="96"/>
      <c r="J54" s="2"/>
      <c r="K54" s="93"/>
      <c r="L54" s="75"/>
      <c r="M54" s="76"/>
      <c r="N54" s="74"/>
      <c r="O54" s="84"/>
      <c r="P54" s="2" t="str">
        <f t="shared" si="0"/>
        <v/>
      </c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3:26" ht="17.45" customHeight="1" x14ac:dyDescent="0.5">
      <c r="C55" s="2"/>
      <c r="D55" s="50"/>
      <c r="E55" s="2"/>
      <c r="F55" s="2"/>
      <c r="G55" s="2"/>
      <c r="H55" s="2"/>
      <c r="I55" s="96"/>
      <c r="J55" s="2"/>
      <c r="K55" s="93"/>
      <c r="L55" s="75"/>
      <c r="M55" s="76"/>
      <c r="N55" s="74"/>
      <c r="O55" s="84"/>
      <c r="P55" s="2" t="str">
        <f t="shared" si="0"/>
        <v/>
      </c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3:26" ht="17.45" customHeight="1" x14ac:dyDescent="0.5">
      <c r="C56" s="2"/>
      <c r="D56" s="50"/>
      <c r="E56" s="2"/>
      <c r="F56" s="2"/>
      <c r="G56" s="2"/>
      <c r="H56" s="2"/>
      <c r="I56" s="96"/>
      <c r="J56" s="2"/>
      <c r="K56" s="93"/>
      <c r="L56" s="75"/>
      <c r="M56" s="76"/>
      <c r="N56" s="74"/>
      <c r="O56" s="84"/>
      <c r="P56" s="2" t="str">
        <f t="shared" si="0"/>
        <v/>
      </c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3:26" ht="17.45" customHeight="1" x14ac:dyDescent="0.5">
      <c r="C57" s="2"/>
      <c r="D57" s="50"/>
      <c r="E57" s="2"/>
      <c r="F57" s="2"/>
      <c r="G57" s="2"/>
      <c r="H57" s="2"/>
      <c r="I57" s="96"/>
      <c r="J57" s="2"/>
      <c r="K57" s="93"/>
      <c r="L57" s="75"/>
      <c r="M57" s="76"/>
      <c r="N57" s="74"/>
      <c r="O57" s="84"/>
      <c r="P57" s="2" t="str">
        <f t="shared" si="0"/>
        <v/>
      </c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3:26" ht="17.45" customHeight="1" x14ac:dyDescent="0.5">
      <c r="C58" s="2"/>
      <c r="D58" s="50"/>
      <c r="E58" s="2"/>
      <c r="F58" s="2"/>
      <c r="G58" s="2"/>
      <c r="H58" s="2"/>
      <c r="I58" s="96"/>
      <c r="J58" s="2"/>
      <c r="K58" s="93"/>
      <c r="L58" s="75"/>
      <c r="M58" s="76"/>
      <c r="N58" s="74"/>
      <c r="O58" s="84"/>
      <c r="P58" s="2" t="str">
        <f t="shared" si="0"/>
        <v/>
      </c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3:26" ht="17.45" customHeight="1" x14ac:dyDescent="0.5">
      <c r="C59" s="2"/>
      <c r="D59" s="50"/>
      <c r="E59" s="2"/>
      <c r="F59" s="2"/>
      <c r="G59" s="2"/>
      <c r="H59" s="2"/>
      <c r="I59" s="96"/>
      <c r="J59" s="2"/>
      <c r="K59" s="93"/>
      <c r="L59" s="75"/>
      <c r="M59" s="76"/>
      <c r="N59" s="74"/>
      <c r="O59" s="84"/>
      <c r="P59" s="2" t="str">
        <f t="shared" si="0"/>
        <v/>
      </c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3:26" ht="19.5" x14ac:dyDescent="0.5">
      <c r="C60" s="2"/>
      <c r="D60" s="50"/>
      <c r="E60" s="2"/>
      <c r="F60" s="2"/>
      <c r="G60" s="2"/>
      <c r="H60" s="2"/>
      <c r="I60" s="96"/>
      <c r="J60" s="2"/>
      <c r="K60" s="93"/>
      <c r="L60" s="75"/>
      <c r="M60" s="76"/>
      <c r="N60" s="74"/>
      <c r="O60" s="84"/>
      <c r="P60" s="2" t="str">
        <f t="shared" si="0"/>
        <v/>
      </c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3:26" ht="19.5" x14ac:dyDescent="0.5">
      <c r="C61" s="2"/>
      <c r="D61" s="50"/>
      <c r="E61" s="2"/>
      <c r="F61" s="2"/>
      <c r="G61" s="2"/>
      <c r="H61" s="2"/>
      <c r="I61" s="96"/>
      <c r="J61" s="2"/>
      <c r="K61" s="93"/>
      <c r="L61" s="75"/>
      <c r="M61" s="76"/>
      <c r="N61" s="74"/>
      <c r="O61" s="84"/>
      <c r="P61" s="2" t="str">
        <f t="shared" si="0"/>
        <v/>
      </c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3:26" ht="19.5" x14ac:dyDescent="0.5">
      <c r="C62" s="2"/>
      <c r="D62" s="50"/>
      <c r="E62" s="2"/>
      <c r="F62" s="2"/>
      <c r="G62" s="2"/>
      <c r="H62" s="2"/>
      <c r="I62" s="96"/>
      <c r="J62" s="2"/>
      <c r="K62" s="93"/>
      <c r="L62" s="75"/>
      <c r="M62" s="76"/>
      <c r="N62" s="74"/>
      <c r="O62" s="84"/>
      <c r="P62" s="2" t="str">
        <f t="shared" si="0"/>
        <v/>
      </c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3:26" ht="19.5" x14ac:dyDescent="0.5">
      <c r="C63" s="2"/>
      <c r="D63" s="50"/>
      <c r="E63" s="2"/>
      <c r="F63" s="2"/>
      <c r="G63" s="2"/>
      <c r="H63" s="2"/>
      <c r="I63" s="96"/>
      <c r="J63" s="2"/>
      <c r="K63" s="93"/>
      <c r="L63" s="75"/>
      <c r="M63" s="76"/>
      <c r="N63" s="74"/>
      <c r="O63" s="84"/>
      <c r="P63" s="2" t="str">
        <f t="shared" si="0"/>
        <v/>
      </c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3:26" ht="19.5" x14ac:dyDescent="0.5">
      <c r="C64" s="2"/>
      <c r="D64" s="50"/>
      <c r="E64" s="2"/>
      <c r="F64" s="2"/>
      <c r="G64" s="2"/>
      <c r="H64" s="2"/>
      <c r="I64" s="96"/>
      <c r="J64" s="2"/>
      <c r="K64" s="93"/>
      <c r="L64" s="75"/>
      <c r="M64" s="76"/>
      <c r="N64" s="74"/>
      <c r="O64" s="84"/>
      <c r="P64" s="2" t="str">
        <f t="shared" si="0"/>
        <v/>
      </c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3:26" ht="19.5" x14ac:dyDescent="0.5">
      <c r="C65" s="2"/>
      <c r="D65" s="50"/>
      <c r="E65" s="2"/>
      <c r="F65" s="2"/>
      <c r="G65" s="2"/>
      <c r="H65" s="2"/>
      <c r="I65" s="96"/>
      <c r="J65" s="2"/>
      <c r="K65" s="93"/>
      <c r="L65" s="75"/>
      <c r="M65" s="76"/>
      <c r="N65" s="74"/>
      <c r="O65" s="84"/>
      <c r="P65" s="2" t="str">
        <f t="shared" si="0"/>
        <v/>
      </c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3:26" ht="19.5" x14ac:dyDescent="0.5">
      <c r="C66" s="2"/>
      <c r="D66" s="50"/>
      <c r="E66" s="2"/>
      <c r="F66" s="2"/>
      <c r="G66" s="2"/>
      <c r="H66" s="2"/>
      <c r="I66" s="96"/>
      <c r="J66" s="2"/>
      <c r="K66" s="93"/>
      <c r="L66" s="75"/>
      <c r="M66" s="76"/>
      <c r="N66" s="74"/>
      <c r="O66" s="84"/>
      <c r="P66" s="2" t="str">
        <f t="shared" si="0"/>
        <v/>
      </c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3:26" ht="19.5" x14ac:dyDescent="0.5">
      <c r="C67" s="2"/>
      <c r="D67" s="50"/>
      <c r="E67" s="2"/>
      <c r="F67" s="2"/>
      <c r="G67" s="2"/>
      <c r="H67" s="2"/>
      <c r="I67" s="96"/>
      <c r="J67" s="2"/>
      <c r="K67" s="93"/>
      <c r="L67" s="75"/>
      <c r="M67" s="76"/>
      <c r="N67" s="74"/>
      <c r="O67" s="84"/>
      <c r="P67" s="2" t="str">
        <f t="shared" si="0"/>
        <v/>
      </c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3:26" ht="19.5" x14ac:dyDescent="0.5">
      <c r="C68" s="2"/>
      <c r="D68" s="50"/>
      <c r="E68" s="2"/>
      <c r="F68" s="2"/>
      <c r="G68" s="2"/>
      <c r="H68" s="2"/>
      <c r="I68" s="96"/>
      <c r="J68" s="2"/>
      <c r="K68" s="93"/>
      <c r="L68" s="75"/>
      <c r="M68" s="76"/>
      <c r="N68" s="74"/>
      <c r="O68" s="84"/>
      <c r="P68" s="2" t="str">
        <f t="shared" si="0"/>
        <v/>
      </c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3:26" ht="19.5" x14ac:dyDescent="0.5">
      <c r="C69" s="2"/>
      <c r="D69" s="50"/>
      <c r="E69" s="2"/>
      <c r="F69" s="2"/>
      <c r="G69" s="2"/>
      <c r="H69" s="2"/>
      <c r="I69" s="96"/>
      <c r="J69" s="2"/>
      <c r="K69" s="93"/>
      <c r="L69" s="75"/>
      <c r="M69" s="76"/>
      <c r="N69" s="74"/>
      <c r="O69" s="84"/>
      <c r="P69" s="2" t="str">
        <f t="shared" si="0"/>
        <v/>
      </c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3:26" ht="19.5" x14ac:dyDescent="0.5">
      <c r="C70" s="2"/>
      <c r="D70" s="50"/>
      <c r="E70" s="2"/>
      <c r="F70" s="2"/>
      <c r="G70" s="2"/>
      <c r="H70" s="2"/>
      <c r="I70" s="96"/>
      <c r="J70" s="2"/>
      <c r="K70" s="93"/>
      <c r="L70" s="75"/>
      <c r="M70" s="76"/>
      <c r="N70" s="74"/>
      <c r="O70" s="84"/>
      <c r="P70" s="2" t="str">
        <f t="shared" si="0"/>
        <v/>
      </c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3:26" ht="19.5" x14ac:dyDescent="0.5">
      <c r="C71" s="2"/>
      <c r="D71" s="50"/>
      <c r="E71" s="2"/>
      <c r="F71" s="2"/>
      <c r="G71" s="2"/>
      <c r="H71" s="2"/>
      <c r="I71" s="96"/>
      <c r="J71" s="2"/>
      <c r="K71" s="93"/>
      <c r="L71" s="75"/>
      <c r="M71" s="76"/>
      <c r="N71" s="74"/>
      <c r="O71" s="84"/>
      <c r="P71" s="2" t="str">
        <f t="shared" ref="P71:P134" si="1">IF(I71="","",SUMIFS(OrderItems_Qty,OrderItems_Type,"PURCHASE",OrderItems_SKU,I71)-SUMIFS(OrderItems_Qty,OrderItems_Type,"SALE",OrderItems_SKU,I71))</f>
        <v/>
      </c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3:26" ht="19.5" x14ac:dyDescent="0.5">
      <c r="C72" s="2"/>
      <c r="D72" s="50"/>
      <c r="E72" s="2"/>
      <c r="F72" s="2"/>
      <c r="G72" s="2"/>
      <c r="H72" s="2"/>
      <c r="I72" s="96"/>
      <c r="J72" s="2"/>
      <c r="K72" s="93"/>
      <c r="L72" s="75"/>
      <c r="M72" s="76"/>
      <c r="N72" s="74"/>
      <c r="O72" s="84"/>
      <c r="P72" s="2" t="str">
        <f t="shared" si="1"/>
        <v/>
      </c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3:26" ht="19.5" x14ac:dyDescent="0.5">
      <c r="C73" s="2"/>
      <c r="D73" s="50"/>
      <c r="E73" s="2"/>
      <c r="F73" s="2"/>
      <c r="G73" s="2"/>
      <c r="H73" s="2"/>
      <c r="I73" s="96"/>
      <c r="J73" s="2"/>
      <c r="K73" s="93"/>
      <c r="L73" s="75"/>
      <c r="M73" s="76"/>
      <c r="N73" s="74"/>
      <c r="O73" s="84"/>
      <c r="P73" s="2" t="str">
        <f t="shared" si="1"/>
        <v/>
      </c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3:26" ht="19.5" x14ac:dyDescent="0.5">
      <c r="C74" s="2"/>
      <c r="D74" s="50"/>
      <c r="E74" s="2"/>
      <c r="F74" s="2"/>
      <c r="G74" s="2"/>
      <c r="H74" s="2"/>
      <c r="I74" s="96"/>
      <c r="J74" s="2"/>
      <c r="K74" s="93"/>
      <c r="L74" s="75"/>
      <c r="M74" s="76"/>
      <c r="N74" s="74"/>
      <c r="O74" s="84"/>
      <c r="P74" s="2" t="str">
        <f t="shared" si="1"/>
        <v/>
      </c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3:26" ht="19.5" x14ac:dyDescent="0.5">
      <c r="C75" s="2"/>
      <c r="D75" s="50"/>
      <c r="E75" s="2"/>
      <c r="F75" s="2"/>
      <c r="G75" s="2"/>
      <c r="H75" s="2"/>
      <c r="I75" s="96"/>
      <c r="J75" s="2"/>
      <c r="K75" s="93"/>
      <c r="L75" s="75"/>
      <c r="M75" s="76"/>
      <c r="N75" s="74"/>
      <c r="O75" s="84"/>
      <c r="P75" s="2" t="str">
        <f t="shared" si="1"/>
        <v/>
      </c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3:26" ht="19.5" x14ac:dyDescent="0.5">
      <c r="C76" s="2"/>
      <c r="D76" s="50"/>
      <c r="E76" s="2"/>
      <c r="F76" s="2"/>
      <c r="G76" s="2"/>
      <c r="H76" s="2"/>
      <c r="I76" s="96"/>
      <c r="J76" s="2"/>
      <c r="K76" s="93"/>
      <c r="L76" s="75"/>
      <c r="M76" s="76"/>
      <c r="N76" s="74"/>
      <c r="O76" s="84"/>
      <c r="P76" s="2" t="str">
        <f t="shared" si="1"/>
        <v/>
      </c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3:26" ht="19.5" x14ac:dyDescent="0.5">
      <c r="C77" s="2"/>
      <c r="D77" s="50"/>
      <c r="E77" s="2"/>
      <c r="F77" s="2"/>
      <c r="G77" s="2"/>
      <c r="H77" s="2"/>
      <c r="I77" s="96"/>
      <c r="J77" s="2"/>
      <c r="K77" s="93"/>
      <c r="L77" s="75"/>
      <c r="M77" s="76"/>
      <c r="N77" s="74"/>
      <c r="O77" s="84"/>
      <c r="P77" s="2" t="str">
        <f t="shared" si="1"/>
        <v/>
      </c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3:26" ht="19.5" x14ac:dyDescent="0.5">
      <c r="C78" s="2"/>
      <c r="D78" s="50"/>
      <c r="E78" s="2"/>
      <c r="F78" s="2"/>
      <c r="G78" s="2"/>
      <c r="H78" s="2"/>
      <c r="I78" s="96"/>
      <c r="J78" s="2"/>
      <c r="K78" s="93"/>
      <c r="L78" s="75"/>
      <c r="M78" s="76"/>
      <c r="N78" s="74"/>
      <c r="O78" s="84"/>
      <c r="P78" s="2" t="str">
        <f t="shared" si="1"/>
        <v/>
      </c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3:26" ht="19.5" x14ac:dyDescent="0.5">
      <c r="C79" s="2"/>
      <c r="D79" s="50"/>
      <c r="E79" s="2"/>
      <c r="F79" s="2"/>
      <c r="G79" s="2"/>
      <c r="H79" s="2"/>
      <c r="I79" s="96"/>
      <c r="J79" s="2"/>
      <c r="K79" s="93"/>
      <c r="L79" s="75"/>
      <c r="M79" s="76"/>
      <c r="N79" s="74"/>
      <c r="O79" s="84"/>
      <c r="P79" s="2" t="str">
        <f t="shared" si="1"/>
        <v/>
      </c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3:26" ht="19.5" x14ac:dyDescent="0.5">
      <c r="C80" s="2"/>
      <c r="D80" s="50"/>
      <c r="E80" s="2"/>
      <c r="F80" s="2"/>
      <c r="G80" s="2"/>
      <c r="H80" s="2"/>
      <c r="I80" s="96"/>
      <c r="J80" s="2"/>
      <c r="K80" s="93"/>
      <c r="L80" s="75"/>
      <c r="M80" s="76"/>
      <c r="N80" s="74"/>
      <c r="O80" s="84"/>
      <c r="P80" s="2" t="str">
        <f t="shared" si="1"/>
        <v/>
      </c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3:26" ht="19.5" x14ac:dyDescent="0.5">
      <c r="C81" s="2"/>
      <c r="D81" s="50"/>
      <c r="E81" s="2"/>
      <c r="F81" s="2"/>
      <c r="G81" s="2"/>
      <c r="H81" s="2"/>
      <c r="I81" s="96"/>
      <c r="J81" s="2"/>
      <c r="K81" s="93"/>
      <c r="L81" s="75"/>
      <c r="M81" s="76"/>
      <c r="N81" s="74"/>
      <c r="O81" s="84"/>
      <c r="P81" s="2" t="str">
        <f t="shared" si="1"/>
        <v/>
      </c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3:26" ht="19.5" x14ac:dyDescent="0.5">
      <c r="C82" s="2"/>
      <c r="D82" s="50"/>
      <c r="E82" s="2"/>
      <c r="F82" s="2"/>
      <c r="G82" s="2"/>
      <c r="H82" s="2"/>
      <c r="I82" s="96"/>
      <c r="J82" s="2"/>
      <c r="K82" s="93"/>
      <c r="L82" s="75"/>
      <c r="M82" s="76"/>
      <c r="N82" s="74"/>
      <c r="O82" s="84"/>
      <c r="P82" s="2" t="str">
        <f t="shared" si="1"/>
        <v/>
      </c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3:26" ht="19.5" x14ac:dyDescent="0.5">
      <c r="C83" s="2"/>
      <c r="D83" s="50"/>
      <c r="E83" s="2"/>
      <c r="F83" s="2"/>
      <c r="G83" s="2"/>
      <c r="H83" s="2"/>
      <c r="I83" s="96"/>
      <c r="J83" s="2"/>
      <c r="K83" s="93"/>
      <c r="L83" s="75"/>
      <c r="M83" s="76"/>
      <c r="N83" s="74"/>
      <c r="O83" s="84"/>
      <c r="P83" s="2" t="str">
        <f t="shared" si="1"/>
        <v/>
      </c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3:26" ht="19.5" x14ac:dyDescent="0.5">
      <c r="C84" s="2"/>
      <c r="D84" s="50"/>
      <c r="E84" s="2"/>
      <c r="F84" s="2"/>
      <c r="G84" s="2"/>
      <c r="H84" s="2"/>
      <c r="I84" s="96"/>
      <c r="J84" s="2"/>
      <c r="K84" s="93"/>
      <c r="L84" s="75"/>
      <c r="M84" s="76"/>
      <c r="N84" s="74"/>
      <c r="O84" s="84"/>
      <c r="P84" s="2" t="str">
        <f t="shared" si="1"/>
        <v/>
      </c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3:26" ht="19.5" x14ac:dyDescent="0.5">
      <c r="C85" s="2"/>
      <c r="D85" s="50"/>
      <c r="E85" s="2"/>
      <c r="F85" s="2"/>
      <c r="G85" s="2"/>
      <c r="H85" s="2"/>
      <c r="I85" s="96"/>
      <c r="J85" s="2"/>
      <c r="K85" s="93"/>
      <c r="L85" s="75"/>
      <c r="M85" s="76"/>
      <c r="N85" s="74"/>
      <c r="O85" s="84"/>
      <c r="P85" s="2" t="str">
        <f t="shared" si="1"/>
        <v/>
      </c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3:26" ht="19.5" x14ac:dyDescent="0.5">
      <c r="C86" s="2"/>
      <c r="D86" s="50"/>
      <c r="E86" s="2"/>
      <c r="F86" s="2"/>
      <c r="G86" s="2"/>
      <c r="H86" s="2"/>
      <c r="I86" s="96"/>
      <c r="J86" s="2"/>
      <c r="K86" s="93"/>
      <c r="L86" s="75"/>
      <c r="M86" s="76"/>
      <c r="N86" s="74"/>
      <c r="O86" s="84"/>
      <c r="P86" s="2" t="str">
        <f t="shared" si="1"/>
        <v/>
      </c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3:26" ht="19.5" x14ac:dyDescent="0.5">
      <c r="C87" s="2"/>
      <c r="D87" s="50"/>
      <c r="E87" s="2"/>
      <c r="F87" s="2"/>
      <c r="G87" s="2"/>
      <c r="H87" s="2"/>
      <c r="I87" s="96"/>
      <c r="J87" s="2"/>
      <c r="K87" s="93"/>
      <c r="L87" s="75"/>
      <c r="M87" s="76"/>
      <c r="N87" s="74"/>
      <c r="O87" s="84"/>
      <c r="P87" s="2" t="str">
        <f t="shared" si="1"/>
        <v/>
      </c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3:26" ht="19.5" x14ac:dyDescent="0.5">
      <c r="C88" s="2"/>
      <c r="D88" s="50"/>
      <c r="E88" s="2"/>
      <c r="F88" s="2"/>
      <c r="G88" s="2"/>
      <c r="H88" s="2"/>
      <c r="I88" s="96"/>
      <c r="J88" s="2"/>
      <c r="K88" s="93"/>
      <c r="L88" s="75"/>
      <c r="M88" s="76"/>
      <c r="N88" s="74"/>
      <c r="O88" s="84"/>
      <c r="P88" s="2" t="str">
        <f t="shared" si="1"/>
        <v/>
      </c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3:26" ht="19.5" x14ac:dyDescent="0.5">
      <c r="C89" s="2"/>
      <c r="D89" s="50"/>
      <c r="E89" s="2"/>
      <c r="F89" s="2"/>
      <c r="G89" s="2"/>
      <c r="H89" s="2"/>
      <c r="I89" s="96"/>
      <c r="J89" s="2"/>
      <c r="K89" s="93"/>
      <c r="L89" s="75"/>
      <c r="M89" s="76"/>
      <c r="N89" s="74"/>
      <c r="O89" s="84"/>
      <c r="P89" s="2" t="str">
        <f t="shared" si="1"/>
        <v/>
      </c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3:26" ht="19.5" x14ac:dyDescent="0.5">
      <c r="C90" s="2"/>
      <c r="D90" s="50"/>
      <c r="E90" s="2"/>
      <c r="F90" s="2"/>
      <c r="G90" s="2"/>
      <c r="H90" s="2"/>
      <c r="I90" s="96"/>
      <c r="J90" s="2"/>
      <c r="K90" s="93"/>
      <c r="L90" s="75"/>
      <c r="M90" s="76"/>
      <c r="N90" s="74"/>
      <c r="O90" s="84"/>
      <c r="P90" s="2" t="str">
        <f t="shared" si="1"/>
        <v/>
      </c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3:26" ht="19.5" x14ac:dyDescent="0.5">
      <c r="C91" s="2"/>
      <c r="D91" s="50"/>
      <c r="E91" s="2"/>
      <c r="F91" s="2"/>
      <c r="G91" s="2"/>
      <c r="H91" s="2"/>
      <c r="I91" s="96"/>
      <c r="J91" s="2"/>
      <c r="K91" s="93"/>
      <c r="L91" s="75"/>
      <c r="M91" s="76"/>
      <c r="N91" s="74"/>
      <c r="O91" s="84"/>
      <c r="P91" s="2" t="str">
        <f t="shared" si="1"/>
        <v/>
      </c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3:26" ht="19.5" x14ac:dyDescent="0.5">
      <c r="C92" s="2"/>
      <c r="D92" s="50"/>
      <c r="E92" s="2"/>
      <c r="F92" s="2"/>
      <c r="G92" s="2"/>
      <c r="H92" s="2"/>
      <c r="I92" s="96"/>
      <c r="J92" s="2"/>
      <c r="K92" s="93"/>
      <c r="L92" s="75"/>
      <c r="M92" s="76"/>
      <c r="N92" s="74"/>
      <c r="O92" s="84"/>
      <c r="P92" s="2" t="str">
        <f t="shared" si="1"/>
        <v/>
      </c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3:26" ht="19.5" x14ac:dyDescent="0.5">
      <c r="C93" s="2"/>
      <c r="D93" s="50"/>
      <c r="E93" s="2"/>
      <c r="F93" s="2"/>
      <c r="G93" s="2"/>
      <c r="H93" s="2"/>
      <c r="I93" s="96"/>
      <c r="J93" s="2"/>
      <c r="K93" s="72"/>
      <c r="L93" s="75"/>
      <c r="M93" s="76"/>
      <c r="N93" s="74"/>
      <c r="O93" s="84"/>
      <c r="P93" s="2" t="str">
        <f t="shared" si="1"/>
        <v/>
      </c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3:26" ht="19.5" x14ac:dyDescent="0.5">
      <c r="C94" s="2"/>
      <c r="D94" s="50"/>
      <c r="E94" s="2"/>
      <c r="F94" s="2"/>
      <c r="G94" s="2"/>
      <c r="H94" s="2"/>
      <c r="I94" s="96"/>
      <c r="J94" s="2"/>
      <c r="K94" s="72"/>
      <c r="L94" s="75"/>
      <c r="M94" s="76"/>
      <c r="N94" s="74"/>
      <c r="O94" s="84"/>
      <c r="P94" s="2" t="str">
        <f t="shared" si="1"/>
        <v/>
      </c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3:26" ht="19.5" x14ac:dyDescent="0.5">
      <c r="C95" s="2"/>
      <c r="D95" s="50"/>
      <c r="E95" s="2"/>
      <c r="F95" s="2"/>
      <c r="G95" s="2"/>
      <c r="H95" s="2"/>
      <c r="I95" s="96"/>
      <c r="J95" s="2"/>
      <c r="K95" s="72"/>
      <c r="L95" s="75"/>
      <c r="M95" s="76"/>
      <c r="N95" s="74"/>
      <c r="O95" s="84"/>
      <c r="P95" s="2" t="str">
        <f t="shared" si="1"/>
        <v/>
      </c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3:26" ht="19.5" x14ac:dyDescent="0.5">
      <c r="C96" s="2"/>
      <c r="D96" s="50"/>
      <c r="E96" s="2"/>
      <c r="F96" s="2"/>
      <c r="G96" s="2"/>
      <c r="H96" s="2"/>
      <c r="I96" s="96"/>
      <c r="J96" s="2"/>
      <c r="K96" s="72"/>
      <c r="L96" s="75"/>
      <c r="M96" s="76"/>
      <c r="N96" s="74"/>
      <c r="O96" s="84"/>
      <c r="P96" s="2" t="str">
        <f t="shared" si="1"/>
        <v/>
      </c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3:26" ht="19.5" x14ac:dyDescent="0.5">
      <c r="C97" s="2"/>
      <c r="D97" s="50"/>
      <c r="E97" s="2"/>
      <c r="F97" s="2"/>
      <c r="G97" s="2"/>
      <c r="H97" s="2"/>
      <c r="I97" s="96"/>
      <c r="J97" s="2"/>
      <c r="K97" s="72"/>
      <c r="L97" s="75"/>
      <c r="M97" s="76"/>
      <c r="N97" s="74"/>
      <c r="O97" s="84"/>
      <c r="P97" s="2" t="str">
        <f t="shared" si="1"/>
        <v/>
      </c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3:26" ht="19.5" x14ac:dyDescent="0.5">
      <c r="C98" s="2"/>
      <c r="D98" s="50"/>
      <c r="E98" s="2"/>
      <c r="F98" s="2"/>
      <c r="G98" s="2"/>
      <c r="H98" s="2"/>
      <c r="I98" s="96"/>
      <c r="J98" s="2"/>
      <c r="K98" s="72"/>
      <c r="L98" s="75"/>
      <c r="M98" s="76"/>
      <c r="N98" s="74"/>
      <c r="O98" s="84"/>
      <c r="P98" s="2" t="str">
        <f t="shared" si="1"/>
        <v/>
      </c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3:26" ht="19.5" x14ac:dyDescent="0.5">
      <c r="C99" s="2"/>
      <c r="D99" s="50"/>
      <c r="E99" s="2"/>
      <c r="F99" s="2"/>
      <c r="G99" s="2"/>
      <c r="H99" s="2"/>
      <c r="I99" s="96"/>
      <c r="J99" s="2"/>
      <c r="K99" s="72"/>
      <c r="L99" s="75"/>
      <c r="M99" s="76"/>
      <c r="N99" s="74"/>
      <c r="O99" s="84"/>
      <c r="P99" s="2" t="str">
        <f t="shared" si="1"/>
        <v/>
      </c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3:26" ht="19.5" x14ac:dyDescent="0.5">
      <c r="C100" s="2"/>
      <c r="D100" s="50"/>
      <c r="E100" s="2"/>
      <c r="F100" s="2"/>
      <c r="G100" s="2"/>
      <c r="H100" s="2"/>
      <c r="I100" s="96"/>
      <c r="J100" s="2"/>
      <c r="K100" s="72"/>
      <c r="L100" s="75"/>
      <c r="M100" s="76"/>
      <c r="N100" s="74"/>
      <c r="O100" s="84"/>
      <c r="P100" s="2" t="str">
        <f t="shared" si="1"/>
        <v/>
      </c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3:26" ht="19.5" x14ac:dyDescent="0.5">
      <c r="C101" s="2"/>
      <c r="D101" s="50"/>
      <c r="E101" s="2"/>
      <c r="F101" s="2"/>
      <c r="G101" s="2"/>
      <c r="H101" s="2"/>
      <c r="I101" s="96"/>
      <c r="J101" s="2"/>
      <c r="K101" s="72"/>
      <c r="L101" s="75"/>
      <c r="M101" s="76"/>
      <c r="N101" s="74"/>
      <c r="O101" s="84"/>
      <c r="P101" s="2" t="str">
        <f t="shared" si="1"/>
        <v/>
      </c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3:26" ht="19.5" x14ac:dyDescent="0.5">
      <c r="C102" s="2"/>
      <c r="D102" s="50"/>
      <c r="E102" s="2"/>
      <c r="F102" s="2"/>
      <c r="G102" s="2"/>
      <c r="H102" s="2"/>
      <c r="I102" s="96"/>
      <c r="J102" s="2"/>
      <c r="K102" s="72"/>
      <c r="L102" s="75"/>
      <c r="M102" s="76"/>
      <c r="N102" s="74"/>
      <c r="O102" s="84"/>
      <c r="P102" s="2" t="str">
        <f t="shared" si="1"/>
        <v/>
      </c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3:26" ht="19.5" x14ac:dyDescent="0.5">
      <c r="C103" s="2"/>
      <c r="D103" s="50"/>
      <c r="E103" s="2"/>
      <c r="F103" s="2"/>
      <c r="G103" s="2"/>
      <c r="H103" s="2"/>
      <c r="I103" s="96"/>
      <c r="J103" s="2"/>
      <c r="K103" s="72"/>
      <c r="L103" s="75"/>
      <c r="M103" s="76"/>
      <c r="N103" s="74"/>
      <c r="O103" s="84"/>
      <c r="P103" s="2" t="str">
        <f t="shared" si="1"/>
        <v/>
      </c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3:26" ht="19.5" x14ac:dyDescent="0.5">
      <c r="C104" s="2"/>
      <c r="D104" s="50"/>
      <c r="E104" s="2"/>
      <c r="F104" s="2"/>
      <c r="G104" s="2"/>
      <c r="H104" s="2"/>
      <c r="I104" s="96"/>
      <c r="J104" s="2"/>
      <c r="K104" s="72"/>
      <c r="L104" s="75"/>
      <c r="M104" s="76"/>
      <c r="N104" s="74"/>
      <c r="O104" s="84"/>
      <c r="P104" s="2" t="str">
        <f t="shared" si="1"/>
        <v/>
      </c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3:26" ht="19.5" x14ac:dyDescent="0.5">
      <c r="C105" s="2"/>
      <c r="D105" s="50"/>
      <c r="E105" s="2"/>
      <c r="F105" s="2"/>
      <c r="G105" s="2"/>
      <c r="H105" s="2"/>
      <c r="I105" s="96"/>
      <c r="J105" s="2"/>
      <c r="K105" s="72"/>
      <c r="L105" s="75"/>
      <c r="M105" s="76"/>
      <c r="N105" s="74"/>
      <c r="O105" s="84"/>
      <c r="P105" s="2" t="str">
        <f t="shared" si="1"/>
        <v/>
      </c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3:26" ht="19.5" x14ac:dyDescent="0.5">
      <c r="C106" s="2"/>
      <c r="D106" s="50"/>
      <c r="E106" s="2"/>
      <c r="F106" s="2"/>
      <c r="G106" s="2"/>
      <c r="H106" s="2"/>
      <c r="I106" s="96"/>
      <c r="J106" s="2"/>
      <c r="K106" s="72"/>
      <c r="L106" s="75"/>
      <c r="M106" s="76"/>
      <c r="N106" s="74"/>
      <c r="O106" s="84"/>
      <c r="P106" s="2" t="str">
        <f t="shared" si="1"/>
        <v/>
      </c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3:26" ht="19.5" x14ac:dyDescent="0.5">
      <c r="C107" s="2"/>
      <c r="D107" s="50"/>
      <c r="E107" s="2"/>
      <c r="F107" s="2"/>
      <c r="G107" s="2"/>
      <c r="H107" s="2"/>
      <c r="I107" s="96"/>
      <c r="J107" s="2"/>
      <c r="K107" s="72"/>
      <c r="L107" s="75"/>
      <c r="M107" s="76"/>
      <c r="N107" s="74"/>
      <c r="O107" s="84"/>
      <c r="P107" s="2" t="str">
        <f t="shared" si="1"/>
        <v/>
      </c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3:26" ht="19.5" x14ac:dyDescent="0.5">
      <c r="C108" s="2"/>
      <c r="D108" s="50"/>
      <c r="E108" s="2"/>
      <c r="F108" s="2"/>
      <c r="G108" s="2"/>
      <c r="H108" s="2"/>
      <c r="I108" s="96"/>
      <c r="J108" s="2"/>
      <c r="K108" s="72"/>
      <c r="L108" s="75"/>
      <c r="M108" s="76"/>
      <c r="N108" s="74"/>
      <c r="O108" s="84"/>
      <c r="P108" s="2" t="str">
        <f t="shared" si="1"/>
        <v/>
      </c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3:26" ht="19.5" x14ac:dyDescent="0.5">
      <c r="C109" s="2"/>
      <c r="D109" s="50"/>
      <c r="E109" s="2"/>
      <c r="F109" s="2"/>
      <c r="G109" s="2"/>
      <c r="H109" s="2"/>
      <c r="I109" s="96"/>
      <c r="J109" s="2"/>
      <c r="K109" s="72"/>
      <c r="L109" s="75"/>
      <c r="M109" s="76"/>
      <c r="N109" s="74"/>
      <c r="O109" s="84"/>
      <c r="P109" s="2" t="str">
        <f t="shared" si="1"/>
        <v/>
      </c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3:26" ht="19.5" x14ac:dyDescent="0.5">
      <c r="C110" s="2"/>
      <c r="D110" s="50"/>
      <c r="E110" s="2"/>
      <c r="F110" s="2"/>
      <c r="G110" s="2"/>
      <c r="H110" s="2"/>
      <c r="I110" s="96"/>
      <c r="J110" s="2"/>
      <c r="K110" s="72"/>
      <c r="L110" s="75"/>
      <c r="M110" s="76"/>
      <c r="N110" s="74"/>
      <c r="O110" s="84"/>
      <c r="P110" s="2" t="str">
        <f t="shared" si="1"/>
        <v/>
      </c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3:26" ht="19.5" x14ac:dyDescent="0.5">
      <c r="C111" s="2"/>
      <c r="D111" s="50"/>
      <c r="E111" s="2"/>
      <c r="F111" s="2"/>
      <c r="G111" s="2"/>
      <c r="H111" s="2"/>
      <c r="I111" s="96"/>
      <c r="J111" s="2"/>
      <c r="K111" s="72"/>
      <c r="L111" s="75"/>
      <c r="M111" s="76"/>
      <c r="N111" s="74"/>
      <c r="O111" s="84"/>
      <c r="P111" s="2" t="str">
        <f t="shared" si="1"/>
        <v/>
      </c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3:26" ht="19.5" x14ac:dyDescent="0.5">
      <c r="C112" s="2"/>
      <c r="D112" s="50"/>
      <c r="E112" s="2"/>
      <c r="F112" s="2"/>
      <c r="G112" s="2"/>
      <c r="H112" s="2"/>
      <c r="I112" s="96"/>
      <c r="J112" s="2"/>
      <c r="K112" s="72"/>
      <c r="L112" s="75"/>
      <c r="M112" s="76"/>
      <c r="N112" s="74"/>
      <c r="O112" s="84"/>
      <c r="P112" s="2" t="str">
        <f t="shared" si="1"/>
        <v/>
      </c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3:26" ht="19.5" x14ac:dyDescent="0.5">
      <c r="C113" s="2"/>
      <c r="D113" s="50"/>
      <c r="E113" s="2"/>
      <c r="F113" s="2"/>
      <c r="G113" s="2"/>
      <c r="H113" s="2"/>
      <c r="I113" s="96"/>
      <c r="J113" s="2"/>
      <c r="K113" s="72"/>
      <c r="L113" s="75"/>
      <c r="M113" s="76"/>
      <c r="N113" s="74"/>
      <c r="O113" s="84"/>
      <c r="P113" s="2" t="str">
        <f t="shared" si="1"/>
        <v/>
      </c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3:26" ht="19.5" x14ac:dyDescent="0.5">
      <c r="C114" s="2"/>
      <c r="D114" s="50"/>
      <c r="E114" s="2"/>
      <c r="F114" s="2"/>
      <c r="G114" s="2"/>
      <c r="H114" s="2"/>
      <c r="I114" s="96"/>
      <c r="J114" s="2"/>
      <c r="K114" s="72"/>
      <c r="L114" s="75"/>
      <c r="M114" s="76"/>
      <c r="N114" s="74"/>
      <c r="O114" s="84"/>
      <c r="P114" s="2" t="str">
        <f t="shared" si="1"/>
        <v/>
      </c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3:26" ht="19.5" x14ac:dyDescent="0.5">
      <c r="C115" s="2"/>
      <c r="D115" s="50"/>
      <c r="E115" s="2"/>
      <c r="F115" s="2"/>
      <c r="G115" s="2"/>
      <c r="H115" s="2"/>
      <c r="I115" s="96"/>
      <c r="J115" s="2"/>
      <c r="K115" s="72"/>
      <c r="L115" s="75"/>
      <c r="M115" s="76"/>
      <c r="N115" s="74"/>
      <c r="O115" s="84"/>
      <c r="P115" s="2" t="str">
        <f t="shared" si="1"/>
        <v/>
      </c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3:26" ht="19.5" x14ac:dyDescent="0.5">
      <c r="C116" s="2"/>
      <c r="D116" s="50"/>
      <c r="E116" s="2"/>
      <c r="F116" s="2"/>
      <c r="G116" s="2"/>
      <c r="H116" s="2"/>
      <c r="I116" s="96"/>
      <c r="J116" s="2"/>
      <c r="K116" s="72"/>
      <c r="L116" s="75"/>
      <c r="M116" s="76"/>
      <c r="N116" s="74"/>
      <c r="O116" s="84"/>
      <c r="P116" s="2" t="str">
        <f t="shared" si="1"/>
        <v/>
      </c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3:26" ht="19.5" x14ac:dyDescent="0.5">
      <c r="C117" s="2"/>
      <c r="D117" s="50"/>
      <c r="E117" s="2"/>
      <c r="F117" s="2"/>
      <c r="G117" s="2"/>
      <c r="H117" s="2"/>
      <c r="I117" s="96"/>
      <c r="J117" s="2"/>
      <c r="K117" s="72"/>
      <c r="L117" s="75"/>
      <c r="M117" s="76"/>
      <c r="N117" s="74"/>
      <c r="O117" s="84"/>
      <c r="P117" s="2" t="str">
        <f t="shared" si="1"/>
        <v/>
      </c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3:26" ht="19.5" x14ac:dyDescent="0.5">
      <c r="C118" s="2"/>
      <c r="D118" s="50"/>
      <c r="E118" s="2"/>
      <c r="F118" s="2"/>
      <c r="G118" s="2"/>
      <c r="H118" s="2"/>
      <c r="I118" s="96"/>
      <c r="J118" s="2"/>
      <c r="K118" s="72"/>
      <c r="L118" s="75"/>
      <c r="M118" s="76"/>
      <c r="N118" s="74"/>
      <c r="O118" s="84"/>
      <c r="P118" s="2" t="str">
        <f t="shared" si="1"/>
        <v/>
      </c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3:26" ht="19.5" x14ac:dyDescent="0.5">
      <c r="C119" s="2"/>
      <c r="D119" s="50"/>
      <c r="E119" s="2"/>
      <c r="F119" s="2"/>
      <c r="G119" s="2"/>
      <c r="H119" s="2"/>
      <c r="I119" s="96"/>
      <c r="J119" s="2"/>
      <c r="K119" s="72"/>
      <c r="L119" s="75"/>
      <c r="M119" s="76"/>
      <c r="N119" s="74"/>
      <c r="O119" s="84"/>
      <c r="P119" s="2" t="str">
        <f t="shared" si="1"/>
        <v/>
      </c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3:26" ht="19.5" x14ac:dyDescent="0.5">
      <c r="C120" s="2"/>
      <c r="D120" s="50"/>
      <c r="E120" s="2"/>
      <c r="F120" s="2"/>
      <c r="G120" s="2"/>
      <c r="H120" s="2"/>
      <c r="I120" s="96"/>
      <c r="J120" s="2"/>
      <c r="K120" s="72"/>
      <c r="L120" s="75"/>
      <c r="M120" s="76"/>
      <c r="N120" s="74"/>
      <c r="O120" s="84"/>
      <c r="P120" s="2" t="str">
        <f t="shared" si="1"/>
        <v/>
      </c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3:26" ht="19.5" x14ac:dyDescent="0.5">
      <c r="C121" s="2"/>
      <c r="D121" s="50"/>
      <c r="E121" s="2"/>
      <c r="F121" s="2"/>
      <c r="G121" s="2"/>
      <c r="H121" s="2"/>
      <c r="I121" s="96"/>
      <c r="J121" s="2"/>
      <c r="K121" s="72"/>
      <c r="L121" s="75"/>
      <c r="M121" s="76"/>
      <c r="N121" s="74"/>
      <c r="O121" s="84"/>
      <c r="P121" s="2" t="str">
        <f t="shared" si="1"/>
        <v/>
      </c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3:26" ht="19.5" x14ac:dyDescent="0.5">
      <c r="C122" s="2"/>
      <c r="D122" s="50"/>
      <c r="E122" s="2"/>
      <c r="F122" s="2"/>
      <c r="G122" s="2"/>
      <c r="H122" s="2"/>
      <c r="I122" s="96"/>
      <c r="J122" s="2"/>
      <c r="K122" s="72"/>
      <c r="L122" s="75"/>
      <c r="M122" s="76"/>
      <c r="N122" s="74"/>
      <c r="O122" s="84"/>
      <c r="P122" s="2" t="str">
        <f t="shared" si="1"/>
        <v/>
      </c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3:26" ht="19.5" x14ac:dyDescent="0.5">
      <c r="C123" s="2"/>
      <c r="D123" s="50"/>
      <c r="E123" s="2"/>
      <c r="F123" s="2"/>
      <c r="G123" s="2"/>
      <c r="H123" s="2"/>
      <c r="I123" s="96"/>
      <c r="J123" s="2"/>
      <c r="K123" s="72"/>
      <c r="L123" s="75"/>
      <c r="M123" s="76"/>
      <c r="N123" s="74"/>
      <c r="O123" s="84"/>
      <c r="P123" s="2" t="str">
        <f t="shared" si="1"/>
        <v/>
      </c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3:26" ht="19.5" x14ac:dyDescent="0.5">
      <c r="C124" s="2"/>
      <c r="D124" s="50"/>
      <c r="E124" s="2"/>
      <c r="F124" s="2"/>
      <c r="G124" s="2"/>
      <c r="H124" s="2"/>
      <c r="I124" s="96"/>
      <c r="J124" s="2"/>
      <c r="K124" s="72"/>
      <c r="L124" s="75"/>
      <c r="M124" s="76"/>
      <c r="N124" s="74"/>
      <c r="O124" s="84"/>
      <c r="P124" s="2" t="str">
        <f t="shared" si="1"/>
        <v/>
      </c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3:26" ht="19.5" x14ac:dyDescent="0.5">
      <c r="C125" s="2"/>
      <c r="D125" s="50"/>
      <c r="E125" s="2"/>
      <c r="F125" s="2"/>
      <c r="G125" s="2"/>
      <c r="H125" s="2"/>
      <c r="I125" s="96"/>
      <c r="J125" s="2"/>
      <c r="K125" s="72"/>
      <c r="L125" s="75"/>
      <c r="M125" s="76"/>
      <c r="N125" s="74"/>
      <c r="O125" s="84"/>
      <c r="P125" s="2" t="str">
        <f t="shared" si="1"/>
        <v/>
      </c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3:26" ht="19.5" x14ac:dyDescent="0.5">
      <c r="C126" s="2"/>
      <c r="D126" s="50"/>
      <c r="E126" s="2"/>
      <c r="F126" s="2"/>
      <c r="G126" s="2"/>
      <c r="H126" s="2"/>
      <c r="I126" s="96"/>
      <c r="J126" s="2"/>
      <c r="K126" s="72"/>
      <c r="L126" s="75"/>
      <c r="M126" s="76"/>
      <c r="N126" s="74"/>
      <c r="O126" s="84"/>
      <c r="P126" s="2" t="str">
        <f t="shared" si="1"/>
        <v/>
      </c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3:26" ht="19.5" x14ac:dyDescent="0.5">
      <c r="C127" s="2"/>
      <c r="D127" s="50"/>
      <c r="E127" s="2"/>
      <c r="F127" s="2"/>
      <c r="G127" s="2"/>
      <c r="H127" s="2"/>
      <c r="I127" s="96"/>
      <c r="J127" s="2"/>
      <c r="K127" s="72"/>
      <c r="L127" s="75"/>
      <c r="M127" s="76"/>
      <c r="N127" s="74"/>
      <c r="O127" s="84"/>
      <c r="P127" s="2" t="str">
        <f t="shared" si="1"/>
        <v/>
      </c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3:26" ht="19.5" x14ac:dyDescent="0.5">
      <c r="C128" s="2"/>
      <c r="D128" s="50"/>
      <c r="E128" s="2"/>
      <c r="F128" s="2"/>
      <c r="G128" s="2"/>
      <c r="H128" s="2"/>
      <c r="I128" s="96"/>
      <c r="J128" s="2"/>
      <c r="K128" s="72"/>
      <c r="L128" s="75"/>
      <c r="M128" s="76"/>
      <c r="N128" s="74"/>
      <c r="O128" s="84"/>
      <c r="P128" s="2" t="str">
        <f t="shared" si="1"/>
        <v/>
      </c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3:26" ht="19.5" x14ac:dyDescent="0.5">
      <c r="C129" s="2"/>
      <c r="D129" s="50"/>
      <c r="E129" s="2"/>
      <c r="F129" s="2"/>
      <c r="G129" s="2"/>
      <c r="H129" s="2"/>
      <c r="I129" s="96"/>
      <c r="J129" s="2"/>
      <c r="K129" s="72"/>
      <c r="L129" s="75"/>
      <c r="M129" s="76"/>
      <c r="N129" s="74"/>
      <c r="O129" s="84"/>
      <c r="P129" s="2" t="str">
        <f t="shared" si="1"/>
        <v/>
      </c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3:26" ht="19.5" x14ac:dyDescent="0.5">
      <c r="C130" s="2"/>
      <c r="D130" s="50"/>
      <c r="E130" s="2"/>
      <c r="F130" s="2"/>
      <c r="G130" s="2"/>
      <c r="H130" s="2"/>
      <c r="I130" s="96"/>
      <c r="J130" s="2"/>
      <c r="K130" s="72"/>
      <c r="L130" s="75"/>
      <c r="M130" s="76"/>
      <c r="N130" s="74"/>
      <c r="O130" s="84"/>
      <c r="P130" s="2" t="str">
        <f t="shared" si="1"/>
        <v/>
      </c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3:26" ht="19.5" x14ac:dyDescent="0.5">
      <c r="C131" s="2"/>
      <c r="D131" s="50"/>
      <c r="E131" s="2"/>
      <c r="F131" s="2"/>
      <c r="G131" s="2"/>
      <c r="H131" s="2"/>
      <c r="I131" s="96"/>
      <c r="J131" s="2"/>
      <c r="K131" s="72"/>
      <c r="L131" s="75"/>
      <c r="M131" s="76"/>
      <c r="N131" s="74"/>
      <c r="O131" s="84"/>
      <c r="P131" s="2" t="str">
        <f t="shared" si="1"/>
        <v/>
      </c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3:26" ht="19.5" x14ac:dyDescent="0.5">
      <c r="C132" s="2"/>
      <c r="D132" s="50"/>
      <c r="E132" s="2"/>
      <c r="F132" s="2"/>
      <c r="G132" s="2"/>
      <c r="H132" s="2"/>
      <c r="I132" s="96"/>
      <c r="J132" s="2"/>
      <c r="K132" s="72"/>
      <c r="L132" s="75"/>
      <c r="M132" s="76"/>
      <c r="N132" s="74"/>
      <c r="O132" s="84"/>
      <c r="P132" s="2" t="str">
        <f t="shared" si="1"/>
        <v/>
      </c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3:26" ht="19.5" x14ac:dyDescent="0.5">
      <c r="C133" s="2"/>
      <c r="D133" s="50"/>
      <c r="E133" s="2"/>
      <c r="F133" s="2"/>
      <c r="G133" s="2"/>
      <c r="H133" s="2"/>
      <c r="I133" s="96"/>
      <c r="J133" s="2"/>
      <c r="K133" s="72"/>
      <c r="L133" s="75"/>
      <c r="M133" s="76"/>
      <c r="N133" s="74"/>
      <c r="O133" s="84"/>
      <c r="P133" s="2" t="str">
        <f t="shared" si="1"/>
        <v/>
      </c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3:26" ht="19.5" x14ac:dyDescent="0.5">
      <c r="C134" s="2"/>
      <c r="D134" s="50"/>
      <c r="E134" s="2"/>
      <c r="F134" s="2"/>
      <c r="G134" s="2"/>
      <c r="H134" s="2"/>
      <c r="I134" s="96"/>
      <c r="J134" s="2"/>
      <c r="K134" s="72"/>
      <c r="L134" s="75"/>
      <c r="M134" s="76"/>
      <c r="N134" s="74"/>
      <c r="O134" s="84"/>
      <c r="P134" s="2" t="str">
        <f t="shared" si="1"/>
        <v/>
      </c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3:26" ht="19.5" x14ac:dyDescent="0.5">
      <c r="C135" s="2"/>
      <c r="D135" s="50"/>
      <c r="E135" s="2"/>
      <c r="F135" s="2"/>
      <c r="G135" s="2"/>
      <c r="H135" s="2"/>
      <c r="I135" s="96"/>
      <c r="J135" s="2"/>
      <c r="K135" s="72"/>
      <c r="L135" s="75"/>
      <c r="M135" s="76"/>
      <c r="N135" s="74"/>
      <c r="O135" s="84"/>
      <c r="P135" s="2" t="str">
        <f t="shared" ref="P135:P198" si="2">IF(I135="","",SUMIFS(OrderItems_Qty,OrderItems_Type,"PURCHASE",OrderItems_SKU,I135)-SUMIFS(OrderItems_Qty,OrderItems_Type,"SALE",OrderItems_SKU,I135))</f>
        <v/>
      </c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3:26" ht="19.5" x14ac:dyDescent="0.5">
      <c r="C136" s="2"/>
      <c r="D136" s="50"/>
      <c r="E136" s="2"/>
      <c r="F136" s="2"/>
      <c r="G136" s="2"/>
      <c r="H136" s="2"/>
      <c r="I136" s="96"/>
      <c r="J136" s="2"/>
      <c r="K136" s="72"/>
      <c r="L136" s="75"/>
      <c r="M136" s="76"/>
      <c r="N136" s="74"/>
      <c r="O136" s="84"/>
      <c r="P136" s="2" t="str">
        <f t="shared" si="2"/>
        <v/>
      </c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3:26" ht="19.5" x14ac:dyDescent="0.5">
      <c r="C137" s="2"/>
      <c r="D137" s="50"/>
      <c r="E137" s="2"/>
      <c r="F137" s="2"/>
      <c r="G137" s="2"/>
      <c r="H137" s="2"/>
      <c r="I137" s="96"/>
      <c r="J137" s="2"/>
      <c r="K137" s="72"/>
      <c r="L137" s="75"/>
      <c r="M137" s="76"/>
      <c r="N137" s="74"/>
      <c r="O137" s="84"/>
      <c r="P137" s="2" t="str">
        <f t="shared" si="2"/>
        <v/>
      </c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3:26" ht="19.5" x14ac:dyDescent="0.5">
      <c r="C138" s="2"/>
      <c r="D138" s="50"/>
      <c r="E138" s="2"/>
      <c r="F138" s="2"/>
      <c r="G138" s="2"/>
      <c r="H138" s="2"/>
      <c r="I138" s="96"/>
      <c r="J138" s="2"/>
      <c r="K138" s="72"/>
      <c r="L138" s="75"/>
      <c r="M138" s="76"/>
      <c r="N138" s="74"/>
      <c r="O138" s="84"/>
      <c r="P138" s="2" t="str">
        <f t="shared" si="2"/>
        <v/>
      </c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3:26" ht="19.5" x14ac:dyDescent="0.5">
      <c r="C139" s="2"/>
      <c r="D139" s="50"/>
      <c r="E139" s="2"/>
      <c r="F139" s="2"/>
      <c r="G139" s="2"/>
      <c r="H139" s="2"/>
      <c r="I139" s="96"/>
      <c r="J139" s="2"/>
      <c r="K139" s="72"/>
      <c r="L139" s="75"/>
      <c r="M139" s="76"/>
      <c r="N139" s="74"/>
      <c r="O139" s="84"/>
      <c r="P139" s="2" t="str">
        <f t="shared" si="2"/>
        <v/>
      </c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3:26" ht="19.5" x14ac:dyDescent="0.5">
      <c r="C140" s="2"/>
      <c r="D140" s="50"/>
      <c r="E140" s="2"/>
      <c r="F140" s="2"/>
      <c r="G140" s="2"/>
      <c r="H140" s="2"/>
      <c r="I140" s="96"/>
      <c r="J140" s="2"/>
      <c r="K140" s="72"/>
      <c r="L140" s="75"/>
      <c r="M140" s="76"/>
      <c r="N140" s="74"/>
      <c r="O140" s="84"/>
      <c r="P140" s="2" t="str">
        <f t="shared" si="2"/>
        <v/>
      </c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3:26" ht="19.5" x14ac:dyDescent="0.5">
      <c r="C141" s="2"/>
      <c r="D141" s="50"/>
      <c r="E141" s="2"/>
      <c r="F141" s="2"/>
      <c r="G141" s="2"/>
      <c r="H141" s="2"/>
      <c r="I141" s="96"/>
      <c r="J141" s="2"/>
      <c r="K141" s="72"/>
      <c r="L141" s="75"/>
      <c r="M141" s="76"/>
      <c r="N141" s="74"/>
      <c r="O141" s="84"/>
      <c r="P141" s="2" t="str">
        <f t="shared" si="2"/>
        <v/>
      </c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3:26" ht="19.5" x14ac:dyDescent="0.5">
      <c r="C142" s="2"/>
      <c r="D142" s="50"/>
      <c r="E142" s="2"/>
      <c r="F142" s="2"/>
      <c r="G142" s="2"/>
      <c r="H142" s="2"/>
      <c r="I142" s="96"/>
      <c r="J142" s="2"/>
      <c r="K142" s="72"/>
      <c r="L142" s="75"/>
      <c r="M142" s="76"/>
      <c r="N142" s="74"/>
      <c r="O142" s="84"/>
      <c r="P142" s="2" t="str">
        <f t="shared" si="2"/>
        <v/>
      </c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3:26" ht="19.5" x14ac:dyDescent="0.5">
      <c r="C143" s="2"/>
      <c r="D143" s="50"/>
      <c r="E143" s="2"/>
      <c r="F143" s="2"/>
      <c r="G143" s="2"/>
      <c r="H143" s="2"/>
      <c r="I143" s="96"/>
      <c r="J143" s="2"/>
      <c r="K143" s="72"/>
      <c r="L143" s="75"/>
      <c r="M143" s="76"/>
      <c r="N143" s="74"/>
      <c r="O143" s="84"/>
      <c r="P143" s="2" t="str">
        <f t="shared" si="2"/>
        <v/>
      </c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3:26" ht="19.5" x14ac:dyDescent="0.5">
      <c r="C144" s="2"/>
      <c r="D144" s="50"/>
      <c r="E144" s="2"/>
      <c r="F144" s="2"/>
      <c r="G144" s="2"/>
      <c r="H144" s="2"/>
      <c r="I144" s="96"/>
      <c r="J144" s="2"/>
      <c r="K144" s="72"/>
      <c r="L144" s="75"/>
      <c r="M144" s="76"/>
      <c r="N144" s="74"/>
      <c r="O144" s="84"/>
      <c r="P144" s="2" t="str">
        <f t="shared" si="2"/>
        <v/>
      </c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3:26" ht="19.5" x14ac:dyDescent="0.5">
      <c r="C145" s="2"/>
      <c r="D145" s="50"/>
      <c r="E145" s="2"/>
      <c r="F145" s="2"/>
      <c r="G145" s="2"/>
      <c r="H145" s="2"/>
      <c r="I145" s="96"/>
      <c r="J145" s="2"/>
      <c r="K145" s="72"/>
      <c r="L145" s="75"/>
      <c r="M145" s="76"/>
      <c r="N145" s="74"/>
      <c r="O145" s="84"/>
      <c r="P145" s="2" t="str">
        <f t="shared" si="2"/>
        <v/>
      </c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3:26" ht="19.5" x14ac:dyDescent="0.5">
      <c r="C146" s="2"/>
      <c r="D146" s="50"/>
      <c r="E146" s="2"/>
      <c r="F146" s="2"/>
      <c r="G146" s="2"/>
      <c r="H146" s="2"/>
      <c r="I146" s="96"/>
      <c r="J146" s="2"/>
      <c r="K146" s="72"/>
      <c r="L146" s="75"/>
      <c r="M146" s="76"/>
      <c r="N146" s="74"/>
      <c r="O146" s="84"/>
      <c r="P146" s="2" t="str">
        <f t="shared" si="2"/>
        <v/>
      </c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3:26" ht="19.5" x14ac:dyDescent="0.5">
      <c r="C147" s="2"/>
      <c r="D147" s="50"/>
      <c r="E147" s="2"/>
      <c r="F147" s="2"/>
      <c r="G147" s="2"/>
      <c r="H147" s="2"/>
      <c r="I147" s="96"/>
      <c r="J147" s="2"/>
      <c r="K147" s="72"/>
      <c r="L147" s="75"/>
      <c r="M147" s="76"/>
      <c r="N147" s="74"/>
      <c r="O147" s="84"/>
      <c r="P147" s="2" t="str">
        <f t="shared" si="2"/>
        <v/>
      </c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3:26" ht="19.5" x14ac:dyDescent="0.5">
      <c r="C148" s="2"/>
      <c r="D148" s="50"/>
      <c r="E148" s="2"/>
      <c r="F148" s="2"/>
      <c r="G148" s="2"/>
      <c r="H148" s="2"/>
      <c r="I148" s="96"/>
      <c r="J148" s="2"/>
      <c r="K148" s="72"/>
      <c r="L148" s="75"/>
      <c r="M148" s="76"/>
      <c r="N148" s="74"/>
      <c r="O148" s="84"/>
      <c r="P148" s="2" t="str">
        <f t="shared" si="2"/>
        <v/>
      </c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3:26" ht="19.5" x14ac:dyDescent="0.5">
      <c r="C149" s="2"/>
      <c r="D149" s="50"/>
      <c r="E149" s="2"/>
      <c r="F149" s="2"/>
      <c r="G149" s="2"/>
      <c r="H149" s="2"/>
      <c r="I149" s="96"/>
      <c r="J149" s="2"/>
      <c r="K149" s="72"/>
      <c r="L149" s="75"/>
      <c r="M149" s="76"/>
      <c r="N149" s="74"/>
      <c r="O149" s="84"/>
      <c r="P149" s="2" t="str">
        <f t="shared" si="2"/>
        <v/>
      </c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3:26" ht="19.5" x14ac:dyDescent="0.5">
      <c r="C150" s="2"/>
      <c r="D150" s="50"/>
      <c r="E150" s="2"/>
      <c r="F150" s="2"/>
      <c r="G150" s="2"/>
      <c r="H150" s="2"/>
      <c r="I150" s="96"/>
      <c r="J150" s="2"/>
      <c r="K150" s="72"/>
      <c r="L150" s="75"/>
      <c r="M150" s="76"/>
      <c r="N150" s="74"/>
      <c r="O150" s="84"/>
      <c r="P150" s="2" t="str">
        <f t="shared" si="2"/>
        <v/>
      </c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3:26" ht="19.5" x14ac:dyDescent="0.5">
      <c r="C151" s="2"/>
      <c r="D151" s="50"/>
      <c r="E151" s="2"/>
      <c r="F151" s="2"/>
      <c r="G151" s="2"/>
      <c r="H151" s="2"/>
      <c r="I151" s="96"/>
      <c r="J151" s="2"/>
      <c r="K151" s="72"/>
      <c r="L151" s="75"/>
      <c r="M151" s="76"/>
      <c r="N151" s="74"/>
      <c r="O151" s="84"/>
      <c r="P151" s="2" t="str">
        <f t="shared" si="2"/>
        <v/>
      </c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3:26" ht="19.5" x14ac:dyDescent="0.5">
      <c r="C152" s="2"/>
      <c r="D152" s="50"/>
      <c r="E152" s="2"/>
      <c r="F152" s="2"/>
      <c r="G152" s="2"/>
      <c r="H152" s="2"/>
      <c r="I152" s="96"/>
      <c r="J152" s="2"/>
      <c r="K152" s="72"/>
      <c r="L152" s="75"/>
      <c r="M152" s="76"/>
      <c r="N152" s="74"/>
      <c r="O152" s="84"/>
      <c r="P152" s="2" t="str">
        <f t="shared" si="2"/>
        <v/>
      </c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3:26" ht="19.5" x14ac:dyDescent="0.5">
      <c r="C153" s="2"/>
      <c r="D153" s="50"/>
      <c r="E153" s="2"/>
      <c r="F153" s="2"/>
      <c r="G153" s="2"/>
      <c r="H153" s="2"/>
      <c r="I153" s="96"/>
      <c r="J153" s="2"/>
      <c r="K153" s="72"/>
      <c r="L153" s="75"/>
      <c r="M153" s="76"/>
      <c r="N153" s="74"/>
      <c r="O153" s="84"/>
      <c r="P153" s="2" t="str">
        <f t="shared" si="2"/>
        <v/>
      </c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3:26" ht="19.5" x14ac:dyDescent="0.5">
      <c r="C154" s="2"/>
      <c r="D154" s="50"/>
      <c r="E154" s="2"/>
      <c r="F154" s="2"/>
      <c r="G154" s="2"/>
      <c r="H154" s="2"/>
      <c r="I154" s="96"/>
      <c r="J154" s="2"/>
      <c r="K154" s="72"/>
      <c r="L154" s="75"/>
      <c r="M154" s="76"/>
      <c r="N154" s="74"/>
      <c r="O154" s="84"/>
      <c r="P154" s="2" t="str">
        <f t="shared" si="2"/>
        <v/>
      </c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3:26" ht="19.5" x14ac:dyDescent="0.5">
      <c r="C155" s="2"/>
      <c r="D155" s="50"/>
      <c r="E155" s="2"/>
      <c r="F155" s="2"/>
      <c r="G155" s="2"/>
      <c r="H155" s="2"/>
      <c r="I155" s="96"/>
      <c r="J155" s="2"/>
      <c r="K155" s="72"/>
      <c r="L155" s="75"/>
      <c r="M155" s="76"/>
      <c r="N155" s="74"/>
      <c r="O155" s="84"/>
      <c r="P155" s="2" t="str">
        <f t="shared" si="2"/>
        <v/>
      </c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3:26" ht="19.5" x14ac:dyDescent="0.5">
      <c r="C156" s="2"/>
      <c r="D156" s="50"/>
      <c r="E156" s="2"/>
      <c r="F156" s="2"/>
      <c r="G156" s="2"/>
      <c r="H156" s="2"/>
      <c r="I156" s="96"/>
      <c r="J156" s="2"/>
      <c r="K156" s="72"/>
      <c r="L156" s="75"/>
      <c r="M156" s="76"/>
      <c r="N156" s="74"/>
      <c r="O156" s="84"/>
      <c r="P156" s="2" t="str">
        <f t="shared" si="2"/>
        <v/>
      </c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3:26" ht="19.5" x14ac:dyDescent="0.5">
      <c r="C157" s="2"/>
      <c r="D157" s="50"/>
      <c r="E157" s="2"/>
      <c r="F157" s="2"/>
      <c r="G157" s="2"/>
      <c r="H157" s="2"/>
      <c r="I157" s="96"/>
      <c r="J157" s="2"/>
      <c r="K157" s="72"/>
      <c r="L157" s="75"/>
      <c r="M157" s="76"/>
      <c r="N157" s="74"/>
      <c r="O157" s="84"/>
      <c r="P157" s="2" t="str">
        <f t="shared" si="2"/>
        <v/>
      </c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3:26" ht="19.5" x14ac:dyDescent="0.5">
      <c r="C158" s="2"/>
      <c r="D158" s="50"/>
      <c r="E158" s="2"/>
      <c r="F158" s="2"/>
      <c r="G158" s="2"/>
      <c r="H158" s="2"/>
      <c r="I158" s="96"/>
      <c r="J158" s="2"/>
      <c r="K158" s="72"/>
      <c r="L158" s="75"/>
      <c r="M158" s="76"/>
      <c r="N158" s="74"/>
      <c r="O158" s="84"/>
      <c r="P158" s="2" t="str">
        <f t="shared" si="2"/>
        <v/>
      </c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3:26" ht="19.5" x14ac:dyDescent="0.5">
      <c r="C159" s="2"/>
      <c r="D159" s="50"/>
      <c r="E159" s="2"/>
      <c r="F159" s="2"/>
      <c r="G159" s="2"/>
      <c r="H159" s="2"/>
      <c r="I159" s="96"/>
      <c r="J159" s="2"/>
      <c r="K159" s="72"/>
      <c r="L159" s="75"/>
      <c r="M159" s="76"/>
      <c r="N159" s="74"/>
      <c r="O159" s="84"/>
      <c r="P159" s="2" t="str">
        <f t="shared" si="2"/>
        <v/>
      </c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3:26" ht="19.5" x14ac:dyDescent="0.5">
      <c r="C160" s="2"/>
      <c r="D160" s="50"/>
      <c r="E160" s="2"/>
      <c r="F160" s="2"/>
      <c r="G160" s="2"/>
      <c r="H160" s="2"/>
      <c r="I160" s="96"/>
      <c r="J160" s="2"/>
      <c r="K160" s="72"/>
      <c r="L160" s="75"/>
      <c r="M160" s="76"/>
      <c r="N160" s="74"/>
      <c r="O160" s="84"/>
      <c r="P160" s="2" t="str">
        <f t="shared" si="2"/>
        <v/>
      </c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3:26" ht="19.5" x14ac:dyDescent="0.5">
      <c r="C161" s="2"/>
      <c r="D161" s="50"/>
      <c r="E161" s="2"/>
      <c r="F161" s="2"/>
      <c r="G161" s="2"/>
      <c r="H161" s="2"/>
      <c r="I161" s="96"/>
      <c r="J161" s="2"/>
      <c r="K161" s="72"/>
      <c r="L161" s="75"/>
      <c r="M161" s="76"/>
      <c r="N161" s="74"/>
      <c r="O161" s="84"/>
      <c r="P161" s="2" t="str">
        <f t="shared" si="2"/>
        <v/>
      </c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3:26" ht="19.5" x14ac:dyDescent="0.5">
      <c r="C162" s="2"/>
      <c r="D162" s="50"/>
      <c r="E162" s="2"/>
      <c r="F162" s="2"/>
      <c r="G162" s="2"/>
      <c r="H162" s="2"/>
      <c r="I162" s="96"/>
      <c r="J162" s="2"/>
      <c r="K162" s="72"/>
      <c r="L162" s="75"/>
      <c r="M162" s="76"/>
      <c r="N162" s="74"/>
      <c r="O162" s="84"/>
      <c r="P162" s="2" t="str">
        <f t="shared" si="2"/>
        <v/>
      </c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3:26" ht="19.5" x14ac:dyDescent="0.5">
      <c r="C163" s="2"/>
      <c r="D163" s="50"/>
      <c r="E163" s="2"/>
      <c r="F163" s="2"/>
      <c r="G163" s="2"/>
      <c r="H163" s="2"/>
      <c r="I163" s="96"/>
      <c r="J163" s="2"/>
      <c r="K163" s="72"/>
      <c r="L163" s="75"/>
      <c r="M163" s="76"/>
      <c r="N163" s="74"/>
      <c r="O163" s="84"/>
      <c r="P163" s="2" t="str">
        <f t="shared" si="2"/>
        <v/>
      </c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3:26" ht="19.5" x14ac:dyDescent="0.5">
      <c r="C164" s="2"/>
      <c r="D164" s="50"/>
      <c r="E164" s="2"/>
      <c r="F164" s="2"/>
      <c r="G164" s="2"/>
      <c r="H164" s="2"/>
      <c r="I164" s="96"/>
      <c r="J164" s="2"/>
      <c r="K164" s="72"/>
      <c r="L164" s="75"/>
      <c r="M164" s="76"/>
      <c r="N164" s="74"/>
      <c r="O164" s="84"/>
      <c r="P164" s="2" t="str">
        <f t="shared" si="2"/>
        <v/>
      </c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3:26" ht="19.5" x14ac:dyDescent="0.5">
      <c r="C165" s="2"/>
      <c r="D165" s="50"/>
      <c r="E165" s="2"/>
      <c r="F165" s="2"/>
      <c r="G165" s="2"/>
      <c r="H165" s="2"/>
      <c r="I165" s="96"/>
      <c r="J165" s="2"/>
      <c r="K165" s="72"/>
      <c r="L165" s="75"/>
      <c r="M165" s="76"/>
      <c r="N165" s="74"/>
      <c r="O165" s="84"/>
      <c r="P165" s="2" t="str">
        <f t="shared" si="2"/>
        <v/>
      </c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3:26" ht="19.5" x14ac:dyDescent="0.5">
      <c r="C166" s="2"/>
      <c r="D166" s="50"/>
      <c r="E166" s="2"/>
      <c r="F166" s="2"/>
      <c r="G166" s="2"/>
      <c r="H166" s="2"/>
      <c r="I166" s="96"/>
      <c r="J166" s="2"/>
      <c r="K166" s="72"/>
      <c r="L166" s="75"/>
      <c r="M166" s="76"/>
      <c r="N166" s="74"/>
      <c r="O166" s="84"/>
      <c r="P166" s="2" t="str">
        <f t="shared" si="2"/>
        <v/>
      </c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3:26" ht="19.5" x14ac:dyDescent="0.5">
      <c r="C167" s="2"/>
      <c r="D167" s="50"/>
      <c r="E167" s="2"/>
      <c r="F167" s="2"/>
      <c r="G167" s="2"/>
      <c r="H167" s="2"/>
      <c r="I167" s="96"/>
      <c r="J167" s="2"/>
      <c r="K167" s="72"/>
      <c r="L167" s="75"/>
      <c r="M167" s="76"/>
      <c r="N167" s="74"/>
      <c r="O167" s="84"/>
      <c r="P167" s="2" t="str">
        <f t="shared" si="2"/>
        <v/>
      </c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3:26" ht="19.5" x14ac:dyDescent="0.5">
      <c r="C168" s="2"/>
      <c r="D168" s="50"/>
      <c r="E168" s="2"/>
      <c r="F168" s="2"/>
      <c r="G168" s="2"/>
      <c r="H168" s="2"/>
      <c r="I168" s="96"/>
      <c r="J168" s="2"/>
      <c r="K168" s="72"/>
      <c r="L168" s="75"/>
      <c r="M168" s="76"/>
      <c r="N168" s="74"/>
      <c r="O168" s="84"/>
      <c r="P168" s="2" t="str">
        <f t="shared" si="2"/>
        <v/>
      </c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3:26" ht="19.5" x14ac:dyDescent="0.5">
      <c r="C169" s="2"/>
      <c r="D169" s="50"/>
      <c r="E169" s="2"/>
      <c r="F169" s="2"/>
      <c r="G169" s="2"/>
      <c r="H169" s="2"/>
      <c r="I169" s="96"/>
      <c r="J169" s="2"/>
      <c r="K169" s="72"/>
      <c r="L169" s="75"/>
      <c r="M169" s="76"/>
      <c r="N169" s="74"/>
      <c r="O169" s="84"/>
      <c r="P169" s="2" t="str">
        <f t="shared" si="2"/>
        <v/>
      </c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3:26" ht="19.5" x14ac:dyDescent="0.5">
      <c r="C170" s="2"/>
      <c r="D170" s="50"/>
      <c r="E170" s="2"/>
      <c r="F170" s="2"/>
      <c r="G170" s="2"/>
      <c r="H170" s="2"/>
      <c r="I170" s="96"/>
      <c r="J170" s="2"/>
      <c r="K170" s="72"/>
      <c r="L170" s="75"/>
      <c r="M170" s="76"/>
      <c r="N170" s="74"/>
      <c r="O170" s="84"/>
      <c r="P170" s="2" t="str">
        <f t="shared" si="2"/>
        <v/>
      </c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3:26" ht="19.5" x14ac:dyDescent="0.5">
      <c r="C171" s="2"/>
      <c r="D171" s="50"/>
      <c r="E171" s="2"/>
      <c r="F171" s="2"/>
      <c r="G171" s="2"/>
      <c r="H171" s="2"/>
      <c r="I171" s="96"/>
      <c r="J171" s="2"/>
      <c r="K171" s="72"/>
      <c r="L171" s="75"/>
      <c r="M171" s="76"/>
      <c r="N171" s="74"/>
      <c r="O171" s="84"/>
      <c r="P171" s="2" t="str">
        <f t="shared" si="2"/>
        <v/>
      </c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3:26" ht="19.5" x14ac:dyDescent="0.5">
      <c r="C172" s="2"/>
      <c r="D172" s="50"/>
      <c r="E172" s="2"/>
      <c r="F172" s="2"/>
      <c r="G172" s="2"/>
      <c r="H172" s="2"/>
      <c r="I172" s="96"/>
      <c r="J172" s="2"/>
      <c r="K172" s="72"/>
      <c r="L172" s="75"/>
      <c r="M172" s="76"/>
      <c r="N172" s="74"/>
      <c r="O172" s="84"/>
      <c r="P172" s="2" t="str">
        <f t="shared" si="2"/>
        <v/>
      </c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3:26" ht="19.5" x14ac:dyDescent="0.5">
      <c r="C173" s="2"/>
      <c r="D173" s="50"/>
      <c r="E173" s="2"/>
      <c r="F173" s="2"/>
      <c r="G173" s="2"/>
      <c r="H173" s="2"/>
      <c r="I173" s="96"/>
      <c r="J173" s="2"/>
      <c r="K173" s="72"/>
      <c r="L173" s="75"/>
      <c r="M173" s="76"/>
      <c r="N173" s="74"/>
      <c r="O173" s="84"/>
      <c r="P173" s="2" t="str">
        <f t="shared" si="2"/>
        <v/>
      </c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3:26" ht="19.5" x14ac:dyDescent="0.5">
      <c r="C174" s="2"/>
      <c r="D174" s="50"/>
      <c r="E174" s="2"/>
      <c r="F174" s="2"/>
      <c r="G174" s="2"/>
      <c r="H174" s="2"/>
      <c r="I174" s="96"/>
      <c r="J174" s="2"/>
      <c r="K174" s="72"/>
      <c r="L174" s="75"/>
      <c r="M174" s="76"/>
      <c r="N174" s="74"/>
      <c r="O174" s="84"/>
      <c r="P174" s="2" t="str">
        <f t="shared" si="2"/>
        <v/>
      </c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3:26" ht="19.5" x14ac:dyDescent="0.5">
      <c r="C175" s="2"/>
      <c r="D175" s="50"/>
      <c r="E175" s="2"/>
      <c r="F175" s="2"/>
      <c r="G175" s="2"/>
      <c r="H175" s="2"/>
      <c r="I175" s="96"/>
      <c r="J175" s="2"/>
      <c r="K175" s="72"/>
      <c r="L175" s="75"/>
      <c r="M175" s="76"/>
      <c r="N175" s="74"/>
      <c r="O175" s="84"/>
      <c r="P175" s="2" t="str">
        <f t="shared" si="2"/>
        <v/>
      </c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3:26" ht="19.5" x14ac:dyDescent="0.5">
      <c r="C176" s="2"/>
      <c r="D176" s="50"/>
      <c r="E176" s="2"/>
      <c r="F176" s="2"/>
      <c r="G176" s="2"/>
      <c r="H176" s="2"/>
      <c r="I176" s="96"/>
      <c r="J176" s="2"/>
      <c r="K176" s="72"/>
      <c r="L176" s="75"/>
      <c r="M176" s="76"/>
      <c r="N176" s="74"/>
      <c r="O176" s="84"/>
      <c r="P176" s="2" t="str">
        <f t="shared" si="2"/>
        <v/>
      </c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3:26" ht="19.5" x14ac:dyDescent="0.5">
      <c r="C177" s="2"/>
      <c r="D177" s="50"/>
      <c r="E177" s="2"/>
      <c r="F177" s="2"/>
      <c r="G177" s="2"/>
      <c r="H177" s="2"/>
      <c r="I177" s="96"/>
      <c r="J177" s="2"/>
      <c r="K177" s="72"/>
      <c r="L177" s="75"/>
      <c r="M177" s="76"/>
      <c r="N177" s="74"/>
      <c r="O177" s="84"/>
      <c r="P177" s="2" t="str">
        <f t="shared" si="2"/>
        <v/>
      </c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3:26" ht="19.5" x14ac:dyDescent="0.5">
      <c r="C178" s="2"/>
      <c r="D178" s="50"/>
      <c r="E178" s="2"/>
      <c r="F178" s="2"/>
      <c r="G178" s="2"/>
      <c r="H178" s="2"/>
      <c r="I178" s="96"/>
      <c r="J178" s="2"/>
      <c r="K178" s="72"/>
      <c r="L178" s="75"/>
      <c r="M178" s="76"/>
      <c r="N178" s="74"/>
      <c r="O178" s="84"/>
      <c r="P178" s="2" t="str">
        <f t="shared" si="2"/>
        <v/>
      </c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3:26" ht="19.5" x14ac:dyDescent="0.5">
      <c r="C179" s="2"/>
      <c r="D179" s="50"/>
      <c r="E179" s="2"/>
      <c r="F179" s="2"/>
      <c r="G179" s="2"/>
      <c r="H179" s="2"/>
      <c r="I179" s="96"/>
      <c r="J179" s="2"/>
      <c r="K179" s="72"/>
      <c r="L179" s="75"/>
      <c r="M179" s="76"/>
      <c r="N179" s="74"/>
      <c r="O179" s="84"/>
      <c r="P179" s="2" t="str">
        <f t="shared" si="2"/>
        <v/>
      </c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3:26" ht="19.5" x14ac:dyDescent="0.5">
      <c r="C180" s="2"/>
      <c r="D180" s="50"/>
      <c r="E180" s="2"/>
      <c r="F180" s="2"/>
      <c r="G180" s="2"/>
      <c r="H180" s="2"/>
      <c r="I180" s="96"/>
      <c r="J180" s="2"/>
      <c r="K180" s="72"/>
      <c r="L180" s="75"/>
      <c r="M180" s="76"/>
      <c r="N180" s="74"/>
      <c r="O180" s="84"/>
      <c r="P180" s="2" t="str">
        <f t="shared" si="2"/>
        <v/>
      </c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3:26" ht="19.5" x14ac:dyDescent="0.5">
      <c r="C181" s="2"/>
      <c r="D181" s="50"/>
      <c r="E181" s="2"/>
      <c r="F181" s="2"/>
      <c r="G181" s="2"/>
      <c r="H181" s="2"/>
      <c r="I181" s="96"/>
      <c r="J181" s="2"/>
      <c r="K181" s="72"/>
      <c r="L181" s="75"/>
      <c r="M181" s="76"/>
      <c r="N181" s="74"/>
      <c r="O181" s="84"/>
      <c r="P181" s="2" t="str">
        <f t="shared" si="2"/>
        <v/>
      </c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3:26" ht="19.5" x14ac:dyDescent="0.5">
      <c r="C182" s="2"/>
      <c r="D182" s="50"/>
      <c r="E182" s="2"/>
      <c r="F182" s="2"/>
      <c r="G182" s="2"/>
      <c r="H182" s="2"/>
      <c r="I182" s="96"/>
      <c r="J182" s="2"/>
      <c r="K182" s="72"/>
      <c r="L182" s="75"/>
      <c r="M182" s="76"/>
      <c r="N182" s="74"/>
      <c r="O182" s="84"/>
      <c r="P182" s="2" t="str">
        <f t="shared" si="2"/>
        <v/>
      </c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3:26" ht="19.5" x14ac:dyDescent="0.5">
      <c r="C183" s="2"/>
      <c r="D183" s="50"/>
      <c r="E183" s="2"/>
      <c r="F183" s="2"/>
      <c r="G183" s="2"/>
      <c r="H183" s="2"/>
      <c r="I183" s="96"/>
      <c r="J183" s="2"/>
      <c r="K183" s="72"/>
      <c r="L183" s="75"/>
      <c r="M183" s="76"/>
      <c r="N183" s="74"/>
      <c r="O183" s="84"/>
      <c r="P183" s="2" t="str">
        <f t="shared" si="2"/>
        <v/>
      </c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3:26" ht="19.5" x14ac:dyDescent="0.5">
      <c r="C184" s="2"/>
      <c r="D184" s="50"/>
      <c r="E184" s="2"/>
      <c r="F184" s="2"/>
      <c r="G184" s="2"/>
      <c r="H184" s="2"/>
      <c r="I184" s="96"/>
      <c r="J184" s="2"/>
      <c r="K184" s="72"/>
      <c r="L184" s="75"/>
      <c r="M184" s="76"/>
      <c r="N184" s="74"/>
      <c r="O184" s="84"/>
      <c r="P184" s="2" t="str">
        <f t="shared" si="2"/>
        <v/>
      </c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3:26" ht="19.5" x14ac:dyDescent="0.5">
      <c r="C185" s="2"/>
      <c r="D185" s="50"/>
      <c r="E185" s="2"/>
      <c r="F185" s="2"/>
      <c r="G185" s="2"/>
      <c r="H185" s="2"/>
      <c r="I185" s="96"/>
      <c r="J185" s="2"/>
      <c r="K185" s="72"/>
      <c r="L185" s="75"/>
      <c r="M185" s="76"/>
      <c r="N185" s="74"/>
      <c r="O185" s="84"/>
      <c r="P185" s="2" t="str">
        <f t="shared" si="2"/>
        <v/>
      </c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3:26" ht="19.5" x14ac:dyDescent="0.5">
      <c r="C186" s="2"/>
      <c r="D186" s="50"/>
      <c r="E186" s="2"/>
      <c r="F186" s="2"/>
      <c r="G186" s="2"/>
      <c r="H186" s="2"/>
      <c r="I186" s="96"/>
      <c r="J186" s="2"/>
      <c r="K186" s="72"/>
      <c r="L186" s="75"/>
      <c r="M186" s="76"/>
      <c r="N186" s="74"/>
      <c r="O186" s="84"/>
      <c r="P186" s="2" t="str">
        <f t="shared" si="2"/>
        <v/>
      </c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3:26" ht="19.5" x14ac:dyDescent="0.5">
      <c r="C187" s="2"/>
      <c r="D187" s="50"/>
      <c r="E187" s="2"/>
      <c r="F187" s="2"/>
      <c r="G187" s="2"/>
      <c r="H187" s="2"/>
      <c r="I187" s="96"/>
      <c r="J187" s="2"/>
      <c r="K187" s="72"/>
      <c r="L187" s="75"/>
      <c r="M187" s="76"/>
      <c r="N187" s="74"/>
      <c r="O187" s="84"/>
      <c r="P187" s="2" t="str">
        <f t="shared" si="2"/>
        <v/>
      </c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3:26" ht="19.5" x14ac:dyDescent="0.5">
      <c r="C188" s="2"/>
      <c r="D188" s="50"/>
      <c r="E188" s="2"/>
      <c r="F188" s="2"/>
      <c r="G188" s="2"/>
      <c r="H188" s="2"/>
      <c r="I188" s="96"/>
      <c r="J188" s="2"/>
      <c r="K188" s="72"/>
      <c r="L188" s="75"/>
      <c r="M188" s="76"/>
      <c r="N188" s="74"/>
      <c r="O188" s="84"/>
      <c r="P188" s="2" t="str">
        <f t="shared" si="2"/>
        <v/>
      </c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3:26" ht="19.5" x14ac:dyDescent="0.5">
      <c r="C189" s="2"/>
      <c r="D189" s="50"/>
      <c r="E189" s="2"/>
      <c r="F189" s="2"/>
      <c r="G189" s="2"/>
      <c r="H189" s="2"/>
      <c r="I189" s="96"/>
      <c r="J189" s="2"/>
      <c r="K189" s="72"/>
      <c r="L189" s="75"/>
      <c r="M189" s="76"/>
      <c r="N189" s="74"/>
      <c r="O189" s="84"/>
      <c r="P189" s="2" t="str">
        <f t="shared" si="2"/>
        <v/>
      </c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3:26" ht="19.5" x14ac:dyDescent="0.5">
      <c r="C190" s="2"/>
      <c r="D190" s="50"/>
      <c r="E190" s="2"/>
      <c r="F190" s="2"/>
      <c r="G190" s="2"/>
      <c r="H190" s="2"/>
      <c r="I190" s="96"/>
      <c r="J190" s="2"/>
      <c r="K190" s="72"/>
      <c r="L190" s="75"/>
      <c r="M190" s="76"/>
      <c r="N190" s="74"/>
      <c r="O190" s="84"/>
      <c r="P190" s="2" t="str">
        <f t="shared" si="2"/>
        <v/>
      </c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3:26" ht="19.5" x14ac:dyDescent="0.5">
      <c r="C191" s="2"/>
      <c r="D191" s="50"/>
      <c r="E191" s="2"/>
      <c r="F191" s="2"/>
      <c r="G191" s="2"/>
      <c r="H191" s="2"/>
      <c r="I191" s="96"/>
      <c r="J191" s="2"/>
      <c r="K191" s="72"/>
      <c r="L191" s="75"/>
      <c r="M191" s="76"/>
      <c r="N191" s="74"/>
      <c r="O191" s="84"/>
      <c r="P191" s="2" t="str">
        <f t="shared" si="2"/>
        <v/>
      </c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3:26" ht="19.5" x14ac:dyDescent="0.5">
      <c r="C192" s="2"/>
      <c r="D192" s="50"/>
      <c r="E192" s="2"/>
      <c r="F192" s="2"/>
      <c r="G192" s="2"/>
      <c r="H192" s="2"/>
      <c r="I192" s="96"/>
      <c r="J192" s="2"/>
      <c r="K192" s="72"/>
      <c r="L192" s="75"/>
      <c r="M192" s="76"/>
      <c r="N192" s="74"/>
      <c r="O192" s="84"/>
      <c r="P192" s="2" t="str">
        <f t="shared" si="2"/>
        <v/>
      </c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3:26" ht="19.5" x14ac:dyDescent="0.5">
      <c r="C193" s="2"/>
      <c r="D193" s="50"/>
      <c r="E193" s="2"/>
      <c r="F193" s="2"/>
      <c r="G193" s="2"/>
      <c r="H193" s="2"/>
      <c r="I193" s="96"/>
      <c r="J193" s="2"/>
      <c r="K193" s="72"/>
      <c r="L193" s="75"/>
      <c r="M193" s="76"/>
      <c r="N193" s="74"/>
      <c r="O193" s="84"/>
      <c r="P193" s="2" t="str">
        <f t="shared" si="2"/>
        <v/>
      </c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3:26" ht="19.5" x14ac:dyDescent="0.5">
      <c r="C194" s="2"/>
      <c r="D194" s="50"/>
      <c r="E194" s="2"/>
      <c r="F194" s="2"/>
      <c r="G194" s="2"/>
      <c r="H194" s="2"/>
      <c r="I194" s="96"/>
      <c r="J194" s="2"/>
      <c r="K194" s="72"/>
      <c r="L194" s="75"/>
      <c r="M194" s="76"/>
      <c r="N194" s="74"/>
      <c r="O194" s="84"/>
      <c r="P194" s="2" t="str">
        <f t="shared" si="2"/>
        <v/>
      </c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3:26" ht="19.5" x14ac:dyDescent="0.5">
      <c r="C195" s="2"/>
      <c r="D195" s="50"/>
      <c r="E195" s="2"/>
      <c r="F195" s="2"/>
      <c r="G195" s="2"/>
      <c r="H195" s="2"/>
      <c r="I195" s="96"/>
      <c r="J195" s="2"/>
      <c r="K195" s="72"/>
      <c r="L195" s="75"/>
      <c r="M195" s="76"/>
      <c r="N195" s="74"/>
      <c r="O195" s="84"/>
      <c r="P195" s="2" t="str">
        <f t="shared" si="2"/>
        <v/>
      </c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3:26" ht="19.5" x14ac:dyDescent="0.5">
      <c r="C196" s="2"/>
      <c r="D196" s="50"/>
      <c r="E196" s="2"/>
      <c r="F196" s="2"/>
      <c r="G196" s="2"/>
      <c r="H196" s="2"/>
      <c r="I196" s="96"/>
      <c r="J196" s="2"/>
      <c r="K196" s="72"/>
      <c r="L196" s="75"/>
      <c r="M196" s="76"/>
      <c r="N196" s="74"/>
      <c r="O196" s="84"/>
      <c r="P196" s="2" t="str">
        <f t="shared" si="2"/>
        <v/>
      </c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3:26" ht="19.5" x14ac:dyDescent="0.5">
      <c r="C197" s="2"/>
      <c r="D197" s="50"/>
      <c r="E197" s="2"/>
      <c r="F197" s="2"/>
      <c r="G197" s="2"/>
      <c r="H197" s="2"/>
      <c r="I197" s="96"/>
      <c r="J197" s="2"/>
      <c r="K197" s="72"/>
      <c r="L197" s="75"/>
      <c r="M197" s="76"/>
      <c r="N197" s="74"/>
      <c r="O197" s="84"/>
      <c r="P197" s="2" t="str">
        <f t="shared" si="2"/>
        <v/>
      </c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3:26" ht="19.5" x14ac:dyDescent="0.5">
      <c r="C198" s="2"/>
      <c r="D198" s="2"/>
      <c r="E198" s="2"/>
      <c r="F198" s="2"/>
      <c r="G198" s="2"/>
      <c r="H198" s="2"/>
      <c r="I198" s="96"/>
      <c r="J198" s="2"/>
      <c r="K198" s="72"/>
      <c r="L198" s="75"/>
      <c r="M198" s="76"/>
      <c r="N198" s="75"/>
      <c r="O198" s="84"/>
      <c r="P198" s="2" t="str">
        <f t="shared" si="2"/>
        <v/>
      </c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3:26" ht="19.5" x14ac:dyDescent="0.5">
      <c r="C199" s="2"/>
      <c r="D199" s="2"/>
      <c r="E199" s="2"/>
      <c r="F199" s="2"/>
      <c r="G199" s="2"/>
      <c r="H199" s="2"/>
      <c r="I199" s="96"/>
      <c r="J199" s="2"/>
      <c r="K199" s="72"/>
      <c r="L199" s="75"/>
      <c r="M199" s="76"/>
      <c r="N199" s="75"/>
      <c r="O199" s="84"/>
      <c r="P199" s="2" t="str">
        <f t="shared" ref="P199:P262" si="3">IF(I199="","",SUMIFS(OrderItems_Qty,OrderItems_Type,"PURCHASE",OrderItems_SKU,I199)-SUMIFS(OrderItems_Qty,OrderItems_Type,"SALE",OrderItems_SKU,I199))</f>
        <v/>
      </c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3:26" ht="19.5" x14ac:dyDescent="0.5">
      <c r="C200" s="2"/>
      <c r="D200" s="2"/>
      <c r="E200" s="2"/>
      <c r="F200" s="2"/>
      <c r="G200" s="2"/>
      <c r="H200" s="2"/>
      <c r="I200" s="96"/>
      <c r="J200" s="2"/>
      <c r="K200" s="72"/>
      <c r="L200" s="75"/>
      <c r="M200" s="76"/>
      <c r="N200" s="75"/>
      <c r="O200" s="84"/>
      <c r="P200" s="2" t="str">
        <f t="shared" si="3"/>
        <v/>
      </c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3:26" ht="19.5" x14ac:dyDescent="0.5">
      <c r="C201" s="2"/>
      <c r="D201" s="2"/>
      <c r="E201" s="2"/>
      <c r="F201" s="2"/>
      <c r="G201" s="2"/>
      <c r="H201" s="2"/>
      <c r="I201" s="96"/>
      <c r="J201" s="2"/>
      <c r="K201" s="72"/>
      <c r="L201" s="75"/>
      <c r="M201" s="76"/>
      <c r="N201" s="75"/>
      <c r="O201" s="84"/>
      <c r="P201" s="2" t="str">
        <f t="shared" si="3"/>
        <v/>
      </c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3:26" ht="19.5" x14ac:dyDescent="0.5">
      <c r="C202" s="2"/>
      <c r="D202" s="2"/>
      <c r="E202" s="2"/>
      <c r="F202" s="2"/>
      <c r="G202" s="2"/>
      <c r="H202" s="2"/>
      <c r="I202" s="96"/>
      <c r="J202" s="2"/>
      <c r="K202" s="72"/>
      <c r="L202" s="75"/>
      <c r="M202" s="76"/>
      <c r="N202" s="75"/>
      <c r="O202" s="84"/>
      <c r="P202" s="2" t="str">
        <f t="shared" si="3"/>
        <v/>
      </c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3:26" ht="19.5" x14ac:dyDescent="0.5">
      <c r="C203" s="2"/>
      <c r="D203" s="2"/>
      <c r="E203" s="2"/>
      <c r="F203" s="2"/>
      <c r="G203" s="2"/>
      <c r="H203" s="2"/>
      <c r="I203" s="96"/>
      <c r="J203" s="2"/>
      <c r="K203" s="72"/>
      <c r="L203" s="75"/>
      <c r="M203" s="76"/>
      <c r="N203" s="75"/>
      <c r="O203" s="84"/>
      <c r="P203" s="2" t="str">
        <f t="shared" si="3"/>
        <v/>
      </c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3:26" ht="19.5" x14ac:dyDescent="0.5">
      <c r="C204" s="2"/>
      <c r="D204" s="2"/>
      <c r="E204" s="2"/>
      <c r="F204" s="2"/>
      <c r="G204" s="2"/>
      <c r="H204" s="2"/>
      <c r="I204" s="96"/>
      <c r="J204" s="2"/>
      <c r="K204" s="72"/>
      <c r="L204" s="75"/>
      <c r="M204" s="76"/>
      <c r="N204" s="75"/>
      <c r="O204" s="84"/>
      <c r="P204" s="2" t="str">
        <f t="shared" si="3"/>
        <v/>
      </c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3:26" ht="19.5" x14ac:dyDescent="0.5">
      <c r="C205" s="2"/>
      <c r="D205" s="2"/>
      <c r="E205" s="2"/>
      <c r="F205" s="2"/>
      <c r="G205" s="2"/>
      <c r="H205" s="2"/>
      <c r="I205" s="96"/>
      <c r="J205" s="2"/>
      <c r="K205" s="72"/>
      <c r="L205" s="75"/>
      <c r="M205" s="76"/>
      <c r="N205" s="75"/>
      <c r="O205" s="84"/>
      <c r="P205" s="2" t="str">
        <f t="shared" si="3"/>
        <v/>
      </c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3:26" ht="19.5" x14ac:dyDescent="0.5">
      <c r="C206" s="2"/>
      <c r="D206" s="2"/>
      <c r="E206" s="2"/>
      <c r="F206" s="2"/>
      <c r="G206" s="2"/>
      <c r="H206" s="2"/>
      <c r="I206" s="96"/>
      <c r="J206" s="2"/>
      <c r="K206" s="72"/>
      <c r="L206" s="75"/>
      <c r="M206" s="76"/>
      <c r="N206" s="75"/>
      <c r="O206" s="84"/>
      <c r="P206" s="2" t="str">
        <f t="shared" si="3"/>
        <v/>
      </c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3:26" ht="19.5" x14ac:dyDescent="0.5">
      <c r="C207" s="2"/>
      <c r="D207" s="2"/>
      <c r="E207" s="2"/>
      <c r="F207" s="2"/>
      <c r="G207" s="2"/>
      <c r="H207" s="2"/>
      <c r="I207" s="96"/>
      <c r="J207" s="2"/>
      <c r="K207" s="72"/>
      <c r="L207" s="75"/>
      <c r="M207" s="76"/>
      <c r="N207" s="75"/>
      <c r="O207" s="84"/>
      <c r="P207" s="2" t="str">
        <f t="shared" si="3"/>
        <v/>
      </c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3:26" ht="19.5" x14ac:dyDescent="0.5">
      <c r="C208" s="2"/>
      <c r="D208" s="2"/>
      <c r="E208" s="2"/>
      <c r="F208" s="2"/>
      <c r="G208" s="2"/>
      <c r="H208" s="2"/>
      <c r="I208" s="96"/>
      <c r="J208" s="2"/>
      <c r="K208" s="72"/>
      <c r="L208" s="75"/>
      <c r="M208" s="76"/>
      <c r="N208" s="75"/>
      <c r="O208" s="84"/>
      <c r="P208" s="2" t="str">
        <f t="shared" si="3"/>
        <v/>
      </c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3:26" ht="19.5" x14ac:dyDescent="0.5">
      <c r="C209" s="2"/>
      <c r="D209" s="2"/>
      <c r="E209" s="2"/>
      <c r="F209" s="2"/>
      <c r="G209" s="2"/>
      <c r="H209" s="2"/>
      <c r="I209" s="96"/>
      <c r="J209" s="2"/>
      <c r="K209" s="72"/>
      <c r="L209" s="75"/>
      <c r="M209" s="76"/>
      <c r="N209" s="75"/>
      <c r="O209" s="84"/>
      <c r="P209" s="2" t="str">
        <f t="shared" si="3"/>
        <v/>
      </c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3:26" ht="19.5" x14ac:dyDescent="0.5">
      <c r="C210" s="2"/>
      <c r="D210" s="2"/>
      <c r="E210" s="2"/>
      <c r="F210" s="2"/>
      <c r="G210" s="2"/>
      <c r="H210" s="2"/>
      <c r="I210" s="96"/>
      <c r="J210" s="2"/>
      <c r="K210" s="72"/>
      <c r="L210" s="75"/>
      <c r="M210" s="76"/>
      <c r="N210" s="75"/>
      <c r="O210" s="84"/>
      <c r="P210" s="2" t="str">
        <f t="shared" si="3"/>
        <v/>
      </c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3:26" ht="19.5" x14ac:dyDescent="0.5">
      <c r="C211" s="2"/>
      <c r="D211" s="2"/>
      <c r="E211" s="2"/>
      <c r="F211" s="2"/>
      <c r="G211" s="2"/>
      <c r="H211" s="2"/>
      <c r="I211" s="96"/>
      <c r="J211" s="2"/>
      <c r="K211" s="72"/>
      <c r="L211" s="75"/>
      <c r="M211" s="76"/>
      <c r="N211" s="75"/>
      <c r="O211" s="84"/>
      <c r="P211" s="2" t="str">
        <f t="shared" si="3"/>
        <v/>
      </c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3:26" ht="19.5" x14ac:dyDescent="0.5">
      <c r="C212" s="2"/>
      <c r="D212" s="2"/>
      <c r="E212" s="2"/>
      <c r="F212" s="2"/>
      <c r="G212" s="2"/>
      <c r="H212" s="2"/>
      <c r="I212" s="96"/>
      <c r="J212" s="2"/>
      <c r="K212" s="72"/>
      <c r="L212" s="75"/>
      <c r="M212" s="76"/>
      <c r="N212" s="75"/>
      <c r="O212" s="84"/>
      <c r="P212" s="2" t="str">
        <f t="shared" si="3"/>
        <v/>
      </c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3:26" ht="19.5" x14ac:dyDescent="0.5">
      <c r="C213" s="2"/>
      <c r="D213" s="2"/>
      <c r="E213" s="2"/>
      <c r="F213" s="2"/>
      <c r="G213" s="2"/>
      <c r="H213" s="2"/>
      <c r="I213" s="96"/>
      <c r="J213" s="2"/>
      <c r="K213" s="72"/>
      <c r="L213" s="75"/>
      <c r="M213" s="76"/>
      <c r="N213" s="75"/>
      <c r="O213" s="84"/>
      <c r="P213" s="2" t="str">
        <f t="shared" si="3"/>
        <v/>
      </c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3:26" ht="19.5" x14ac:dyDescent="0.5">
      <c r="C214" s="2"/>
      <c r="D214" s="2"/>
      <c r="E214" s="2"/>
      <c r="F214" s="2"/>
      <c r="G214" s="2"/>
      <c r="H214" s="2"/>
      <c r="I214" s="96"/>
      <c r="J214" s="2"/>
      <c r="K214" s="72"/>
      <c r="L214" s="75"/>
      <c r="M214" s="76"/>
      <c r="N214" s="75"/>
      <c r="O214" s="84"/>
      <c r="P214" s="2" t="str">
        <f t="shared" si="3"/>
        <v/>
      </c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3:26" ht="19.5" x14ac:dyDescent="0.5">
      <c r="C215" s="2"/>
      <c r="D215" s="2"/>
      <c r="E215" s="2"/>
      <c r="F215" s="2"/>
      <c r="G215" s="2"/>
      <c r="H215" s="2"/>
      <c r="I215" s="96"/>
      <c r="J215" s="2"/>
      <c r="K215" s="72"/>
      <c r="L215" s="75"/>
      <c r="M215" s="76"/>
      <c r="N215" s="75"/>
      <c r="O215" s="84"/>
      <c r="P215" s="2" t="str">
        <f t="shared" si="3"/>
        <v/>
      </c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3:26" ht="19.5" x14ac:dyDescent="0.5">
      <c r="C216" s="2"/>
      <c r="D216" s="2"/>
      <c r="E216" s="2"/>
      <c r="F216" s="2"/>
      <c r="G216" s="2"/>
      <c r="H216" s="2"/>
      <c r="I216" s="96"/>
      <c r="J216" s="2"/>
      <c r="K216" s="72"/>
      <c r="L216" s="75"/>
      <c r="M216" s="76"/>
      <c r="N216" s="75"/>
      <c r="O216" s="84"/>
      <c r="P216" s="2" t="str">
        <f t="shared" si="3"/>
        <v/>
      </c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3:26" ht="19.5" x14ac:dyDescent="0.5">
      <c r="C217" s="2"/>
      <c r="D217" s="2"/>
      <c r="E217" s="2"/>
      <c r="F217" s="2"/>
      <c r="G217" s="2"/>
      <c r="H217" s="2"/>
      <c r="I217" s="96"/>
      <c r="J217" s="2"/>
      <c r="K217" s="72"/>
      <c r="L217" s="75"/>
      <c r="M217" s="76"/>
      <c r="N217" s="75"/>
      <c r="O217" s="84"/>
      <c r="P217" s="2" t="str">
        <f t="shared" si="3"/>
        <v/>
      </c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3:26" ht="19.5" x14ac:dyDescent="0.5">
      <c r="C218" s="2"/>
      <c r="D218" s="2"/>
      <c r="E218" s="2"/>
      <c r="F218" s="2"/>
      <c r="G218" s="2"/>
      <c r="H218" s="2"/>
      <c r="I218" s="96"/>
      <c r="J218" s="2"/>
      <c r="K218" s="72"/>
      <c r="L218" s="75"/>
      <c r="M218" s="76"/>
      <c r="N218" s="75"/>
      <c r="O218" s="84"/>
      <c r="P218" s="2" t="str">
        <f t="shared" si="3"/>
        <v/>
      </c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3:26" ht="19.5" x14ac:dyDescent="0.5">
      <c r="C219" s="2"/>
      <c r="D219" s="2"/>
      <c r="E219" s="2"/>
      <c r="F219" s="2"/>
      <c r="G219" s="2"/>
      <c r="H219" s="2"/>
      <c r="I219" s="96"/>
      <c r="J219" s="2"/>
      <c r="K219" s="72"/>
      <c r="L219" s="75"/>
      <c r="M219" s="76"/>
      <c r="N219" s="75"/>
      <c r="O219" s="84"/>
      <c r="P219" s="2" t="str">
        <f t="shared" si="3"/>
        <v/>
      </c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3:26" ht="19.5" x14ac:dyDescent="0.5">
      <c r="C220" s="2"/>
      <c r="D220" s="2"/>
      <c r="E220" s="2"/>
      <c r="F220" s="2"/>
      <c r="G220" s="2"/>
      <c r="H220" s="2"/>
      <c r="I220" s="96"/>
      <c r="J220" s="2"/>
      <c r="K220" s="72"/>
      <c r="L220" s="75"/>
      <c r="M220" s="76"/>
      <c r="N220" s="75"/>
      <c r="O220" s="84"/>
      <c r="P220" s="2" t="str">
        <f t="shared" si="3"/>
        <v/>
      </c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3:26" ht="19.5" x14ac:dyDescent="0.5">
      <c r="C221" s="2"/>
      <c r="D221" s="2"/>
      <c r="E221" s="2"/>
      <c r="F221" s="2"/>
      <c r="G221" s="2"/>
      <c r="H221" s="2"/>
      <c r="I221" s="96"/>
      <c r="J221" s="2"/>
      <c r="K221" s="72"/>
      <c r="L221" s="75"/>
      <c r="M221" s="76"/>
      <c r="N221" s="75"/>
      <c r="O221" s="84"/>
      <c r="P221" s="2" t="str">
        <f t="shared" si="3"/>
        <v/>
      </c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3:26" ht="19.5" x14ac:dyDescent="0.5">
      <c r="C222" s="2"/>
      <c r="D222" s="2"/>
      <c r="E222" s="2"/>
      <c r="F222" s="2"/>
      <c r="G222" s="2"/>
      <c r="H222" s="2"/>
      <c r="I222" s="96"/>
      <c r="J222" s="2"/>
      <c r="K222" s="72"/>
      <c r="L222" s="75"/>
      <c r="M222" s="76"/>
      <c r="N222" s="75"/>
      <c r="O222" s="84"/>
      <c r="P222" s="2" t="str">
        <f t="shared" si="3"/>
        <v/>
      </c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3:26" ht="19.5" x14ac:dyDescent="0.5">
      <c r="C223" s="2"/>
      <c r="D223" s="2"/>
      <c r="E223" s="2"/>
      <c r="F223" s="2"/>
      <c r="G223" s="2"/>
      <c r="H223" s="2"/>
      <c r="I223" s="96"/>
      <c r="J223" s="2"/>
      <c r="K223" s="72"/>
      <c r="L223" s="75"/>
      <c r="M223" s="76"/>
      <c r="N223" s="75"/>
      <c r="O223" s="84"/>
      <c r="P223" s="2" t="str">
        <f t="shared" si="3"/>
        <v/>
      </c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3:26" ht="19.5" x14ac:dyDescent="0.5">
      <c r="C224" s="2"/>
      <c r="D224" s="2"/>
      <c r="E224" s="2"/>
      <c r="F224" s="2"/>
      <c r="G224" s="2"/>
      <c r="H224" s="2"/>
      <c r="I224" s="96"/>
      <c r="J224" s="2"/>
      <c r="K224" s="72"/>
      <c r="L224" s="75"/>
      <c r="M224" s="76"/>
      <c r="N224" s="75"/>
      <c r="O224" s="84"/>
      <c r="P224" s="2" t="str">
        <f t="shared" si="3"/>
        <v/>
      </c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3:26" ht="19.5" x14ac:dyDescent="0.5">
      <c r="C225" s="2"/>
      <c r="D225" s="2"/>
      <c r="E225" s="2"/>
      <c r="F225" s="2"/>
      <c r="G225" s="2"/>
      <c r="H225" s="2"/>
      <c r="I225" s="96"/>
      <c r="J225" s="2"/>
      <c r="K225" s="72"/>
      <c r="L225" s="75"/>
      <c r="M225" s="76"/>
      <c r="N225" s="75"/>
      <c r="O225" s="84"/>
      <c r="P225" s="2" t="str">
        <f t="shared" si="3"/>
        <v/>
      </c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3:26" ht="19.5" x14ac:dyDescent="0.5">
      <c r="C226" s="2"/>
      <c r="D226" s="2"/>
      <c r="E226" s="2"/>
      <c r="F226" s="2"/>
      <c r="G226" s="2"/>
      <c r="H226" s="2"/>
      <c r="I226" s="96"/>
      <c r="J226" s="2"/>
      <c r="K226" s="72"/>
      <c r="L226" s="75"/>
      <c r="M226" s="76"/>
      <c r="N226" s="75"/>
      <c r="O226" s="84"/>
      <c r="P226" s="2" t="str">
        <f t="shared" si="3"/>
        <v/>
      </c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3:26" ht="19.5" x14ac:dyDescent="0.5">
      <c r="C227" s="2"/>
      <c r="D227" s="2"/>
      <c r="E227" s="2"/>
      <c r="F227" s="2"/>
      <c r="G227" s="2"/>
      <c r="H227" s="2"/>
      <c r="I227" s="96"/>
      <c r="J227" s="2"/>
      <c r="K227" s="72"/>
      <c r="L227" s="75"/>
      <c r="M227" s="76"/>
      <c r="N227" s="75"/>
      <c r="O227" s="84"/>
      <c r="P227" s="2" t="str">
        <f t="shared" si="3"/>
        <v/>
      </c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3:26" ht="19.5" x14ac:dyDescent="0.5">
      <c r="C228" s="2"/>
      <c r="D228" s="2"/>
      <c r="E228" s="2"/>
      <c r="F228" s="2"/>
      <c r="G228" s="2"/>
      <c r="H228" s="2"/>
      <c r="I228" s="96"/>
      <c r="J228" s="2"/>
      <c r="K228" s="72"/>
      <c r="L228" s="75"/>
      <c r="M228" s="76"/>
      <c r="N228" s="75"/>
      <c r="O228" s="84"/>
      <c r="P228" s="2" t="str">
        <f t="shared" si="3"/>
        <v/>
      </c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3:26" ht="19.5" x14ac:dyDescent="0.5">
      <c r="C229" s="2"/>
      <c r="D229" s="2"/>
      <c r="E229" s="2"/>
      <c r="F229" s="2"/>
      <c r="G229" s="2"/>
      <c r="H229" s="2"/>
      <c r="I229" s="96"/>
      <c r="J229" s="2"/>
      <c r="K229" s="72"/>
      <c r="L229" s="75"/>
      <c r="M229" s="76"/>
      <c r="N229" s="75"/>
      <c r="O229" s="84"/>
      <c r="P229" s="2" t="str">
        <f t="shared" si="3"/>
        <v/>
      </c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3:26" ht="19.5" x14ac:dyDescent="0.5">
      <c r="C230" s="2"/>
      <c r="D230" s="2"/>
      <c r="E230" s="2"/>
      <c r="F230" s="2"/>
      <c r="G230" s="2"/>
      <c r="H230" s="2"/>
      <c r="I230" s="96"/>
      <c r="J230" s="2"/>
      <c r="K230" s="72"/>
      <c r="L230" s="75"/>
      <c r="M230" s="76"/>
      <c r="N230" s="75"/>
      <c r="O230" s="84"/>
      <c r="P230" s="2" t="str">
        <f t="shared" si="3"/>
        <v/>
      </c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3:26" ht="19.5" x14ac:dyDescent="0.5">
      <c r="C231" s="2"/>
      <c r="D231" s="2"/>
      <c r="E231" s="2"/>
      <c r="F231" s="2"/>
      <c r="G231" s="2"/>
      <c r="H231" s="2"/>
      <c r="I231" s="96"/>
      <c r="J231" s="2"/>
      <c r="K231" s="72"/>
      <c r="L231" s="75"/>
      <c r="M231" s="76"/>
      <c r="N231" s="75"/>
      <c r="O231" s="84"/>
      <c r="P231" s="2" t="str">
        <f t="shared" si="3"/>
        <v/>
      </c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3:26" ht="19.5" x14ac:dyDescent="0.5">
      <c r="C232" s="2"/>
      <c r="D232" s="2"/>
      <c r="E232" s="2"/>
      <c r="F232" s="2"/>
      <c r="G232" s="2"/>
      <c r="H232" s="2"/>
      <c r="I232" s="96"/>
      <c r="J232" s="2"/>
      <c r="K232" s="72"/>
      <c r="L232" s="75"/>
      <c r="M232" s="76"/>
      <c r="N232" s="75"/>
      <c r="O232" s="84"/>
      <c r="P232" s="2" t="str">
        <f t="shared" si="3"/>
        <v/>
      </c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3:26" ht="19.5" x14ac:dyDescent="0.5">
      <c r="C233" s="2"/>
      <c r="D233" s="2"/>
      <c r="E233" s="2"/>
      <c r="F233" s="2"/>
      <c r="G233" s="2"/>
      <c r="H233" s="2"/>
      <c r="I233" s="96"/>
      <c r="J233" s="2"/>
      <c r="K233" s="72"/>
      <c r="L233" s="75"/>
      <c r="M233" s="76"/>
      <c r="N233" s="75"/>
      <c r="O233" s="84"/>
      <c r="P233" s="2" t="str">
        <f t="shared" si="3"/>
        <v/>
      </c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3:26" ht="19.5" x14ac:dyDescent="0.5">
      <c r="C234" s="2"/>
      <c r="D234" s="2"/>
      <c r="E234" s="2"/>
      <c r="F234" s="2"/>
      <c r="G234" s="2"/>
      <c r="H234" s="2"/>
      <c r="I234" s="96"/>
      <c r="J234" s="2"/>
      <c r="K234" s="72"/>
      <c r="L234" s="75"/>
      <c r="M234" s="76"/>
      <c r="N234" s="75"/>
      <c r="O234" s="84"/>
      <c r="P234" s="2" t="str">
        <f t="shared" si="3"/>
        <v/>
      </c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3:26" ht="19.5" x14ac:dyDescent="0.5">
      <c r="C235" s="2"/>
      <c r="D235" s="2"/>
      <c r="E235" s="2"/>
      <c r="F235" s="2"/>
      <c r="G235" s="2"/>
      <c r="H235" s="2"/>
      <c r="I235" s="96"/>
      <c r="J235" s="2"/>
      <c r="K235" s="72"/>
      <c r="L235" s="75"/>
      <c r="M235" s="76"/>
      <c r="N235" s="75"/>
      <c r="O235" s="84"/>
      <c r="P235" s="2" t="str">
        <f t="shared" si="3"/>
        <v/>
      </c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3:26" ht="19.5" x14ac:dyDescent="0.5">
      <c r="C236" s="2"/>
      <c r="D236" s="2"/>
      <c r="E236" s="2"/>
      <c r="F236" s="2"/>
      <c r="G236" s="2"/>
      <c r="H236" s="2"/>
      <c r="I236" s="96"/>
      <c r="J236" s="2"/>
      <c r="K236" s="72"/>
      <c r="L236" s="75"/>
      <c r="M236" s="76"/>
      <c r="N236" s="75"/>
      <c r="O236" s="84"/>
      <c r="P236" s="2" t="str">
        <f t="shared" si="3"/>
        <v/>
      </c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3:26" ht="19.5" x14ac:dyDescent="0.5">
      <c r="C237" s="2"/>
      <c r="D237" s="2"/>
      <c r="E237" s="2"/>
      <c r="F237" s="2"/>
      <c r="G237" s="2"/>
      <c r="H237" s="2"/>
      <c r="I237" s="96"/>
      <c r="J237" s="2"/>
      <c r="K237" s="72"/>
      <c r="L237" s="75"/>
      <c r="M237" s="76"/>
      <c r="N237" s="75"/>
      <c r="O237" s="84"/>
      <c r="P237" s="2" t="str">
        <f t="shared" si="3"/>
        <v/>
      </c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3:26" ht="19.5" x14ac:dyDescent="0.5">
      <c r="C238" s="2"/>
      <c r="D238" s="2"/>
      <c r="E238" s="2"/>
      <c r="F238" s="2"/>
      <c r="G238" s="2"/>
      <c r="H238" s="2"/>
      <c r="I238" s="96"/>
      <c r="J238" s="2"/>
      <c r="K238" s="72"/>
      <c r="L238" s="75"/>
      <c r="M238" s="76"/>
      <c r="N238" s="75"/>
      <c r="O238" s="84"/>
      <c r="P238" s="2" t="str">
        <f t="shared" si="3"/>
        <v/>
      </c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3:26" ht="19.5" x14ac:dyDescent="0.5">
      <c r="C239" s="2"/>
      <c r="D239" s="2"/>
      <c r="E239" s="2"/>
      <c r="F239" s="2"/>
      <c r="G239" s="2"/>
      <c r="H239" s="2"/>
      <c r="I239" s="96"/>
      <c r="J239" s="2"/>
      <c r="K239" s="72"/>
      <c r="L239" s="75"/>
      <c r="M239" s="76"/>
      <c r="N239" s="75"/>
      <c r="O239" s="84"/>
      <c r="P239" s="2" t="str">
        <f t="shared" si="3"/>
        <v/>
      </c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3:26" ht="19.5" x14ac:dyDescent="0.5">
      <c r="C240" s="2"/>
      <c r="D240" s="2"/>
      <c r="E240" s="2"/>
      <c r="F240" s="2"/>
      <c r="G240" s="2"/>
      <c r="H240" s="2"/>
      <c r="I240" s="96"/>
      <c r="J240" s="2"/>
      <c r="K240" s="72"/>
      <c r="L240" s="75"/>
      <c r="M240" s="76"/>
      <c r="N240" s="75"/>
      <c r="O240" s="84"/>
      <c r="P240" s="2" t="str">
        <f t="shared" si="3"/>
        <v/>
      </c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3:26" ht="19.5" x14ac:dyDescent="0.5">
      <c r="C241" s="2"/>
      <c r="D241" s="2"/>
      <c r="E241" s="2"/>
      <c r="F241" s="2"/>
      <c r="G241" s="2"/>
      <c r="H241" s="2"/>
      <c r="I241" s="96"/>
      <c r="J241" s="2"/>
      <c r="K241" s="72"/>
      <c r="L241" s="75"/>
      <c r="M241" s="76"/>
      <c r="N241" s="75"/>
      <c r="O241" s="84"/>
      <c r="P241" s="2" t="str">
        <f t="shared" si="3"/>
        <v/>
      </c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3:26" ht="19.5" x14ac:dyDescent="0.5">
      <c r="C242" s="2"/>
      <c r="D242" s="2"/>
      <c r="E242" s="2"/>
      <c r="F242" s="2"/>
      <c r="G242" s="2"/>
      <c r="H242" s="2"/>
      <c r="I242" s="96"/>
      <c r="J242" s="2"/>
      <c r="K242" s="72"/>
      <c r="L242" s="75"/>
      <c r="M242" s="76"/>
      <c r="N242" s="75"/>
      <c r="O242" s="84"/>
      <c r="P242" s="2" t="str">
        <f t="shared" si="3"/>
        <v/>
      </c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3:26" ht="19.5" x14ac:dyDescent="0.5">
      <c r="C243" s="2"/>
      <c r="D243" s="2"/>
      <c r="E243" s="2"/>
      <c r="F243" s="2"/>
      <c r="G243" s="2"/>
      <c r="H243" s="2"/>
      <c r="I243" s="96"/>
      <c r="J243" s="2"/>
      <c r="K243" s="72"/>
      <c r="L243" s="75"/>
      <c r="M243" s="76"/>
      <c r="N243" s="75"/>
      <c r="O243" s="84"/>
      <c r="P243" s="2" t="str">
        <f t="shared" si="3"/>
        <v/>
      </c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3:26" ht="19.5" x14ac:dyDescent="0.5">
      <c r="C244" s="2"/>
      <c r="D244" s="2"/>
      <c r="E244" s="2"/>
      <c r="F244" s="2"/>
      <c r="G244" s="2"/>
      <c r="H244" s="2"/>
      <c r="I244" s="96"/>
      <c r="J244" s="2"/>
      <c r="K244" s="72"/>
      <c r="L244" s="75"/>
      <c r="M244" s="76"/>
      <c r="N244" s="75"/>
      <c r="O244" s="84"/>
      <c r="P244" s="2" t="str">
        <f t="shared" si="3"/>
        <v/>
      </c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3:26" ht="19.5" x14ac:dyDescent="0.5">
      <c r="C245" s="2"/>
      <c r="D245" s="2"/>
      <c r="E245" s="2"/>
      <c r="F245" s="2"/>
      <c r="G245" s="2"/>
      <c r="H245" s="2"/>
      <c r="I245" s="96"/>
      <c r="J245" s="2"/>
      <c r="K245" s="72"/>
      <c r="L245" s="75"/>
      <c r="M245" s="76"/>
      <c r="N245" s="75"/>
      <c r="O245" s="84"/>
      <c r="P245" s="2" t="str">
        <f t="shared" si="3"/>
        <v/>
      </c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3:26" ht="19.5" x14ac:dyDescent="0.5">
      <c r="C246" s="2"/>
      <c r="D246" s="2"/>
      <c r="E246" s="2"/>
      <c r="F246" s="2"/>
      <c r="G246" s="2"/>
      <c r="H246" s="2"/>
      <c r="I246" s="96"/>
      <c r="J246" s="2"/>
      <c r="K246" s="72"/>
      <c r="L246" s="75"/>
      <c r="M246" s="76"/>
      <c r="N246" s="75"/>
      <c r="O246" s="84"/>
      <c r="P246" s="2" t="str">
        <f t="shared" si="3"/>
        <v/>
      </c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3:26" ht="19.5" x14ac:dyDescent="0.5">
      <c r="C247" s="2"/>
      <c r="D247" s="2"/>
      <c r="E247" s="2"/>
      <c r="F247" s="2"/>
      <c r="G247" s="2"/>
      <c r="H247" s="2"/>
      <c r="I247" s="96"/>
      <c r="J247" s="2"/>
      <c r="K247" s="72"/>
      <c r="L247" s="75"/>
      <c r="M247" s="76"/>
      <c r="N247" s="75"/>
      <c r="O247" s="84"/>
      <c r="P247" s="2" t="str">
        <f t="shared" si="3"/>
        <v/>
      </c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3:26" ht="19.5" x14ac:dyDescent="0.5">
      <c r="C248" s="2"/>
      <c r="D248" s="2"/>
      <c r="E248" s="2"/>
      <c r="F248" s="2"/>
      <c r="G248" s="2"/>
      <c r="H248" s="2"/>
      <c r="I248" s="96"/>
      <c r="J248" s="2"/>
      <c r="K248" s="72"/>
      <c r="L248" s="75"/>
      <c r="M248" s="76"/>
      <c r="N248" s="75"/>
      <c r="O248" s="84"/>
      <c r="P248" s="2" t="str">
        <f t="shared" si="3"/>
        <v/>
      </c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3:26" ht="19.5" x14ac:dyDescent="0.5">
      <c r="C249" s="2"/>
      <c r="D249" s="2"/>
      <c r="E249" s="2"/>
      <c r="F249" s="2"/>
      <c r="G249" s="2"/>
      <c r="H249" s="2"/>
      <c r="I249" s="96"/>
      <c r="J249" s="2"/>
      <c r="K249" s="72"/>
      <c r="L249" s="75"/>
      <c r="M249" s="76"/>
      <c r="N249" s="75"/>
      <c r="O249" s="84"/>
      <c r="P249" s="2" t="str">
        <f t="shared" si="3"/>
        <v/>
      </c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3:26" ht="19.5" x14ac:dyDescent="0.5">
      <c r="C250" s="2"/>
      <c r="D250" s="2"/>
      <c r="E250" s="2"/>
      <c r="F250" s="2"/>
      <c r="G250" s="2"/>
      <c r="H250" s="2"/>
      <c r="I250" s="96"/>
      <c r="J250" s="2"/>
      <c r="K250" s="72"/>
      <c r="L250" s="75"/>
      <c r="M250" s="76"/>
      <c r="N250" s="75"/>
      <c r="O250" s="84"/>
      <c r="P250" s="2" t="str">
        <f t="shared" si="3"/>
        <v/>
      </c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3:26" ht="19.5" x14ac:dyDescent="0.5">
      <c r="C251" s="2"/>
      <c r="D251" s="2"/>
      <c r="E251" s="2"/>
      <c r="F251" s="2"/>
      <c r="G251" s="2"/>
      <c r="H251" s="2"/>
      <c r="I251" s="96"/>
      <c r="J251" s="2"/>
      <c r="K251" s="72"/>
      <c r="L251" s="75"/>
      <c r="M251" s="76"/>
      <c r="N251" s="75"/>
      <c r="O251" s="84"/>
      <c r="P251" s="2" t="str">
        <f t="shared" si="3"/>
        <v/>
      </c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3:26" ht="19.5" x14ac:dyDescent="0.5">
      <c r="C252" s="2"/>
      <c r="D252" s="2"/>
      <c r="E252" s="2"/>
      <c r="F252" s="2"/>
      <c r="G252" s="2"/>
      <c r="H252" s="2"/>
      <c r="I252" s="96"/>
      <c r="J252" s="2"/>
      <c r="K252" s="72"/>
      <c r="L252" s="75"/>
      <c r="M252" s="76"/>
      <c r="N252" s="75"/>
      <c r="O252" s="84"/>
      <c r="P252" s="2" t="str">
        <f t="shared" si="3"/>
        <v/>
      </c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3:26" ht="19.5" x14ac:dyDescent="0.5">
      <c r="C253" s="2"/>
      <c r="D253" s="2"/>
      <c r="E253" s="2"/>
      <c r="F253" s="2"/>
      <c r="G253" s="2"/>
      <c r="H253" s="2"/>
      <c r="I253" s="96"/>
      <c r="J253" s="2"/>
      <c r="K253" s="72"/>
      <c r="L253" s="75"/>
      <c r="M253" s="76"/>
      <c r="N253" s="75"/>
      <c r="O253" s="84"/>
      <c r="P253" s="2" t="str">
        <f t="shared" si="3"/>
        <v/>
      </c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3:26" ht="19.5" x14ac:dyDescent="0.5">
      <c r="C254" s="2"/>
      <c r="D254" s="2"/>
      <c r="E254" s="2"/>
      <c r="F254" s="2"/>
      <c r="G254" s="2"/>
      <c r="H254" s="2"/>
      <c r="I254" s="96"/>
      <c r="J254" s="2"/>
      <c r="K254" s="72"/>
      <c r="L254" s="75"/>
      <c r="M254" s="76"/>
      <c r="N254" s="75"/>
      <c r="O254" s="84"/>
      <c r="P254" s="2" t="str">
        <f t="shared" si="3"/>
        <v/>
      </c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3:26" ht="19.5" x14ac:dyDescent="0.5">
      <c r="C255" s="2"/>
      <c r="D255" s="2"/>
      <c r="E255" s="2"/>
      <c r="F255" s="2"/>
      <c r="G255" s="2"/>
      <c r="H255" s="2"/>
      <c r="I255" s="96"/>
      <c r="J255" s="2"/>
      <c r="K255" s="72"/>
      <c r="L255" s="75"/>
      <c r="M255" s="76"/>
      <c r="N255" s="75"/>
      <c r="O255" s="84"/>
      <c r="P255" s="2" t="str">
        <f t="shared" si="3"/>
        <v/>
      </c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3:26" ht="19.5" x14ac:dyDescent="0.5">
      <c r="C256" s="2"/>
      <c r="D256" s="2"/>
      <c r="E256" s="2"/>
      <c r="F256" s="2"/>
      <c r="G256" s="2"/>
      <c r="H256" s="2"/>
      <c r="I256" s="96"/>
      <c r="J256" s="2"/>
      <c r="K256" s="72"/>
      <c r="L256" s="75"/>
      <c r="M256" s="76"/>
      <c r="N256" s="75"/>
      <c r="O256" s="84"/>
      <c r="P256" s="2" t="str">
        <f t="shared" si="3"/>
        <v/>
      </c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3:26" ht="19.5" x14ac:dyDescent="0.5">
      <c r="C257" s="2"/>
      <c r="D257" s="2"/>
      <c r="E257" s="2"/>
      <c r="F257" s="2"/>
      <c r="G257" s="2"/>
      <c r="H257" s="2"/>
      <c r="I257" s="96"/>
      <c r="J257" s="2"/>
      <c r="K257" s="72"/>
      <c r="L257" s="75"/>
      <c r="M257" s="76"/>
      <c r="N257" s="75"/>
      <c r="O257" s="84"/>
      <c r="P257" s="2" t="str">
        <f t="shared" si="3"/>
        <v/>
      </c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3:26" ht="19.5" x14ac:dyDescent="0.5">
      <c r="C258" s="2"/>
      <c r="D258" s="2"/>
      <c r="E258" s="2"/>
      <c r="F258" s="2"/>
      <c r="G258" s="2"/>
      <c r="H258" s="2"/>
      <c r="I258" s="96"/>
      <c r="J258" s="2"/>
      <c r="K258" s="72"/>
      <c r="L258" s="75"/>
      <c r="M258" s="76"/>
      <c r="N258" s="75"/>
      <c r="O258" s="84"/>
      <c r="P258" s="2" t="str">
        <f t="shared" si="3"/>
        <v/>
      </c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3:26" ht="19.5" x14ac:dyDescent="0.5">
      <c r="C259" s="2"/>
      <c r="D259" s="2"/>
      <c r="E259" s="2"/>
      <c r="F259" s="2"/>
      <c r="G259" s="2"/>
      <c r="H259" s="2"/>
      <c r="I259" s="96"/>
      <c r="J259" s="2"/>
      <c r="K259" s="72"/>
      <c r="L259" s="75"/>
      <c r="M259" s="76"/>
      <c r="N259" s="75"/>
      <c r="O259" s="84"/>
      <c r="P259" s="2" t="str">
        <f t="shared" si="3"/>
        <v/>
      </c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3:26" ht="19.5" x14ac:dyDescent="0.5">
      <c r="C260" s="2"/>
      <c r="D260" s="2"/>
      <c r="E260" s="2"/>
      <c r="F260" s="2"/>
      <c r="G260" s="2"/>
      <c r="H260" s="2"/>
      <c r="I260" s="96"/>
      <c r="J260" s="2"/>
      <c r="K260" s="72"/>
      <c r="L260" s="75"/>
      <c r="M260" s="76"/>
      <c r="N260" s="75"/>
      <c r="O260" s="84"/>
      <c r="P260" s="2" t="str">
        <f t="shared" si="3"/>
        <v/>
      </c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3:26" ht="19.5" x14ac:dyDescent="0.5">
      <c r="C261" s="2"/>
      <c r="D261" s="2"/>
      <c r="E261" s="2"/>
      <c r="F261" s="2"/>
      <c r="G261" s="2"/>
      <c r="H261" s="2"/>
      <c r="I261" s="96"/>
      <c r="J261" s="2"/>
      <c r="K261" s="72"/>
      <c r="L261" s="75"/>
      <c r="M261" s="76"/>
      <c r="N261" s="75"/>
      <c r="O261" s="84"/>
      <c r="P261" s="2" t="str">
        <f t="shared" si="3"/>
        <v/>
      </c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3:26" ht="19.5" x14ac:dyDescent="0.5">
      <c r="C262" s="2"/>
      <c r="D262" s="2"/>
      <c r="E262" s="2"/>
      <c r="F262" s="2"/>
      <c r="G262" s="2"/>
      <c r="H262" s="2"/>
      <c r="I262" s="96"/>
      <c r="J262" s="2"/>
      <c r="K262" s="72"/>
      <c r="L262" s="75"/>
      <c r="M262" s="76"/>
      <c r="N262" s="75"/>
      <c r="O262" s="84"/>
      <c r="P262" s="2" t="str">
        <f t="shared" si="3"/>
        <v/>
      </c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3:26" ht="19.5" x14ac:dyDescent="0.5">
      <c r="C263" s="2"/>
      <c r="D263" s="2"/>
      <c r="E263" s="2"/>
      <c r="F263" s="2"/>
      <c r="G263" s="2"/>
      <c r="H263" s="2"/>
      <c r="I263" s="96"/>
      <c r="J263" s="2"/>
      <c r="K263" s="72"/>
      <c r="L263" s="75"/>
      <c r="M263" s="76"/>
      <c r="N263" s="75"/>
      <c r="O263" s="84"/>
      <c r="P263" s="2" t="str">
        <f t="shared" ref="P263:P326" si="4">IF(I263="","",SUMIFS(OrderItems_Qty,OrderItems_Type,"PURCHASE",OrderItems_SKU,I263)-SUMIFS(OrderItems_Qty,OrderItems_Type,"SALE",OrderItems_SKU,I263))</f>
        <v/>
      </c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3:26" ht="19.5" x14ac:dyDescent="0.5">
      <c r="C264" s="2"/>
      <c r="D264" s="2"/>
      <c r="E264" s="2"/>
      <c r="F264" s="2"/>
      <c r="G264" s="2"/>
      <c r="H264" s="2"/>
      <c r="I264" s="96"/>
      <c r="J264" s="2"/>
      <c r="K264" s="72"/>
      <c r="L264" s="75"/>
      <c r="M264" s="76"/>
      <c r="N264" s="75"/>
      <c r="O264" s="84"/>
      <c r="P264" s="2" t="str">
        <f t="shared" si="4"/>
        <v/>
      </c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3:26" ht="19.5" x14ac:dyDescent="0.5">
      <c r="C265" s="2"/>
      <c r="D265" s="2"/>
      <c r="E265" s="2"/>
      <c r="F265" s="2"/>
      <c r="G265" s="2"/>
      <c r="H265" s="2"/>
      <c r="I265" s="96"/>
      <c r="J265" s="2"/>
      <c r="K265" s="72"/>
      <c r="L265" s="75"/>
      <c r="M265" s="76"/>
      <c r="N265" s="75"/>
      <c r="O265" s="84"/>
      <c r="P265" s="2" t="str">
        <f t="shared" si="4"/>
        <v/>
      </c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3:26" ht="19.5" x14ac:dyDescent="0.5">
      <c r="C266" s="2"/>
      <c r="D266" s="2"/>
      <c r="E266" s="2"/>
      <c r="F266" s="2"/>
      <c r="G266" s="2"/>
      <c r="H266" s="2"/>
      <c r="I266" s="96"/>
      <c r="J266" s="2"/>
      <c r="K266" s="72"/>
      <c r="L266" s="75"/>
      <c r="M266" s="76"/>
      <c r="N266" s="75"/>
      <c r="O266" s="84"/>
      <c r="P266" s="2" t="str">
        <f t="shared" si="4"/>
        <v/>
      </c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3:26" ht="19.5" x14ac:dyDescent="0.5">
      <c r="C267" s="2"/>
      <c r="D267" s="2"/>
      <c r="E267" s="2"/>
      <c r="F267" s="2"/>
      <c r="G267" s="2"/>
      <c r="H267" s="2"/>
      <c r="I267" s="96"/>
      <c r="J267" s="2"/>
      <c r="K267" s="72"/>
      <c r="L267" s="75"/>
      <c r="M267" s="76"/>
      <c r="N267" s="75"/>
      <c r="O267" s="84"/>
      <c r="P267" s="2" t="str">
        <f t="shared" si="4"/>
        <v/>
      </c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3:26" ht="19.5" x14ac:dyDescent="0.5">
      <c r="C268" s="2"/>
      <c r="D268" s="2"/>
      <c r="E268" s="2"/>
      <c r="F268" s="2"/>
      <c r="G268" s="2"/>
      <c r="H268" s="2"/>
      <c r="I268" s="96"/>
      <c r="J268" s="2"/>
      <c r="K268" s="72"/>
      <c r="L268" s="75"/>
      <c r="M268" s="76"/>
      <c r="N268" s="75"/>
      <c r="O268" s="84"/>
      <c r="P268" s="2" t="str">
        <f t="shared" si="4"/>
        <v/>
      </c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3:26" ht="19.5" x14ac:dyDescent="0.5">
      <c r="C269" s="2"/>
      <c r="D269" s="2"/>
      <c r="E269" s="2"/>
      <c r="F269" s="2"/>
      <c r="G269" s="2"/>
      <c r="H269" s="2"/>
      <c r="I269" s="96"/>
      <c r="J269" s="2"/>
      <c r="K269" s="72"/>
      <c r="L269" s="75"/>
      <c r="M269" s="76"/>
      <c r="N269" s="75"/>
      <c r="O269" s="84"/>
      <c r="P269" s="2" t="str">
        <f t="shared" si="4"/>
        <v/>
      </c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3:26" ht="19.5" x14ac:dyDescent="0.5">
      <c r="C270" s="2"/>
      <c r="D270" s="2"/>
      <c r="E270" s="2"/>
      <c r="F270" s="2"/>
      <c r="G270" s="2"/>
      <c r="H270" s="2"/>
      <c r="I270" s="96"/>
      <c r="J270" s="2"/>
      <c r="K270" s="72"/>
      <c r="L270" s="75"/>
      <c r="M270" s="76"/>
      <c r="N270" s="75"/>
      <c r="O270" s="84"/>
      <c r="P270" s="2" t="str">
        <f t="shared" si="4"/>
        <v/>
      </c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3:26" ht="19.5" x14ac:dyDescent="0.5">
      <c r="C271" s="2"/>
      <c r="D271" s="2"/>
      <c r="E271" s="2"/>
      <c r="F271" s="2"/>
      <c r="G271" s="2"/>
      <c r="H271" s="2"/>
      <c r="I271" s="97"/>
      <c r="J271" s="2"/>
      <c r="K271" s="72"/>
      <c r="L271" s="75"/>
      <c r="M271" s="76"/>
      <c r="N271" s="75"/>
      <c r="O271" s="76"/>
      <c r="P271" s="2" t="str">
        <f t="shared" si="4"/>
        <v/>
      </c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3:26" ht="19.5" x14ac:dyDescent="0.5">
      <c r="C272" s="2"/>
      <c r="D272" s="2"/>
      <c r="E272" s="2"/>
      <c r="F272" s="2"/>
      <c r="G272" s="2"/>
      <c r="H272" s="2"/>
      <c r="I272" s="97"/>
      <c r="J272" s="2"/>
      <c r="K272" s="72"/>
      <c r="L272" s="75"/>
      <c r="M272" s="76"/>
      <c r="N272" s="75"/>
      <c r="O272" s="76"/>
      <c r="P272" s="2" t="str">
        <f t="shared" si="4"/>
        <v/>
      </c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3:26" ht="19.5" x14ac:dyDescent="0.5">
      <c r="C273" s="2"/>
      <c r="D273" s="2"/>
      <c r="E273" s="2"/>
      <c r="F273" s="2"/>
      <c r="G273" s="2"/>
      <c r="H273" s="2"/>
      <c r="I273" s="97"/>
      <c r="J273" s="2"/>
      <c r="K273" s="72"/>
      <c r="L273" s="75"/>
      <c r="M273" s="76"/>
      <c r="N273" s="75"/>
      <c r="O273" s="76"/>
      <c r="P273" s="2" t="str">
        <f t="shared" si="4"/>
        <v/>
      </c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3:26" ht="19.5" x14ac:dyDescent="0.5">
      <c r="C274" s="2"/>
      <c r="D274" s="2"/>
      <c r="E274" s="2"/>
      <c r="F274" s="2"/>
      <c r="G274" s="2"/>
      <c r="H274" s="2"/>
      <c r="I274" s="97"/>
      <c r="J274" s="2"/>
      <c r="K274" s="72"/>
      <c r="L274" s="75"/>
      <c r="M274" s="76"/>
      <c r="N274" s="75"/>
      <c r="O274" s="76"/>
      <c r="P274" s="2" t="str">
        <f t="shared" si="4"/>
        <v/>
      </c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3:26" ht="19.5" x14ac:dyDescent="0.5">
      <c r="C275" s="2"/>
      <c r="D275" s="2"/>
      <c r="E275" s="2"/>
      <c r="F275" s="2"/>
      <c r="G275" s="2"/>
      <c r="H275" s="2"/>
      <c r="I275" s="97"/>
      <c r="J275" s="2"/>
      <c r="K275" s="72"/>
      <c r="L275" s="75"/>
      <c r="M275" s="76"/>
      <c r="N275" s="75"/>
      <c r="O275" s="76"/>
      <c r="P275" s="2" t="str">
        <f t="shared" si="4"/>
        <v/>
      </c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3:26" ht="19.5" x14ac:dyDescent="0.5">
      <c r="C276" s="2"/>
      <c r="D276" s="2"/>
      <c r="E276" s="2"/>
      <c r="F276" s="2"/>
      <c r="G276" s="2"/>
      <c r="H276" s="2"/>
      <c r="I276" s="97"/>
      <c r="J276" s="2"/>
      <c r="K276" s="72"/>
      <c r="L276" s="75"/>
      <c r="M276" s="76"/>
      <c r="N276" s="75"/>
      <c r="O276" s="76"/>
      <c r="P276" s="2" t="str">
        <f t="shared" si="4"/>
        <v/>
      </c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3:26" ht="19.5" x14ac:dyDescent="0.5">
      <c r="C277" s="2"/>
      <c r="D277" s="2"/>
      <c r="E277" s="2"/>
      <c r="F277" s="2"/>
      <c r="G277" s="2"/>
      <c r="H277" s="2"/>
      <c r="I277" s="97"/>
      <c r="J277" s="2"/>
      <c r="K277" s="72"/>
      <c r="L277" s="75"/>
      <c r="M277" s="76"/>
      <c r="N277" s="75"/>
      <c r="O277" s="76"/>
      <c r="P277" s="2" t="str">
        <f t="shared" si="4"/>
        <v/>
      </c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3:26" ht="19.5" x14ac:dyDescent="0.5">
      <c r="C278" s="2"/>
      <c r="D278" s="2"/>
      <c r="E278" s="2"/>
      <c r="F278" s="2"/>
      <c r="G278" s="2"/>
      <c r="H278" s="2"/>
      <c r="I278" s="97"/>
      <c r="J278" s="2"/>
      <c r="K278" s="72"/>
      <c r="L278" s="75"/>
      <c r="M278" s="76"/>
      <c r="N278" s="75"/>
      <c r="O278" s="76"/>
      <c r="P278" s="2" t="str">
        <f t="shared" si="4"/>
        <v/>
      </c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3:26" ht="19.5" x14ac:dyDescent="0.5">
      <c r="C279" s="2"/>
      <c r="D279" s="2"/>
      <c r="E279" s="2"/>
      <c r="F279" s="2"/>
      <c r="G279" s="2"/>
      <c r="H279" s="2"/>
      <c r="I279" s="97"/>
      <c r="J279" s="2"/>
      <c r="K279" s="72"/>
      <c r="L279" s="75"/>
      <c r="M279" s="76"/>
      <c r="N279" s="75"/>
      <c r="O279" s="76"/>
      <c r="P279" s="2" t="str">
        <f t="shared" si="4"/>
        <v/>
      </c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3:26" ht="19.5" x14ac:dyDescent="0.5">
      <c r="C280" s="2"/>
      <c r="D280" s="2"/>
      <c r="E280" s="2"/>
      <c r="F280" s="2"/>
      <c r="G280" s="2"/>
      <c r="H280" s="2"/>
      <c r="I280" s="97"/>
      <c r="J280" s="2"/>
      <c r="K280" s="72"/>
      <c r="L280" s="75"/>
      <c r="M280" s="76"/>
      <c r="N280" s="75"/>
      <c r="O280" s="76"/>
      <c r="P280" s="2" t="str">
        <f t="shared" si="4"/>
        <v/>
      </c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3:26" ht="19.5" x14ac:dyDescent="0.5">
      <c r="C281" s="2"/>
      <c r="D281" s="2"/>
      <c r="E281" s="2"/>
      <c r="F281" s="2"/>
      <c r="G281" s="2"/>
      <c r="H281" s="2"/>
      <c r="I281" s="97"/>
      <c r="J281" s="2"/>
      <c r="K281" s="72"/>
      <c r="L281" s="75"/>
      <c r="M281" s="76"/>
      <c r="N281" s="75"/>
      <c r="O281" s="76"/>
      <c r="P281" s="2" t="str">
        <f t="shared" si="4"/>
        <v/>
      </c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3:26" ht="19.5" x14ac:dyDescent="0.5">
      <c r="C282" s="2"/>
      <c r="D282" s="2"/>
      <c r="E282" s="2"/>
      <c r="F282" s="2"/>
      <c r="G282" s="2"/>
      <c r="H282" s="2"/>
      <c r="I282" s="97"/>
      <c r="J282" s="2"/>
      <c r="K282" s="72"/>
      <c r="L282" s="75"/>
      <c r="M282" s="76"/>
      <c r="N282" s="75"/>
      <c r="O282" s="76"/>
      <c r="P282" s="2" t="str">
        <f t="shared" si="4"/>
        <v/>
      </c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3:26" ht="19.5" x14ac:dyDescent="0.5">
      <c r="C283" s="2"/>
      <c r="D283" s="2"/>
      <c r="E283" s="2"/>
      <c r="F283" s="2"/>
      <c r="G283" s="2"/>
      <c r="H283" s="2"/>
      <c r="I283" s="97"/>
      <c r="J283" s="2"/>
      <c r="K283" s="72"/>
      <c r="L283" s="75"/>
      <c r="M283" s="76"/>
      <c r="N283" s="75"/>
      <c r="O283" s="76"/>
      <c r="P283" s="2" t="str">
        <f t="shared" si="4"/>
        <v/>
      </c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3:26" ht="19.5" x14ac:dyDescent="0.5">
      <c r="C284" s="2"/>
      <c r="D284" s="2"/>
      <c r="E284" s="2"/>
      <c r="F284" s="2"/>
      <c r="G284" s="2"/>
      <c r="H284" s="2"/>
      <c r="I284" s="97"/>
      <c r="J284" s="2"/>
      <c r="K284" s="72"/>
      <c r="L284" s="75"/>
      <c r="M284" s="76"/>
      <c r="N284" s="75"/>
      <c r="O284" s="76"/>
      <c r="P284" s="2" t="str">
        <f t="shared" si="4"/>
        <v/>
      </c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3:26" ht="19.5" x14ac:dyDescent="0.5">
      <c r="C285" s="2"/>
      <c r="D285" s="2"/>
      <c r="E285" s="2"/>
      <c r="F285" s="2"/>
      <c r="G285" s="2"/>
      <c r="H285" s="2"/>
      <c r="I285" s="97"/>
      <c r="J285" s="2"/>
      <c r="K285" s="72"/>
      <c r="L285" s="75"/>
      <c r="M285" s="76"/>
      <c r="N285" s="75"/>
      <c r="O285" s="76"/>
      <c r="P285" s="2" t="str">
        <f t="shared" si="4"/>
        <v/>
      </c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3:26" ht="19.5" x14ac:dyDescent="0.5">
      <c r="C286" s="2"/>
      <c r="D286" s="2"/>
      <c r="E286" s="2"/>
      <c r="F286" s="2"/>
      <c r="G286" s="2"/>
      <c r="H286" s="2"/>
      <c r="I286" s="97"/>
      <c r="J286" s="2"/>
      <c r="K286" s="72"/>
      <c r="L286" s="75"/>
      <c r="M286" s="76"/>
      <c r="N286" s="75"/>
      <c r="O286" s="76"/>
      <c r="P286" s="2" t="str">
        <f t="shared" si="4"/>
        <v/>
      </c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3:26" ht="19.5" x14ac:dyDescent="0.5">
      <c r="C287" s="2"/>
      <c r="D287" s="2"/>
      <c r="E287" s="2"/>
      <c r="F287" s="2"/>
      <c r="G287" s="2"/>
      <c r="H287" s="2"/>
      <c r="I287" s="97"/>
      <c r="J287" s="2"/>
      <c r="K287" s="72"/>
      <c r="L287" s="75"/>
      <c r="M287" s="76"/>
      <c r="N287" s="75"/>
      <c r="O287" s="76"/>
      <c r="P287" s="2" t="str">
        <f t="shared" si="4"/>
        <v/>
      </c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3:26" ht="19.5" x14ac:dyDescent="0.5">
      <c r="C288" s="2"/>
      <c r="D288" s="2"/>
      <c r="E288" s="2"/>
      <c r="F288" s="2"/>
      <c r="G288" s="2"/>
      <c r="H288" s="2"/>
      <c r="I288" s="97"/>
      <c r="J288" s="2"/>
      <c r="K288" s="72"/>
      <c r="L288" s="75"/>
      <c r="M288" s="76"/>
      <c r="N288" s="75"/>
      <c r="O288" s="76"/>
      <c r="P288" s="2" t="str">
        <f t="shared" si="4"/>
        <v/>
      </c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3:26" ht="19.5" x14ac:dyDescent="0.5">
      <c r="C289" s="2"/>
      <c r="D289" s="2"/>
      <c r="E289" s="2"/>
      <c r="F289" s="2"/>
      <c r="G289" s="2"/>
      <c r="H289" s="2"/>
      <c r="I289" s="97"/>
      <c r="J289" s="2"/>
      <c r="K289" s="72"/>
      <c r="L289" s="75"/>
      <c r="M289" s="76"/>
      <c r="N289" s="75"/>
      <c r="O289" s="76"/>
      <c r="P289" s="2" t="str">
        <f t="shared" si="4"/>
        <v/>
      </c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3:26" ht="19.5" x14ac:dyDescent="0.5">
      <c r="C290" s="2"/>
      <c r="D290" s="2"/>
      <c r="E290" s="2"/>
      <c r="F290" s="2"/>
      <c r="G290" s="2"/>
      <c r="H290" s="2"/>
      <c r="I290" s="97"/>
      <c r="J290" s="2"/>
      <c r="K290" s="72"/>
      <c r="L290" s="75"/>
      <c r="M290" s="76"/>
      <c r="N290" s="75"/>
      <c r="O290" s="76"/>
      <c r="P290" s="2" t="str">
        <f t="shared" si="4"/>
        <v/>
      </c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3:26" ht="19.5" x14ac:dyDescent="0.5">
      <c r="C291" s="2"/>
      <c r="D291" s="2"/>
      <c r="E291" s="2"/>
      <c r="F291" s="2"/>
      <c r="G291" s="2"/>
      <c r="H291" s="2"/>
      <c r="I291" s="97"/>
      <c r="J291" s="2"/>
      <c r="K291" s="72"/>
      <c r="L291" s="75"/>
      <c r="M291" s="76"/>
      <c r="N291" s="75"/>
      <c r="O291" s="76"/>
      <c r="P291" s="2" t="str">
        <f t="shared" si="4"/>
        <v/>
      </c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3:26" ht="19.5" x14ac:dyDescent="0.5">
      <c r="C292" s="2"/>
      <c r="D292" s="2"/>
      <c r="E292" s="2"/>
      <c r="F292" s="2"/>
      <c r="G292" s="2"/>
      <c r="H292" s="2"/>
      <c r="I292" s="97"/>
      <c r="J292" s="2"/>
      <c r="K292" s="72"/>
      <c r="L292" s="75"/>
      <c r="M292" s="76"/>
      <c r="N292" s="75"/>
      <c r="O292" s="76"/>
      <c r="P292" s="2" t="str">
        <f t="shared" si="4"/>
        <v/>
      </c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3:26" ht="19.5" x14ac:dyDescent="0.5">
      <c r="C293" s="2"/>
      <c r="D293" s="2"/>
      <c r="E293" s="2"/>
      <c r="F293" s="2"/>
      <c r="G293" s="2"/>
      <c r="H293" s="2"/>
      <c r="I293" s="97"/>
      <c r="J293" s="2"/>
      <c r="K293" s="72"/>
      <c r="L293" s="75"/>
      <c r="M293" s="76"/>
      <c r="N293" s="75"/>
      <c r="O293" s="76"/>
      <c r="P293" s="2" t="str">
        <f t="shared" si="4"/>
        <v/>
      </c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3:26" ht="19.5" x14ac:dyDescent="0.5">
      <c r="C294" s="2"/>
      <c r="D294" s="2"/>
      <c r="E294" s="2"/>
      <c r="F294" s="2"/>
      <c r="G294" s="2"/>
      <c r="H294" s="2"/>
      <c r="I294" s="97"/>
      <c r="J294" s="2"/>
      <c r="K294" s="72"/>
      <c r="L294" s="75"/>
      <c r="M294" s="76"/>
      <c r="N294" s="75"/>
      <c r="O294" s="76"/>
      <c r="P294" s="2" t="str">
        <f t="shared" si="4"/>
        <v/>
      </c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3:26" ht="19.5" x14ac:dyDescent="0.5">
      <c r="C295" s="2"/>
      <c r="D295" s="2"/>
      <c r="E295" s="2"/>
      <c r="F295" s="2"/>
      <c r="G295" s="2"/>
      <c r="H295" s="2"/>
      <c r="I295" s="97"/>
      <c r="J295" s="2"/>
      <c r="K295" s="72"/>
      <c r="L295" s="75"/>
      <c r="M295" s="76"/>
      <c r="N295" s="75"/>
      <c r="O295" s="76"/>
      <c r="P295" s="2" t="str">
        <f t="shared" si="4"/>
        <v/>
      </c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3:26" ht="19.5" x14ac:dyDescent="0.5">
      <c r="C296" s="2"/>
      <c r="D296" s="2"/>
      <c r="E296" s="2"/>
      <c r="F296" s="2"/>
      <c r="G296" s="2"/>
      <c r="H296" s="2"/>
      <c r="I296" s="97"/>
      <c r="J296" s="2"/>
      <c r="K296" s="72"/>
      <c r="L296" s="75"/>
      <c r="M296" s="76"/>
      <c r="N296" s="75"/>
      <c r="O296" s="76"/>
      <c r="P296" s="2" t="str">
        <f t="shared" si="4"/>
        <v/>
      </c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3:26" ht="19.5" x14ac:dyDescent="0.5">
      <c r="C297" s="2"/>
      <c r="D297" s="2"/>
      <c r="E297" s="2"/>
      <c r="F297" s="2"/>
      <c r="G297" s="2"/>
      <c r="H297" s="2"/>
      <c r="I297" s="97"/>
      <c r="J297" s="2"/>
      <c r="K297" s="72"/>
      <c r="L297" s="75"/>
      <c r="M297" s="76"/>
      <c r="N297" s="75"/>
      <c r="O297" s="76"/>
      <c r="P297" s="2" t="str">
        <f t="shared" si="4"/>
        <v/>
      </c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3:26" ht="19.5" x14ac:dyDescent="0.5">
      <c r="C298" s="2"/>
      <c r="D298" s="2"/>
      <c r="E298" s="2"/>
      <c r="F298" s="2"/>
      <c r="G298" s="2"/>
      <c r="H298" s="2"/>
      <c r="I298" s="97"/>
      <c r="J298" s="2"/>
      <c r="K298" s="72"/>
      <c r="L298" s="75"/>
      <c r="M298" s="76"/>
      <c r="N298" s="75"/>
      <c r="O298" s="76"/>
      <c r="P298" s="2" t="str">
        <f t="shared" si="4"/>
        <v/>
      </c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3:26" ht="19.5" x14ac:dyDescent="0.5">
      <c r="C299" s="2"/>
      <c r="D299" s="2"/>
      <c r="E299" s="2"/>
      <c r="F299" s="2"/>
      <c r="G299" s="2"/>
      <c r="H299" s="2"/>
      <c r="I299" s="97"/>
      <c r="J299" s="2"/>
      <c r="K299" s="72"/>
      <c r="L299" s="75"/>
      <c r="M299" s="76"/>
      <c r="N299" s="75"/>
      <c r="O299" s="76"/>
      <c r="P299" s="2" t="str">
        <f t="shared" si="4"/>
        <v/>
      </c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3:26" ht="19.5" x14ac:dyDescent="0.5">
      <c r="C300" s="2"/>
      <c r="D300" s="2"/>
      <c r="E300" s="2"/>
      <c r="F300" s="2"/>
      <c r="G300" s="2"/>
      <c r="H300" s="2"/>
      <c r="I300" s="97"/>
      <c r="J300" s="2"/>
      <c r="K300" s="72"/>
      <c r="L300" s="75"/>
      <c r="M300" s="76"/>
      <c r="N300" s="75"/>
      <c r="O300" s="76"/>
      <c r="P300" s="2" t="str">
        <f t="shared" si="4"/>
        <v/>
      </c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3:26" ht="19.5" x14ac:dyDescent="0.5">
      <c r="C301" s="2"/>
      <c r="D301" s="2"/>
      <c r="E301" s="2"/>
      <c r="F301" s="2"/>
      <c r="G301" s="2"/>
      <c r="H301" s="2"/>
      <c r="I301" s="97"/>
      <c r="J301" s="2"/>
      <c r="K301" s="72"/>
      <c r="L301" s="75"/>
      <c r="M301" s="76"/>
      <c r="N301" s="75"/>
      <c r="O301" s="76"/>
      <c r="P301" s="2" t="str">
        <f t="shared" si="4"/>
        <v/>
      </c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3:26" ht="24" x14ac:dyDescent="0.6">
      <c r="C302" s="2"/>
      <c r="D302" s="2"/>
      <c r="E302" s="2"/>
      <c r="F302" s="2"/>
      <c r="G302" s="2"/>
      <c r="H302" s="2"/>
      <c r="I302" s="97"/>
      <c r="J302" s="2"/>
      <c r="K302" s="89"/>
      <c r="L302" s="78"/>
      <c r="M302" s="77"/>
      <c r="N302" s="78"/>
      <c r="O302" s="2"/>
      <c r="P302" s="2" t="str">
        <f t="shared" si="4"/>
        <v/>
      </c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3:26" ht="18" x14ac:dyDescent="0.45">
      <c r="C303" s="2"/>
      <c r="D303" s="2"/>
      <c r="E303" s="2"/>
      <c r="F303" s="2"/>
      <c r="G303" s="2"/>
      <c r="H303" s="2"/>
      <c r="I303" s="97"/>
      <c r="J303" s="2"/>
      <c r="K303" s="90"/>
      <c r="L303" s="69"/>
      <c r="M303" s="2"/>
      <c r="N303" s="69"/>
      <c r="O303" s="2"/>
      <c r="P303" s="2" t="str">
        <f t="shared" si="4"/>
        <v/>
      </c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3:26" ht="18" x14ac:dyDescent="0.45">
      <c r="C304" s="2"/>
      <c r="D304" s="2"/>
      <c r="E304" s="2"/>
      <c r="F304" s="2"/>
      <c r="G304" s="2"/>
      <c r="H304" s="2"/>
      <c r="I304" s="98"/>
      <c r="J304" s="2"/>
      <c r="K304" s="90"/>
      <c r="L304" s="69"/>
      <c r="M304" s="2"/>
      <c r="N304" s="69"/>
      <c r="O304" s="2"/>
      <c r="P304" s="2" t="str">
        <f t="shared" si="4"/>
        <v/>
      </c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3:26" ht="18" x14ac:dyDescent="0.45">
      <c r="C305" s="2"/>
      <c r="D305" s="2"/>
      <c r="E305" s="2"/>
      <c r="F305" s="2"/>
      <c r="G305" s="2"/>
      <c r="H305" s="2"/>
      <c r="I305" s="98"/>
      <c r="J305" s="2"/>
      <c r="K305" s="90"/>
      <c r="L305" s="69"/>
      <c r="M305" s="2"/>
      <c r="N305" s="69"/>
      <c r="O305" s="2"/>
      <c r="P305" s="2" t="str">
        <f t="shared" si="4"/>
        <v/>
      </c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3:26" ht="18" x14ac:dyDescent="0.45">
      <c r="C306" s="2"/>
      <c r="D306" s="2"/>
      <c r="E306" s="2"/>
      <c r="F306" s="2"/>
      <c r="G306" s="2"/>
      <c r="H306" s="2"/>
      <c r="I306" s="98"/>
      <c r="J306" s="2"/>
      <c r="K306" s="90"/>
      <c r="L306" s="69"/>
      <c r="M306" s="2"/>
      <c r="N306" s="69"/>
      <c r="O306" s="2"/>
      <c r="P306" s="2" t="str">
        <f t="shared" si="4"/>
        <v/>
      </c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3:26" ht="18" x14ac:dyDescent="0.45">
      <c r="C307" s="2"/>
      <c r="D307" s="2"/>
      <c r="E307" s="2"/>
      <c r="F307" s="2"/>
      <c r="G307" s="2"/>
      <c r="H307" s="2"/>
      <c r="I307" s="98"/>
      <c r="J307" s="2"/>
      <c r="K307" s="90"/>
      <c r="L307" s="69"/>
      <c r="M307" s="2"/>
      <c r="N307" s="69"/>
      <c r="O307" s="2"/>
      <c r="P307" s="2" t="str">
        <f t="shared" si="4"/>
        <v/>
      </c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3:26" ht="18" x14ac:dyDescent="0.45">
      <c r="C308" s="2"/>
      <c r="D308" s="2"/>
      <c r="E308" s="2"/>
      <c r="F308" s="2"/>
      <c r="G308" s="2"/>
      <c r="H308" s="2"/>
      <c r="I308" s="98"/>
      <c r="J308" s="2"/>
      <c r="K308" s="90"/>
      <c r="L308" s="69"/>
      <c r="M308" s="2"/>
      <c r="N308" s="69"/>
      <c r="O308" s="2"/>
      <c r="P308" s="2" t="str">
        <f t="shared" si="4"/>
        <v/>
      </c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3:26" ht="18" x14ac:dyDescent="0.45">
      <c r="C309" s="2"/>
      <c r="D309" s="2"/>
      <c r="E309" s="2"/>
      <c r="F309" s="2"/>
      <c r="G309" s="2"/>
      <c r="H309" s="2"/>
      <c r="I309" s="98"/>
      <c r="J309" s="2"/>
      <c r="K309" s="90"/>
      <c r="L309" s="69"/>
      <c r="M309" s="2"/>
      <c r="N309" s="69"/>
      <c r="O309" s="2"/>
      <c r="P309" s="2" t="str">
        <f t="shared" si="4"/>
        <v/>
      </c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3:26" ht="18" x14ac:dyDescent="0.45">
      <c r="C310" s="2"/>
      <c r="D310" s="2"/>
      <c r="E310" s="2"/>
      <c r="F310" s="2"/>
      <c r="G310" s="2"/>
      <c r="H310" s="2"/>
      <c r="I310" s="98"/>
      <c r="J310" s="2"/>
      <c r="K310" s="90"/>
      <c r="L310" s="69"/>
      <c r="M310" s="2"/>
      <c r="N310" s="69"/>
      <c r="O310" s="2"/>
      <c r="P310" s="2" t="str">
        <f t="shared" si="4"/>
        <v/>
      </c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3:26" ht="18" x14ac:dyDescent="0.45">
      <c r="C311" s="2"/>
      <c r="D311" s="2"/>
      <c r="E311" s="2"/>
      <c r="F311" s="2"/>
      <c r="G311" s="2"/>
      <c r="H311" s="2"/>
      <c r="I311" s="98"/>
      <c r="J311" s="2"/>
      <c r="K311" s="90"/>
      <c r="L311" s="69"/>
      <c r="M311" s="2"/>
      <c r="N311" s="69"/>
      <c r="O311" s="2"/>
      <c r="P311" s="2" t="str">
        <f t="shared" si="4"/>
        <v/>
      </c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3:26" ht="18" x14ac:dyDescent="0.45">
      <c r="C312" s="2"/>
      <c r="D312" s="2"/>
      <c r="E312" s="2"/>
      <c r="F312" s="2"/>
      <c r="G312" s="2"/>
      <c r="H312" s="2"/>
      <c r="I312" s="98"/>
      <c r="J312" s="2"/>
      <c r="K312" s="90"/>
      <c r="L312" s="69"/>
      <c r="M312" s="2"/>
      <c r="N312" s="69"/>
      <c r="O312" s="2"/>
      <c r="P312" s="2" t="str">
        <f t="shared" si="4"/>
        <v/>
      </c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3:26" ht="18" x14ac:dyDescent="0.45">
      <c r="C313" s="2"/>
      <c r="D313" s="2"/>
      <c r="E313" s="2"/>
      <c r="F313" s="2"/>
      <c r="G313" s="2"/>
      <c r="H313" s="2"/>
      <c r="I313" s="98"/>
      <c r="J313" s="2"/>
      <c r="K313" s="90"/>
      <c r="L313" s="69"/>
      <c r="M313" s="2"/>
      <c r="N313" s="69"/>
      <c r="O313" s="2"/>
      <c r="P313" s="2" t="str">
        <f t="shared" si="4"/>
        <v/>
      </c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3:26" ht="18" x14ac:dyDescent="0.45">
      <c r="C314" s="2"/>
      <c r="D314" s="2"/>
      <c r="E314" s="2"/>
      <c r="F314" s="2"/>
      <c r="G314" s="2"/>
      <c r="H314" s="2"/>
      <c r="I314" s="98"/>
      <c r="J314" s="2"/>
      <c r="K314" s="90"/>
      <c r="L314" s="69"/>
      <c r="M314" s="2"/>
      <c r="N314" s="69"/>
      <c r="O314" s="2"/>
      <c r="P314" s="2" t="str">
        <f t="shared" si="4"/>
        <v/>
      </c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3:26" ht="18" x14ac:dyDescent="0.45">
      <c r="C315" s="2"/>
      <c r="D315" s="2"/>
      <c r="E315" s="2"/>
      <c r="F315" s="2"/>
      <c r="G315" s="2"/>
      <c r="H315" s="2"/>
      <c r="I315" s="98"/>
      <c r="J315" s="2"/>
      <c r="K315" s="90"/>
      <c r="L315" s="69"/>
      <c r="M315" s="2"/>
      <c r="N315" s="69"/>
      <c r="O315" s="2"/>
      <c r="P315" s="2" t="str">
        <f t="shared" si="4"/>
        <v/>
      </c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3:26" ht="18" x14ac:dyDescent="0.45">
      <c r="C316" s="2"/>
      <c r="D316" s="2"/>
      <c r="E316" s="2"/>
      <c r="F316" s="2"/>
      <c r="G316" s="2"/>
      <c r="H316" s="2"/>
      <c r="I316" s="98"/>
      <c r="J316" s="2"/>
      <c r="K316" s="90"/>
      <c r="L316" s="69"/>
      <c r="M316" s="2"/>
      <c r="N316" s="69"/>
      <c r="O316" s="2"/>
      <c r="P316" s="2" t="str">
        <f t="shared" si="4"/>
        <v/>
      </c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3:26" ht="18" x14ac:dyDescent="0.45">
      <c r="C317" s="2"/>
      <c r="D317" s="2"/>
      <c r="E317" s="2"/>
      <c r="F317" s="2"/>
      <c r="G317" s="2"/>
      <c r="H317" s="2"/>
      <c r="I317" s="98"/>
      <c r="J317" s="2"/>
      <c r="K317" s="90"/>
      <c r="L317" s="69"/>
      <c r="M317" s="2"/>
      <c r="N317" s="69"/>
      <c r="O317" s="2"/>
      <c r="P317" s="2" t="str">
        <f t="shared" si="4"/>
        <v/>
      </c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3:26" ht="18" x14ac:dyDescent="0.45">
      <c r="C318" s="2"/>
      <c r="D318" s="2"/>
      <c r="E318" s="2"/>
      <c r="F318" s="2"/>
      <c r="G318" s="2"/>
      <c r="H318" s="2"/>
      <c r="I318" s="98"/>
      <c r="J318" s="2"/>
      <c r="K318" s="90"/>
      <c r="L318" s="69"/>
      <c r="M318" s="2"/>
      <c r="N318" s="69"/>
      <c r="O318" s="2"/>
      <c r="P318" s="2" t="str">
        <f t="shared" si="4"/>
        <v/>
      </c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3:26" ht="18" x14ac:dyDescent="0.45">
      <c r="C319" s="2"/>
      <c r="D319" s="2"/>
      <c r="E319" s="2"/>
      <c r="F319" s="2"/>
      <c r="G319" s="2"/>
      <c r="H319" s="2"/>
      <c r="I319" s="98"/>
      <c r="J319" s="2"/>
      <c r="K319" s="90"/>
      <c r="L319" s="69"/>
      <c r="M319" s="2"/>
      <c r="N319" s="69"/>
      <c r="O319" s="2"/>
      <c r="P319" s="2" t="str">
        <f t="shared" si="4"/>
        <v/>
      </c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3:26" ht="18" x14ac:dyDescent="0.45">
      <c r="C320" s="2"/>
      <c r="D320" s="2"/>
      <c r="E320" s="2"/>
      <c r="F320" s="2"/>
      <c r="G320" s="2"/>
      <c r="H320" s="2"/>
      <c r="I320" s="98"/>
      <c r="J320" s="2"/>
      <c r="K320" s="90"/>
      <c r="L320" s="69"/>
      <c r="M320" s="2"/>
      <c r="N320" s="69"/>
      <c r="O320" s="2"/>
      <c r="P320" s="2" t="str">
        <f t="shared" si="4"/>
        <v/>
      </c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3:26" ht="18" x14ac:dyDescent="0.45">
      <c r="C321" s="2"/>
      <c r="D321" s="2"/>
      <c r="E321" s="2"/>
      <c r="F321" s="2"/>
      <c r="G321" s="2"/>
      <c r="H321" s="2"/>
      <c r="I321" s="98"/>
      <c r="J321" s="2"/>
      <c r="K321" s="90"/>
      <c r="L321" s="69"/>
      <c r="M321" s="2"/>
      <c r="N321" s="69"/>
      <c r="O321" s="2"/>
      <c r="P321" s="2" t="str">
        <f t="shared" si="4"/>
        <v/>
      </c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3:26" ht="18" x14ac:dyDescent="0.45">
      <c r="C322" s="2"/>
      <c r="D322" s="2"/>
      <c r="E322" s="2"/>
      <c r="F322" s="2"/>
      <c r="G322" s="2"/>
      <c r="H322" s="2"/>
      <c r="I322" s="98"/>
      <c r="J322" s="2"/>
      <c r="K322" s="90"/>
      <c r="L322" s="69"/>
      <c r="M322" s="2"/>
      <c r="N322" s="69"/>
      <c r="O322" s="2"/>
      <c r="P322" s="2" t="str">
        <f t="shared" si="4"/>
        <v/>
      </c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3:26" ht="18" x14ac:dyDescent="0.45">
      <c r="C323" s="2"/>
      <c r="D323" s="2"/>
      <c r="E323" s="2"/>
      <c r="F323" s="2"/>
      <c r="G323" s="2"/>
      <c r="H323" s="2"/>
      <c r="I323" s="98"/>
      <c r="J323" s="2"/>
      <c r="K323" s="90"/>
      <c r="L323" s="69"/>
      <c r="M323" s="2"/>
      <c r="N323" s="69"/>
      <c r="O323" s="2"/>
      <c r="P323" s="2" t="str">
        <f t="shared" si="4"/>
        <v/>
      </c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3:26" ht="18" x14ac:dyDescent="0.45">
      <c r="C324" s="2"/>
      <c r="D324" s="2"/>
      <c r="E324" s="2"/>
      <c r="F324" s="2"/>
      <c r="G324" s="2"/>
      <c r="H324" s="2"/>
      <c r="I324" s="98"/>
      <c r="J324" s="2"/>
      <c r="K324" s="90"/>
      <c r="L324" s="69"/>
      <c r="M324" s="2"/>
      <c r="N324" s="69"/>
      <c r="O324" s="2"/>
      <c r="P324" s="2" t="str">
        <f t="shared" si="4"/>
        <v/>
      </c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3:26" ht="18" x14ac:dyDescent="0.45">
      <c r="C325" s="2"/>
      <c r="D325" s="2"/>
      <c r="E325" s="2"/>
      <c r="F325" s="2"/>
      <c r="G325" s="2"/>
      <c r="H325" s="2"/>
      <c r="I325" s="98"/>
      <c r="J325" s="2"/>
      <c r="K325" s="90"/>
      <c r="L325" s="69"/>
      <c r="M325" s="2"/>
      <c r="N325" s="69"/>
      <c r="O325" s="2"/>
      <c r="P325" s="2" t="str">
        <f t="shared" si="4"/>
        <v/>
      </c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3:26" ht="18" x14ac:dyDescent="0.45">
      <c r="C326" s="2"/>
      <c r="D326" s="2"/>
      <c r="E326" s="2"/>
      <c r="F326" s="2"/>
      <c r="G326" s="2"/>
      <c r="H326" s="2"/>
      <c r="I326" s="98"/>
      <c r="J326" s="2"/>
      <c r="K326" s="90"/>
      <c r="L326" s="69"/>
      <c r="M326" s="2"/>
      <c r="N326" s="69"/>
      <c r="O326" s="2"/>
      <c r="P326" s="2" t="str">
        <f t="shared" si="4"/>
        <v/>
      </c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3:26" ht="18" x14ac:dyDescent="0.45">
      <c r="C327" s="2"/>
      <c r="D327" s="2"/>
      <c r="E327" s="2"/>
      <c r="F327" s="2"/>
      <c r="G327" s="2"/>
      <c r="H327" s="2"/>
      <c r="I327" s="98"/>
      <c r="J327" s="2"/>
      <c r="K327" s="90"/>
      <c r="L327" s="69"/>
      <c r="M327" s="2"/>
      <c r="N327" s="69"/>
      <c r="O327" s="2"/>
      <c r="P327" s="2" t="str">
        <f t="shared" ref="P327:P390" si="5">IF(I327="","",SUMIFS(OrderItems_Qty,OrderItems_Type,"PURCHASE",OrderItems_SKU,I327)-SUMIFS(OrderItems_Qty,OrderItems_Type,"SALE",OrderItems_SKU,I327))</f>
        <v/>
      </c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3:26" ht="18" x14ac:dyDescent="0.45">
      <c r="C328" s="2"/>
      <c r="D328" s="2"/>
      <c r="E328" s="2"/>
      <c r="F328" s="2"/>
      <c r="G328" s="2"/>
      <c r="H328" s="2"/>
      <c r="I328" s="98"/>
      <c r="J328" s="2"/>
      <c r="K328" s="90"/>
      <c r="L328" s="69"/>
      <c r="M328" s="2"/>
      <c r="N328" s="69"/>
      <c r="O328" s="2"/>
      <c r="P328" s="2" t="str">
        <f t="shared" si="5"/>
        <v/>
      </c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3:26" ht="18" x14ac:dyDescent="0.45">
      <c r="C329" s="2"/>
      <c r="D329" s="2"/>
      <c r="E329" s="2"/>
      <c r="F329" s="2"/>
      <c r="G329" s="2"/>
      <c r="H329" s="2"/>
      <c r="I329" s="98"/>
      <c r="J329" s="2"/>
      <c r="K329" s="90"/>
      <c r="L329" s="69"/>
      <c r="M329" s="2"/>
      <c r="N329" s="69"/>
      <c r="O329" s="2"/>
      <c r="P329" s="2" t="str">
        <f t="shared" si="5"/>
        <v/>
      </c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3:26" ht="18" x14ac:dyDescent="0.45">
      <c r="C330" s="2"/>
      <c r="D330" s="2"/>
      <c r="E330" s="2"/>
      <c r="F330" s="2"/>
      <c r="G330" s="2"/>
      <c r="H330" s="2"/>
      <c r="I330" s="98"/>
      <c r="J330" s="2"/>
      <c r="K330" s="90"/>
      <c r="L330" s="69"/>
      <c r="M330" s="2"/>
      <c r="N330" s="69"/>
      <c r="O330" s="2"/>
      <c r="P330" s="2" t="str">
        <f t="shared" si="5"/>
        <v/>
      </c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3:26" ht="18" x14ac:dyDescent="0.45">
      <c r="C331" s="2"/>
      <c r="D331" s="2"/>
      <c r="E331" s="2"/>
      <c r="F331" s="2"/>
      <c r="G331" s="2"/>
      <c r="H331" s="2"/>
      <c r="I331" s="98"/>
      <c r="J331" s="2"/>
      <c r="K331" s="90"/>
      <c r="L331" s="69"/>
      <c r="M331" s="2"/>
      <c r="N331" s="69"/>
      <c r="O331" s="2"/>
      <c r="P331" s="2" t="str">
        <f t="shared" si="5"/>
        <v/>
      </c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3:26" ht="18" x14ac:dyDescent="0.45">
      <c r="C332" s="2"/>
      <c r="D332" s="2"/>
      <c r="E332" s="2"/>
      <c r="F332" s="2"/>
      <c r="G332" s="2"/>
      <c r="H332" s="2"/>
      <c r="I332" s="98"/>
      <c r="J332" s="2"/>
      <c r="K332" s="90"/>
      <c r="L332" s="69"/>
      <c r="M332" s="2"/>
      <c r="N332" s="69"/>
      <c r="O332" s="2"/>
      <c r="P332" s="2" t="str">
        <f t="shared" si="5"/>
        <v/>
      </c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3:26" ht="18" x14ac:dyDescent="0.45">
      <c r="C333" s="2"/>
      <c r="D333" s="2"/>
      <c r="E333" s="2"/>
      <c r="F333" s="2"/>
      <c r="G333" s="2"/>
      <c r="H333" s="2"/>
      <c r="I333" s="98"/>
      <c r="J333" s="2"/>
      <c r="K333" s="90"/>
      <c r="L333" s="69"/>
      <c r="M333" s="2"/>
      <c r="N333" s="69"/>
      <c r="O333" s="2"/>
      <c r="P333" s="2" t="str">
        <f t="shared" si="5"/>
        <v/>
      </c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3:26" ht="18" x14ac:dyDescent="0.45">
      <c r="C334" s="2"/>
      <c r="D334" s="2"/>
      <c r="E334" s="2"/>
      <c r="F334" s="2"/>
      <c r="G334" s="2"/>
      <c r="H334" s="2"/>
      <c r="I334" s="98"/>
      <c r="J334" s="2"/>
      <c r="K334" s="90"/>
      <c r="L334" s="69"/>
      <c r="M334" s="2"/>
      <c r="N334" s="69"/>
      <c r="O334" s="2"/>
      <c r="P334" s="2" t="str">
        <f t="shared" si="5"/>
        <v/>
      </c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3:26" ht="18" x14ac:dyDescent="0.45">
      <c r="C335" s="2"/>
      <c r="D335" s="2"/>
      <c r="E335" s="2"/>
      <c r="F335" s="2"/>
      <c r="G335" s="2"/>
      <c r="H335" s="2"/>
      <c r="I335" s="98"/>
      <c r="J335" s="2"/>
      <c r="K335" s="90"/>
      <c r="L335" s="69"/>
      <c r="M335" s="2"/>
      <c r="N335" s="69"/>
      <c r="O335" s="2"/>
      <c r="P335" s="2" t="str">
        <f t="shared" si="5"/>
        <v/>
      </c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3:26" ht="18" x14ac:dyDescent="0.45">
      <c r="C336" s="2"/>
      <c r="D336" s="2"/>
      <c r="E336" s="2"/>
      <c r="F336" s="2"/>
      <c r="G336" s="2"/>
      <c r="H336" s="2"/>
      <c r="I336" s="98"/>
      <c r="J336" s="2"/>
      <c r="K336" s="90"/>
      <c r="L336" s="69"/>
      <c r="M336" s="2"/>
      <c r="N336" s="69"/>
      <c r="O336" s="2"/>
      <c r="P336" s="2" t="str">
        <f t="shared" si="5"/>
        <v/>
      </c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3:26" ht="18" x14ac:dyDescent="0.45">
      <c r="C337" s="2"/>
      <c r="D337" s="2"/>
      <c r="E337" s="2"/>
      <c r="F337" s="2"/>
      <c r="G337" s="2"/>
      <c r="H337" s="2"/>
      <c r="I337" s="98"/>
      <c r="J337" s="2"/>
      <c r="K337" s="90"/>
      <c r="L337" s="69"/>
      <c r="M337" s="2"/>
      <c r="N337" s="69"/>
      <c r="O337" s="2"/>
      <c r="P337" s="2" t="str">
        <f t="shared" si="5"/>
        <v/>
      </c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3:26" ht="18" x14ac:dyDescent="0.45">
      <c r="C338" s="2"/>
      <c r="D338" s="2"/>
      <c r="E338" s="2"/>
      <c r="F338" s="2"/>
      <c r="G338" s="2"/>
      <c r="H338" s="2"/>
      <c r="I338" s="98"/>
      <c r="J338" s="2"/>
      <c r="K338" s="90"/>
      <c r="L338" s="69"/>
      <c r="M338" s="2"/>
      <c r="N338" s="69"/>
      <c r="O338" s="2"/>
      <c r="P338" s="2" t="str">
        <f t="shared" si="5"/>
        <v/>
      </c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3:26" ht="18" x14ac:dyDescent="0.45">
      <c r="C339" s="2"/>
      <c r="D339" s="2"/>
      <c r="E339" s="2"/>
      <c r="F339" s="2"/>
      <c r="G339" s="2"/>
      <c r="H339" s="2"/>
      <c r="I339" s="98"/>
      <c r="J339" s="2"/>
      <c r="K339" s="90"/>
      <c r="L339" s="69"/>
      <c r="M339" s="2"/>
      <c r="N339" s="69"/>
      <c r="O339" s="2"/>
      <c r="P339" s="2" t="str">
        <f t="shared" si="5"/>
        <v/>
      </c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3:26" ht="18" x14ac:dyDescent="0.45">
      <c r="C340" s="2"/>
      <c r="D340" s="2"/>
      <c r="E340" s="2"/>
      <c r="F340" s="2"/>
      <c r="G340" s="2"/>
      <c r="H340" s="2"/>
      <c r="I340" s="98"/>
      <c r="J340" s="2"/>
      <c r="K340" s="90"/>
      <c r="L340" s="69"/>
      <c r="M340" s="2"/>
      <c r="N340" s="69"/>
      <c r="O340" s="2"/>
      <c r="P340" s="2" t="str">
        <f t="shared" si="5"/>
        <v/>
      </c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3:26" ht="18" x14ac:dyDescent="0.45">
      <c r="C341" s="2"/>
      <c r="D341" s="2"/>
      <c r="E341" s="2"/>
      <c r="F341" s="2"/>
      <c r="G341" s="2"/>
      <c r="H341" s="2"/>
      <c r="I341" s="98"/>
      <c r="J341" s="2"/>
      <c r="K341" s="90"/>
      <c r="L341" s="69"/>
      <c r="M341" s="2"/>
      <c r="N341" s="69"/>
      <c r="O341" s="2"/>
      <c r="P341" s="2" t="str">
        <f t="shared" si="5"/>
        <v/>
      </c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3:26" ht="18" x14ac:dyDescent="0.45">
      <c r="C342" s="2"/>
      <c r="D342" s="2"/>
      <c r="E342" s="2"/>
      <c r="F342" s="2"/>
      <c r="G342" s="2"/>
      <c r="H342" s="2"/>
      <c r="I342" s="98"/>
      <c r="J342" s="2"/>
      <c r="K342" s="90"/>
      <c r="L342" s="69"/>
      <c r="M342" s="2"/>
      <c r="N342" s="69"/>
      <c r="O342" s="2"/>
      <c r="P342" s="2" t="str">
        <f t="shared" si="5"/>
        <v/>
      </c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3:26" ht="18" x14ac:dyDescent="0.45">
      <c r="C343" s="2"/>
      <c r="D343" s="2"/>
      <c r="E343" s="2"/>
      <c r="F343" s="2"/>
      <c r="G343" s="2"/>
      <c r="H343" s="2"/>
      <c r="I343" s="98"/>
      <c r="J343" s="2"/>
      <c r="K343" s="90"/>
      <c r="L343" s="69"/>
      <c r="M343" s="2"/>
      <c r="N343" s="69"/>
      <c r="O343" s="2"/>
      <c r="P343" s="2" t="str">
        <f t="shared" si="5"/>
        <v/>
      </c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3:26" ht="18" x14ac:dyDescent="0.45">
      <c r="C344" s="2"/>
      <c r="D344" s="2"/>
      <c r="E344" s="2"/>
      <c r="F344" s="2"/>
      <c r="G344" s="2"/>
      <c r="H344" s="2"/>
      <c r="I344" s="98"/>
      <c r="J344" s="2"/>
      <c r="K344" s="90"/>
      <c r="L344" s="69"/>
      <c r="M344" s="2"/>
      <c r="N344" s="69"/>
      <c r="O344" s="2"/>
      <c r="P344" s="2" t="str">
        <f t="shared" si="5"/>
        <v/>
      </c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3:26" ht="18" x14ac:dyDescent="0.45">
      <c r="C345" s="2"/>
      <c r="D345" s="2"/>
      <c r="E345" s="2"/>
      <c r="F345" s="2"/>
      <c r="G345" s="2"/>
      <c r="H345" s="2"/>
      <c r="I345" s="98"/>
      <c r="J345" s="2"/>
      <c r="K345" s="90"/>
      <c r="L345" s="69"/>
      <c r="M345" s="2"/>
      <c r="N345" s="69"/>
      <c r="O345" s="2"/>
      <c r="P345" s="2" t="str">
        <f t="shared" si="5"/>
        <v/>
      </c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3:26" ht="18" x14ac:dyDescent="0.45">
      <c r="C346" s="2"/>
      <c r="D346" s="2"/>
      <c r="E346" s="2"/>
      <c r="F346" s="2"/>
      <c r="G346" s="2"/>
      <c r="H346" s="2"/>
      <c r="I346" s="98"/>
      <c r="J346" s="2"/>
      <c r="K346" s="90"/>
      <c r="L346" s="69"/>
      <c r="M346" s="2"/>
      <c r="N346" s="69"/>
      <c r="O346" s="2"/>
      <c r="P346" s="2" t="str">
        <f t="shared" si="5"/>
        <v/>
      </c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3:26" ht="18" x14ac:dyDescent="0.45">
      <c r="C347" s="2"/>
      <c r="D347" s="2"/>
      <c r="E347" s="2"/>
      <c r="F347" s="2"/>
      <c r="G347" s="2"/>
      <c r="H347" s="2"/>
      <c r="I347" s="98"/>
      <c r="J347" s="2"/>
      <c r="K347" s="90"/>
      <c r="L347" s="69"/>
      <c r="M347" s="2"/>
      <c r="N347" s="69"/>
      <c r="O347" s="2"/>
      <c r="P347" s="2" t="str">
        <f t="shared" si="5"/>
        <v/>
      </c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3:26" ht="18" x14ac:dyDescent="0.45">
      <c r="C348" s="2"/>
      <c r="D348" s="2"/>
      <c r="E348" s="2"/>
      <c r="F348" s="2"/>
      <c r="G348" s="2"/>
      <c r="H348" s="2"/>
      <c r="I348" s="98"/>
      <c r="J348" s="2"/>
      <c r="K348" s="90"/>
      <c r="L348" s="69"/>
      <c r="M348" s="2"/>
      <c r="N348" s="69"/>
      <c r="O348" s="2"/>
      <c r="P348" s="2" t="str">
        <f t="shared" si="5"/>
        <v/>
      </c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3:26" ht="18" x14ac:dyDescent="0.45">
      <c r="C349" s="2"/>
      <c r="D349" s="2"/>
      <c r="E349" s="2"/>
      <c r="F349" s="2"/>
      <c r="G349" s="2"/>
      <c r="H349" s="2"/>
      <c r="I349" s="98"/>
      <c r="J349" s="2"/>
      <c r="K349" s="90"/>
      <c r="L349" s="69"/>
      <c r="M349" s="2"/>
      <c r="N349" s="69"/>
      <c r="O349" s="2"/>
      <c r="P349" s="2" t="str">
        <f t="shared" si="5"/>
        <v/>
      </c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3:26" ht="18" x14ac:dyDescent="0.45">
      <c r="C350" s="2"/>
      <c r="D350" s="2"/>
      <c r="E350" s="2"/>
      <c r="F350" s="2"/>
      <c r="G350" s="2"/>
      <c r="H350" s="2"/>
      <c r="I350" s="98"/>
      <c r="J350" s="2"/>
      <c r="K350" s="90"/>
      <c r="L350" s="69"/>
      <c r="M350" s="2"/>
      <c r="N350" s="69"/>
      <c r="O350" s="2"/>
      <c r="P350" s="2" t="str">
        <f t="shared" si="5"/>
        <v/>
      </c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3:26" ht="18" x14ac:dyDescent="0.45">
      <c r="C351" s="2"/>
      <c r="D351" s="2"/>
      <c r="E351" s="2"/>
      <c r="F351" s="2"/>
      <c r="G351" s="2"/>
      <c r="H351" s="2"/>
      <c r="I351" s="98"/>
      <c r="J351" s="2"/>
      <c r="K351" s="90"/>
      <c r="L351" s="69"/>
      <c r="M351" s="2"/>
      <c r="N351" s="69"/>
      <c r="O351" s="2"/>
      <c r="P351" s="2" t="str">
        <f t="shared" si="5"/>
        <v/>
      </c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3:26" ht="18" x14ac:dyDescent="0.45">
      <c r="C352" s="2"/>
      <c r="D352" s="2"/>
      <c r="E352" s="2"/>
      <c r="F352" s="2"/>
      <c r="G352" s="2"/>
      <c r="H352" s="2"/>
      <c r="I352" s="98"/>
      <c r="J352" s="2"/>
      <c r="K352" s="90"/>
      <c r="L352" s="69"/>
      <c r="M352" s="2"/>
      <c r="N352" s="69"/>
      <c r="O352" s="2"/>
      <c r="P352" s="2" t="str">
        <f t="shared" si="5"/>
        <v/>
      </c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3:26" ht="18" x14ac:dyDescent="0.45">
      <c r="C353" s="2"/>
      <c r="D353" s="2"/>
      <c r="E353" s="2"/>
      <c r="F353" s="2"/>
      <c r="G353" s="2"/>
      <c r="H353" s="2"/>
      <c r="I353" s="98"/>
      <c r="J353" s="2"/>
      <c r="K353" s="90"/>
      <c r="L353" s="69"/>
      <c r="M353" s="2"/>
      <c r="N353" s="69"/>
      <c r="O353" s="2"/>
      <c r="P353" s="2" t="str">
        <f t="shared" si="5"/>
        <v/>
      </c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3:26" ht="18" x14ac:dyDescent="0.45">
      <c r="C354" s="2"/>
      <c r="D354" s="2"/>
      <c r="E354" s="2"/>
      <c r="F354" s="2"/>
      <c r="G354" s="2"/>
      <c r="H354" s="2"/>
      <c r="I354" s="98"/>
      <c r="J354" s="2"/>
      <c r="K354" s="90"/>
      <c r="L354" s="69"/>
      <c r="M354" s="2"/>
      <c r="N354" s="69"/>
      <c r="O354" s="2"/>
      <c r="P354" s="2" t="str">
        <f t="shared" si="5"/>
        <v/>
      </c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3:26" ht="18" x14ac:dyDescent="0.45">
      <c r="C355" s="2"/>
      <c r="D355" s="2"/>
      <c r="E355" s="2"/>
      <c r="F355" s="2"/>
      <c r="G355" s="2"/>
      <c r="H355" s="2"/>
      <c r="I355" s="98"/>
      <c r="J355" s="2"/>
      <c r="K355" s="90"/>
      <c r="L355" s="69"/>
      <c r="M355" s="2"/>
      <c r="N355" s="69"/>
      <c r="O355" s="2"/>
      <c r="P355" s="2" t="str">
        <f t="shared" si="5"/>
        <v/>
      </c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3:26" ht="18" x14ac:dyDescent="0.45">
      <c r="C356" s="2"/>
      <c r="D356" s="2"/>
      <c r="E356" s="2"/>
      <c r="F356" s="2"/>
      <c r="G356" s="2"/>
      <c r="H356" s="2"/>
      <c r="I356" s="98"/>
      <c r="J356" s="2"/>
      <c r="K356" s="90"/>
      <c r="L356" s="69"/>
      <c r="M356" s="2"/>
      <c r="N356" s="69"/>
      <c r="O356" s="2"/>
      <c r="P356" s="2" t="str">
        <f t="shared" si="5"/>
        <v/>
      </c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3:26" ht="18" x14ac:dyDescent="0.45">
      <c r="C357" s="2"/>
      <c r="D357" s="2"/>
      <c r="E357" s="2"/>
      <c r="F357" s="2"/>
      <c r="G357" s="2"/>
      <c r="H357" s="2"/>
      <c r="I357" s="98"/>
      <c r="J357" s="2"/>
      <c r="K357" s="90"/>
      <c r="L357" s="69"/>
      <c r="M357" s="2"/>
      <c r="N357" s="69"/>
      <c r="O357" s="2"/>
      <c r="P357" s="2" t="str">
        <f t="shared" si="5"/>
        <v/>
      </c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3:26" ht="18" x14ac:dyDescent="0.45">
      <c r="C358" s="2"/>
      <c r="D358" s="2"/>
      <c r="E358" s="2"/>
      <c r="F358" s="2"/>
      <c r="G358" s="2"/>
      <c r="H358" s="2"/>
      <c r="I358" s="98"/>
      <c r="J358" s="2"/>
      <c r="K358" s="90"/>
      <c r="L358" s="69"/>
      <c r="M358" s="2"/>
      <c r="N358" s="69"/>
      <c r="O358" s="2"/>
      <c r="P358" s="2" t="str">
        <f t="shared" si="5"/>
        <v/>
      </c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3:26" ht="18" x14ac:dyDescent="0.45">
      <c r="C359" s="2"/>
      <c r="D359" s="2"/>
      <c r="E359" s="2"/>
      <c r="F359" s="2"/>
      <c r="G359" s="2"/>
      <c r="H359" s="2"/>
      <c r="I359" s="98"/>
      <c r="J359" s="2"/>
      <c r="K359" s="90"/>
      <c r="L359" s="69"/>
      <c r="M359" s="2"/>
      <c r="N359" s="69"/>
      <c r="O359" s="2"/>
      <c r="P359" s="2" t="str">
        <f t="shared" si="5"/>
        <v/>
      </c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3:26" ht="18" x14ac:dyDescent="0.45">
      <c r="C360" s="2"/>
      <c r="D360" s="2"/>
      <c r="E360" s="2"/>
      <c r="F360" s="2"/>
      <c r="G360" s="2"/>
      <c r="H360" s="2"/>
      <c r="I360" s="98"/>
      <c r="J360" s="2"/>
      <c r="K360" s="90"/>
      <c r="L360" s="69"/>
      <c r="M360" s="2"/>
      <c r="N360" s="69"/>
      <c r="O360" s="2"/>
      <c r="P360" s="2" t="str">
        <f t="shared" si="5"/>
        <v/>
      </c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3:26" ht="18" x14ac:dyDescent="0.45">
      <c r="C361" s="2"/>
      <c r="D361" s="2"/>
      <c r="E361" s="2"/>
      <c r="F361" s="2"/>
      <c r="G361" s="2"/>
      <c r="H361" s="2"/>
      <c r="I361" s="98"/>
      <c r="J361" s="2"/>
      <c r="K361" s="90"/>
      <c r="L361" s="69"/>
      <c r="M361" s="2"/>
      <c r="N361" s="69"/>
      <c r="O361" s="2"/>
      <c r="P361" s="2" t="str">
        <f t="shared" si="5"/>
        <v/>
      </c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3:26" ht="18" x14ac:dyDescent="0.45">
      <c r="C362" s="2"/>
      <c r="D362" s="2"/>
      <c r="E362" s="2"/>
      <c r="F362" s="2"/>
      <c r="G362" s="2"/>
      <c r="H362" s="2"/>
      <c r="I362" s="98"/>
      <c r="J362" s="2"/>
      <c r="K362" s="90"/>
      <c r="L362" s="69"/>
      <c r="M362" s="2"/>
      <c r="N362" s="69"/>
      <c r="O362" s="2"/>
      <c r="P362" s="2" t="str">
        <f t="shared" si="5"/>
        <v/>
      </c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3:26" ht="18" x14ac:dyDescent="0.45">
      <c r="C363" s="2"/>
      <c r="D363" s="2"/>
      <c r="E363" s="2"/>
      <c r="F363" s="2"/>
      <c r="G363" s="2"/>
      <c r="H363" s="2"/>
      <c r="I363" s="98"/>
      <c r="J363" s="2"/>
      <c r="K363" s="90"/>
      <c r="L363" s="69"/>
      <c r="M363" s="2"/>
      <c r="N363" s="69"/>
      <c r="O363" s="2"/>
      <c r="P363" s="2" t="str">
        <f t="shared" si="5"/>
        <v/>
      </c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3:26" ht="18" x14ac:dyDescent="0.45">
      <c r="C364" s="2"/>
      <c r="D364" s="2"/>
      <c r="E364" s="2"/>
      <c r="F364" s="2"/>
      <c r="G364" s="2"/>
      <c r="H364" s="2"/>
      <c r="I364" s="98"/>
      <c r="J364" s="2"/>
      <c r="K364" s="90"/>
      <c r="L364" s="69"/>
      <c r="M364" s="2"/>
      <c r="N364" s="69"/>
      <c r="O364" s="2"/>
      <c r="P364" s="2" t="str">
        <f t="shared" si="5"/>
        <v/>
      </c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3:26" ht="18" x14ac:dyDescent="0.45">
      <c r="C365" s="2"/>
      <c r="D365" s="2"/>
      <c r="E365" s="2"/>
      <c r="F365" s="2"/>
      <c r="G365" s="2"/>
      <c r="H365" s="2"/>
      <c r="I365" s="98"/>
      <c r="J365" s="2"/>
      <c r="K365" s="90"/>
      <c r="L365" s="69"/>
      <c r="M365" s="2"/>
      <c r="N365" s="69"/>
      <c r="O365" s="2"/>
      <c r="P365" s="2" t="str">
        <f t="shared" si="5"/>
        <v/>
      </c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3:26" ht="18" x14ac:dyDescent="0.45">
      <c r="C366" s="2"/>
      <c r="D366" s="2"/>
      <c r="E366" s="2"/>
      <c r="F366" s="2"/>
      <c r="G366" s="2"/>
      <c r="H366" s="2"/>
      <c r="I366" s="98"/>
      <c r="J366" s="2"/>
      <c r="K366" s="90"/>
      <c r="L366" s="69"/>
      <c r="M366" s="2"/>
      <c r="N366" s="69"/>
      <c r="O366" s="2"/>
      <c r="P366" s="2" t="str">
        <f t="shared" si="5"/>
        <v/>
      </c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3:26" ht="18" x14ac:dyDescent="0.45">
      <c r="C367" s="2"/>
      <c r="D367" s="2"/>
      <c r="E367" s="2"/>
      <c r="F367" s="2"/>
      <c r="G367" s="2"/>
      <c r="H367" s="2"/>
      <c r="I367" s="98"/>
      <c r="J367" s="2"/>
      <c r="K367" s="90"/>
      <c r="L367" s="69"/>
      <c r="M367" s="2"/>
      <c r="N367" s="69"/>
      <c r="O367" s="2"/>
      <c r="P367" s="2" t="str">
        <f t="shared" si="5"/>
        <v/>
      </c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3:26" ht="18" x14ac:dyDescent="0.45">
      <c r="C368" s="2"/>
      <c r="D368" s="2"/>
      <c r="E368" s="2"/>
      <c r="F368" s="2"/>
      <c r="G368" s="2"/>
      <c r="H368" s="2"/>
      <c r="I368" s="98"/>
      <c r="J368" s="2"/>
      <c r="K368" s="90"/>
      <c r="L368" s="69"/>
      <c r="M368" s="2"/>
      <c r="N368" s="69"/>
      <c r="O368" s="2"/>
      <c r="P368" s="2" t="str">
        <f t="shared" si="5"/>
        <v/>
      </c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3:26" ht="18" x14ac:dyDescent="0.45">
      <c r="C369" s="2"/>
      <c r="D369" s="2"/>
      <c r="E369" s="2"/>
      <c r="F369" s="2"/>
      <c r="G369" s="2"/>
      <c r="H369" s="2"/>
      <c r="I369" s="98"/>
      <c r="J369" s="2"/>
      <c r="K369" s="90"/>
      <c r="L369" s="69"/>
      <c r="M369" s="2"/>
      <c r="N369" s="69"/>
      <c r="O369" s="2"/>
      <c r="P369" s="2" t="str">
        <f t="shared" si="5"/>
        <v/>
      </c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3:26" ht="18" x14ac:dyDescent="0.45">
      <c r="C370" s="2"/>
      <c r="D370" s="2"/>
      <c r="E370" s="2"/>
      <c r="F370" s="2"/>
      <c r="G370" s="2"/>
      <c r="H370" s="2"/>
      <c r="I370" s="98"/>
      <c r="J370" s="2"/>
      <c r="K370" s="90"/>
      <c r="L370" s="69"/>
      <c r="M370" s="2"/>
      <c r="N370" s="69"/>
      <c r="O370" s="2"/>
      <c r="P370" s="2" t="str">
        <f t="shared" si="5"/>
        <v/>
      </c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3:26" ht="18" x14ac:dyDescent="0.45">
      <c r="C371" s="2"/>
      <c r="D371" s="2"/>
      <c r="E371" s="2"/>
      <c r="F371" s="2"/>
      <c r="G371" s="2"/>
      <c r="H371" s="2"/>
      <c r="I371" s="98"/>
      <c r="J371" s="2"/>
      <c r="K371" s="90"/>
      <c r="L371" s="69"/>
      <c r="M371" s="2"/>
      <c r="N371" s="69"/>
      <c r="O371" s="2"/>
      <c r="P371" s="2" t="str">
        <f t="shared" si="5"/>
        <v/>
      </c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3:26" ht="18" x14ac:dyDescent="0.45">
      <c r="C372" s="2"/>
      <c r="D372" s="2"/>
      <c r="E372" s="2"/>
      <c r="F372" s="2"/>
      <c r="G372" s="2"/>
      <c r="H372" s="2"/>
      <c r="I372" s="98"/>
      <c r="J372" s="2"/>
      <c r="K372" s="90"/>
      <c r="L372" s="69"/>
      <c r="M372" s="2"/>
      <c r="N372" s="69"/>
      <c r="O372" s="2"/>
      <c r="P372" s="2" t="str">
        <f t="shared" si="5"/>
        <v/>
      </c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3:26" ht="18" x14ac:dyDescent="0.45">
      <c r="C373" s="2"/>
      <c r="D373" s="2"/>
      <c r="E373" s="2"/>
      <c r="F373" s="2"/>
      <c r="G373" s="2"/>
      <c r="H373" s="2"/>
      <c r="I373" s="98"/>
      <c r="J373" s="2"/>
      <c r="K373" s="90"/>
      <c r="L373" s="69"/>
      <c r="M373" s="2"/>
      <c r="N373" s="69"/>
      <c r="O373" s="2"/>
      <c r="P373" s="2" t="str">
        <f t="shared" si="5"/>
        <v/>
      </c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3:26" ht="18" x14ac:dyDescent="0.45">
      <c r="C374" s="2"/>
      <c r="D374" s="2"/>
      <c r="E374" s="2"/>
      <c r="F374" s="2"/>
      <c r="G374" s="2"/>
      <c r="H374" s="2"/>
      <c r="I374" s="98"/>
      <c r="J374" s="2"/>
      <c r="K374" s="90"/>
      <c r="L374" s="69"/>
      <c r="M374" s="2"/>
      <c r="N374" s="69"/>
      <c r="O374" s="2"/>
      <c r="P374" s="2" t="str">
        <f t="shared" si="5"/>
        <v/>
      </c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3:26" ht="18" x14ac:dyDescent="0.45">
      <c r="C375" s="2"/>
      <c r="D375" s="2"/>
      <c r="E375" s="2"/>
      <c r="F375" s="2"/>
      <c r="G375" s="2"/>
      <c r="H375" s="2"/>
      <c r="I375" s="98"/>
      <c r="J375" s="2"/>
      <c r="K375" s="90"/>
      <c r="L375" s="69"/>
      <c r="M375" s="2"/>
      <c r="N375" s="69"/>
      <c r="O375" s="2"/>
      <c r="P375" s="2" t="str">
        <f t="shared" si="5"/>
        <v/>
      </c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3:26" ht="18" x14ac:dyDescent="0.45">
      <c r="C376" s="2"/>
      <c r="D376" s="2"/>
      <c r="E376" s="2"/>
      <c r="F376" s="2"/>
      <c r="G376" s="2"/>
      <c r="H376" s="2"/>
      <c r="I376" s="98"/>
      <c r="J376" s="2"/>
      <c r="K376" s="90"/>
      <c r="L376" s="69"/>
      <c r="M376" s="2"/>
      <c r="N376" s="69"/>
      <c r="O376" s="2"/>
      <c r="P376" s="2" t="str">
        <f t="shared" si="5"/>
        <v/>
      </c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3:26" ht="18" x14ac:dyDescent="0.45">
      <c r="C377" s="2"/>
      <c r="D377" s="2"/>
      <c r="E377" s="2"/>
      <c r="F377" s="2"/>
      <c r="G377" s="2"/>
      <c r="H377" s="2"/>
      <c r="I377" s="98"/>
      <c r="J377" s="2"/>
      <c r="K377" s="90"/>
      <c r="L377" s="69"/>
      <c r="M377" s="2"/>
      <c r="N377" s="69"/>
      <c r="O377" s="2"/>
      <c r="P377" s="2" t="str">
        <f t="shared" si="5"/>
        <v/>
      </c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3:26" ht="18" x14ac:dyDescent="0.45">
      <c r="C378" s="2"/>
      <c r="D378" s="2"/>
      <c r="E378" s="2"/>
      <c r="F378" s="2"/>
      <c r="G378" s="2"/>
      <c r="H378" s="2"/>
      <c r="I378" s="98"/>
      <c r="J378" s="2"/>
      <c r="K378" s="90"/>
      <c r="L378" s="69"/>
      <c r="M378" s="2"/>
      <c r="N378" s="69"/>
      <c r="O378" s="2"/>
      <c r="P378" s="2" t="str">
        <f t="shared" si="5"/>
        <v/>
      </c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3:26" ht="18" x14ac:dyDescent="0.45">
      <c r="C379" s="2"/>
      <c r="D379" s="2"/>
      <c r="E379" s="2"/>
      <c r="F379" s="2"/>
      <c r="G379" s="2"/>
      <c r="H379" s="2"/>
      <c r="I379" s="98"/>
      <c r="J379" s="2"/>
      <c r="K379" s="90"/>
      <c r="L379" s="69"/>
      <c r="M379" s="2"/>
      <c r="N379" s="69"/>
      <c r="O379" s="2"/>
      <c r="P379" s="2" t="str">
        <f t="shared" si="5"/>
        <v/>
      </c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3:26" ht="18" x14ac:dyDescent="0.45">
      <c r="C380" s="2"/>
      <c r="D380" s="2"/>
      <c r="E380" s="2"/>
      <c r="F380" s="2"/>
      <c r="G380" s="2"/>
      <c r="H380" s="2"/>
      <c r="I380" s="98"/>
      <c r="J380" s="2"/>
      <c r="K380" s="90"/>
      <c r="L380" s="69"/>
      <c r="M380" s="2"/>
      <c r="N380" s="69"/>
      <c r="O380" s="2"/>
      <c r="P380" s="2" t="str">
        <f t="shared" si="5"/>
        <v/>
      </c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3:26" ht="18" x14ac:dyDescent="0.45">
      <c r="C381" s="2"/>
      <c r="D381" s="2"/>
      <c r="E381" s="2"/>
      <c r="F381" s="2"/>
      <c r="G381" s="2"/>
      <c r="H381" s="2"/>
      <c r="I381" s="98"/>
      <c r="J381" s="2"/>
      <c r="K381" s="90"/>
      <c r="L381" s="69"/>
      <c r="M381" s="2"/>
      <c r="N381" s="69"/>
      <c r="O381" s="2"/>
      <c r="P381" s="2" t="str">
        <f t="shared" si="5"/>
        <v/>
      </c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3:26" ht="18" x14ac:dyDescent="0.45">
      <c r="C382" s="2"/>
      <c r="D382" s="2"/>
      <c r="E382" s="2"/>
      <c r="F382" s="2"/>
      <c r="G382" s="2"/>
      <c r="H382" s="2"/>
      <c r="I382" s="98"/>
      <c r="J382" s="2"/>
      <c r="K382" s="90"/>
      <c r="L382" s="69"/>
      <c r="M382" s="2"/>
      <c r="N382" s="69"/>
      <c r="O382" s="2"/>
      <c r="P382" s="2" t="str">
        <f t="shared" si="5"/>
        <v/>
      </c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3:26" ht="18" x14ac:dyDescent="0.45">
      <c r="C383" s="2"/>
      <c r="D383" s="2"/>
      <c r="E383" s="2"/>
      <c r="F383" s="2"/>
      <c r="G383" s="2"/>
      <c r="H383" s="2"/>
      <c r="I383" s="98"/>
      <c r="J383" s="2"/>
      <c r="K383" s="90"/>
      <c r="L383" s="69"/>
      <c r="M383" s="2"/>
      <c r="N383" s="69"/>
      <c r="O383" s="2"/>
      <c r="P383" s="2" t="str">
        <f t="shared" si="5"/>
        <v/>
      </c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3:26" ht="18" x14ac:dyDescent="0.45">
      <c r="C384" s="2"/>
      <c r="D384" s="2"/>
      <c r="E384" s="2"/>
      <c r="F384" s="2"/>
      <c r="G384" s="2"/>
      <c r="H384" s="2"/>
      <c r="I384" s="98"/>
      <c r="J384" s="2"/>
      <c r="K384" s="90"/>
      <c r="L384" s="69"/>
      <c r="M384" s="2"/>
      <c r="N384" s="69"/>
      <c r="O384" s="2"/>
      <c r="P384" s="2" t="str">
        <f t="shared" si="5"/>
        <v/>
      </c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3:26" ht="18" x14ac:dyDescent="0.45">
      <c r="C385" s="2"/>
      <c r="D385" s="2"/>
      <c r="E385" s="2"/>
      <c r="F385" s="2"/>
      <c r="G385" s="2"/>
      <c r="H385" s="2"/>
      <c r="I385" s="98"/>
      <c r="J385" s="2"/>
      <c r="K385" s="90"/>
      <c r="L385" s="69"/>
      <c r="M385" s="2"/>
      <c r="N385" s="69"/>
      <c r="O385" s="2"/>
      <c r="P385" s="2" t="str">
        <f t="shared" si="5"/>
        <v/>
      </c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3:26" ht="18" x14ac:dyDescent="0.45">
      <c r="C386" s="2"/>
      <c r="D386" s="2"/>
      <c r="E386" s="2"/>
      <c r="F386" s="2"/>
      <c r="G386" s="2"/>
      <c r="H386" s="2"/>
      <c r="I386" s="98"/>
      <c r="J386" s="2"/>
      <c r="K386" s="90"/>
      <c r="L386" s="69"/>
      <c r="M386" s="2"/>
      <c r="N386" s="69"/>
      <c r="O386" s="2"/>
      <c r="P386" s="2" t="str">
        <f t="shared" si="5"/>
        <v/>
      </c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3:26" ht="18" x14ac:dyDescent="0.45">
      <c r="C387" s="2"/>
      <c r="D387" s="2"/>
      <c r="E387" s="2"/>
      <c r="F387" s="2"/>
      <c r="G387" s="2"/>
      <c r="H387" s="2"/>
      <c r="I387" s="98"/>
      <c r="J387" s="2"/>
      <c r="K387" s="90"/>
      <c r="L387" s="69"/>
      <c r="M387" s="2"/>
      <c r="N387" s="69"/>
      <c r="O387" s="2"/>
      <c r="P387" s="2" t="str">
        <f t="shared" si="5"/>
        <v/>
      </c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3:26" ht="18" x14ac:dyDescent="0.45">
      <c r="I388" s="67"/>
      <c r="K388" s="91"/>
      <c r="L388" s="70"/>
      <c r="N388" s="70"/>
      <c r="P388" t="str">
        <f t="shared" si="5"/>
        <v/>
      </c>
    </row>
    <row r="389" spans="3:26" ht="18" x14ac:dyDescent="0.45">
      <c r="I389" s="67"/>
      <c r="K389" s="91"/>
      <c r="L389" s="70"/>
      <c r="N389" s="70"/>
      <c r="P389" t="str">
        <f t="shared" si="5"/>
        <v/>
      </c>
    </row>
    <row r="390" spans="3:26" ht="18" x14ac:dyDescent="0.45">
      <c r="I390" s="67"/>
      <c r="K390" s="91"/>
      <c r="L390" s="70"/>
      <c r="N390" s="70"/>
      <c r="P390" t="str">
        <f t="shared" si="5"/>
        <v/>
      </c>
    </row>
    <row r="391" spans="3:26" ht="18" x14ac:dyDescent="0.45">
      <c r="I391" s="67"/>
      <c r="K391" s="91"/>
      <c r="L391" s="70"/>
      <c r="N391" s="70"/>
      <c r="P391" t="str">
        <f t="shared" ref="P391:P454" si="6">IF(I391="","",SUMIFS(OrderItems_Qty,OrderItems_Type,"PURCHASE",OrderItems_SKU,I391)-SUMIFS(OrderItems_Qty,OrderItems_Type,"SALE",OrderItems_SKU,I391))</f>
        <v/>
      </c>
    </row>
    <row r="392" spans="3:26" ht="18" x14ac:dyDescent="0.45">
      <c r="I392" s="67"/>
      <c r="K392" s="91"/>
      <c r="L392" s="70"/>
      <c r="N392" s="70"/>
      <c r="P392" t="str">
        <f t="shared" si="6"/>
        <v/>
      </c>
    </row>
    <row r="393" spans="3:26" ht="18" x14ac:dyDescent="0.45">
      <c r="I393" s="67"/>
      <c r="K393" s="91"/>
      <c r="L393" s="70"/>
      <c r="N393" s="70"/>
      <c r="P393" t="str">
        <f t="shared" si="6"/>
        <v/>
      </c>
    </row>
    <row r="394" spans="3:26" ht="18" x14ac:dyDescent="0.45">
      <c r="I394" s="67"/>
      <c r="K394" s="91"/>
      <c r="L394" s="70"/>
      <c r="N394" s="70"/>
      <c r="P394" t="str">
        <f t="shared" si="6"/>
        <v/>
      </c>
    </row>
    <row r="395" spans="3:26" ht="18" x14ac:dyDescent="0.45">
      <c r="I395" s="67"/>
      <c r="K395" s="91"/>
      <c r="L395" s="70"/>
      <c r="N395" s="70"/>
      <c r="P395" t="str">
        <f t="shared" si="6"/>
        <v/>
      </c>
    </row>
    <row r="396" spans="3:26" ht="18" x14ac:dyDescent="0.45">
      <c r="I396" s="67"/>
      <c r="K396" s="91"/>
      <c r="L396" s="70"/>
      <c r="N396" s="70"/>
      <c r="P396" t="str">
        <f t="shared" si="6"/>
        <v/>
      </c>
    </row>
    <row r="397" spans="3:26" ht="18" x14ac:dyDescent="0.45">
      <c r="I397" s="67"/>
      <c r="K397" s="91"/>
      <c r="L397" s="70"/>
      <c r="N397" s="70"/>
      <c r="P397" t="str">
        <f t="shared" si="6"/>
        <v/>
      </c>
    </row>
    <row r="398" spans="3:26" ht="18" x14ac:dyDescent="0.45">
      <c r="I398" s="67"/>
      <c r="K398" s="91"/>
      <c r="L398" s="70"/>
      <c r="N398" s="70"/>
      <c r="P398" t="str">
        <f t="shared" si="6"/>
        <v/>
      </c>
    </row>
    <row r="399" spans="3:26" ht="18" x14ac:dyDescent="0.45">
      <c r="I399" s="67"/>
      <c r="K399" s="91"/>
      <c r="L399" s="70"/>
      <c r="N399" s="70"/>
      <c r="P399" t="str">
        <f t="shared" si="6"/>
        <v/>
      </c>
    </row>
    <row r="400" spans="3:26" ht="18" x14ac:dyDescent="0.45">
      <c r="I400" s="67"/>
      <c r="K400" s="91"/>
      <c r="L400" s="70"/>
      <c r="N400" s="70"/>
      <c r="P400" t="str">
        <f t="shared" si="6"/>
        <v/>
      </c>
    </row>
    <row r="401" spans="9:16" ht="18" x14ac:dyDescent="0.45">
      <c r="I401" s="67"/>
      <c r="K401" s="91"/>
      <c r="L401" s="70"/>
      <c r="N401" s="70"/>
      <c r="P401" t="str">
        <f t="shared" si="6"/>
        <v/>
      </c>
    </row>
    <row r="402" spans="9:16" ht="18" x14ac:dyDescent="0.45">
      <c r="I402" s="67"/>
      <c r="K402" s="91"/>
      <c r="L402" s="70"/>
      <c r="N402" s="70"/>
      <c r="P402" t="str">
        <f t="shared" si="6"/>
        <v/>
      </c>
    </row>
    <row r="403" spans="9:16" ht="18" x14ac:dyDescent="0.45">
      <c r="I403" s="67"/>
      <c r="K403" s="91"/>
      <c r="L403" s="70"/>
      <c r="N403" s="70"/>
      <c r="P403" t="str">
        <f t="shared" si="6"/>
        <v/>
      </c>
    </row>
    <row r="404" spans="9:16" ht="18" x14ac:dyDescent="0.45">
      <c r="I404" s="67"/>
      <c r="K404" s="91"/>
      <c r="L404" s="70"/>
      <c r="N404" s="70"/>
      <c r="P404" t="str">
        <f t="shared" si="6"/>
        <v/>
      </c>
    </row>
    <row r="405" spans="9:16" ht="18" x14ac:dyDescent="0.45">
      <c r="I405" s="67"/>
      <c r="K405" s="91"/>
      <c r="L405" s="70"/>
      <c r="N405" s="70"/>
      <c r="P405" t="str">
        <f t="shared" si="6"/>
        <v/>
      </c>
    </row>
    <row r="406" spans="9:16" ht="18" x14ac:dyDescent="0.45">
      <c r="I406" s="67"/>
      <c r="K406" s="91"/>
      <c r="L406" s="70"/>
      <c r="N406" s="70"/>
      <c r="P406" t="str">
        <f t="shared" si="6"/>
        <v/>
      </c>
    </row>
    <row r="407" spans="9:16" ht="18" x14ac:dyDescent="0.45">
      <c r="I407" s="67"/>
      <c r="K407" s="91"/>
      <c r="L407" s="70"/>
      <c r="N407" s="70"/>
      <c r="P407" t="str">
        <f t="shared" si="6"/>
        <v/>
      </c>
    </row>
    <row r="408" spans="9:16" ht="18" x14ac:dyDescent="0.45">
      <c r="I408" s="67"/>
      <c r="K408" s="91"/>
      <c r="L408" s="70"/>
      <c r="N408" s="70"/>
      <c r="P408" t="str">
        <f t="shared" si="6"/>
        <v/>
      </c>
    </row>
    <row r="409" spans="9:16" ht="18" x14ac:dyDescent="0.45">
      <c r="I409" s="67"/>
      <c r="K409" s="91"/>
      <c r="L409" s="70"/>
      <c r="N409" s="70"/>
      <c r="P409" t="str">
        <f t="shared" si="6"/>
        <v/>
      </c>
    </row>
    <row r="410" spans="9:16" ht="18" x14ac:dyDescent="0.45">
      <c r="I410" s="67"/>
      <c r="K410" s="91"/>
      <c r="L410" s="70"/>
      <c r="N410" s="70"/>
      <c r="P410" t="str">
        <f t="shared" si="6"/>
        <v/>
      </c>
    </row>
    <row r="411" spans="9:16" ht="18" x14ac:dyDescent="0.45">
      <c r="I411" s="67"/>
      <c r="K411" s="91"/>
      <c r="L411" s="70"/>
      <c r="N411" s="70"/>
      <c r="P411" t="str">
        <f t="shared" si="6"/>
        <v/>
      </c>
    </row>
    <row r="412" spans="9:16" ht="18" x14ac:dyDescent="0.45">
      <c r="I412" s="67"/>
      <c r="K412" s="91"/>
      <c r="L412" s="70"/>
      <c r="N412" s="70"/>
      <c r="P412" t="str">
        <f t="shared" si="6"/>
        <v/>
      </c>
    </row>
    <row r="413" spans="9:16" ht="18" x14ac:dyDescent="0.45">
      <c r="I413" s="67"/>
      <c r="K413" s="91"/>
      <c r="L413" s="70"/>
      <c r="N413" s="70"/>
      <c r="P413" t="str">
        <f t="shared" si="6"/>
        <v/>
      </c>
    </row>
    <row r="414" spans="9:16" ht="18" x14ac:dyDescent="0.45">
      <c r="I414" s="67"/>
      <c r="K414" s="91"/>
      <c r="L414" s="70"/>
      <c r="N414" s="70"/>
      <c r="P414" t="str">
        <f t="shared" si="6"/>
        <v/>
      </c>
    </row>
    <row r="415" spans="9:16" ht="18" x14ac:dyDescent="0.45">
      <c r="I415" s="67"/>
      <c r="K415" s="91"/>
      <c r="L415" s="70"/>
      <c r="N415" s="70"/>
      <c r="P415" t="str">
        <f t="shared" si="6"/>
        <v/>
      </c>
    </row>
    <row r="416" spans="9:16" ht="18" x14ac:dyDescent="0.45">
      <c r="I416" s="67"/>
      <c r="K416" s="91"/>
      <c r="L416" s="70"/>
      <c r="N416" s="70"/>
      <c r="P416" t="str">
        <f t="shared" si="6"/>
        <v/>
      </c>
    </row>
    <row r="417" spans="9:16" ht="18" x14ac:dyDescent="0.45">
      <c r="I417" s="67"/>
      <c r="K417" s="91"/>
      <c r="L417" s="70"/>
      <c r="N417" s="70"/>
      <c r="P417" t="str">
        <f t="shared" si="6"/>
        <v/>
      </c>
    </row>
    <row r="418" spans="9:16" ht="18" x14ac:dyDescent="0.45">
      <c r="I418" s="67"/>
      <c r="K418" s="91"/>
      <c r="L418" s="70"/>
      <c r="N418" s="70"/>
      <c r="P418" t="str">
        <f t="shared" si="6"/>
        <v/>
      </c>
    </row>
    <row r="419" spans="9:16" ht="18" x14ac:dyDescent="0.45">
      <c r="I419" s="67"/>
      <c r="K419" s="91"/>
      <c r="L419" s="70"/>
      <c r="N419" s="70"/>
      <c r="P419" t="str">
        <f t="shared" si="6"/>
        <v/>
      </c>
    </row>
    <row r="420" spans="9:16" ht="18" x14ac:dyDescent="0.45">
      <c r="I420" s="67"/>
      <c r="K420" s="91"/>
      <c r="L420" s="70"/>
      <c r="N420" s="70"/>
      <c r="P420" t="str">
        <f t="shared" si="6"/>
        <v/>
      </c>
    </row>
    <row r="421" spans="9:16" ht="18" x14ac:dyDescent="0.45">
      <c r="I421" s="67"/>
      <c r="K421" s="91"/>
      <c r="L421" s="70"/>
      <c r="N421" s="70"/>
      <c r="P421" t="str">
        <f t="shared" si="6"/>
        <v/>
      </c>
    </row>
    <row r="422" spans="9:16" ht="18" x14ac:dyDescent="0.45">
      <c r="I422" s="67"/>
      <c r="K422" s="91"/>
      <c r="L422" s="70"/>
      <c r="N422" s="70"/>
      <c r="P422" t="str">
        <f t="shared" si="6"/>
        <v/>
      </c>
    </row>
    <row r="423" spans="9:16" ht="18" x14ac:dyDescent="0.45">
      <c r="I423" s="67"/>
      <c r="K423" s="91"/>
      <c r="L423" s="70"/>
      <c r="N423" s="70"/>
      <c r="P423" t="str">
        <f t="shared" si="6"/>
        <v/>
      </c>
    </row>
    <row r="424" spans="9:16" ht="18" x14ac:dyDescent="0.45">
      <c r="I424" s="67"/>
      <c r="K424" s="91"/>
      <c r="L424" s="70"/>
      <c r="N424" s="70"/>
      <c r="P424" t="str">
        <f t="shared" si="6"/>
        <v/>
      </c>
    </row>
    <row r="425" spans="9:16" ht="18" x14ac:dyDescent="0.45">
      <c r="I425" s="67"/>
      <c r="K425" s="91"/>
      <c r="L425" s="70"/>
      <c r="N425" s="70"/>
      <c r="P425" t="str">
        <f t="shared" si="6"/>
        <v/>
      </c>
    </row>
    <row r="426" spans="9:16" ht="18" x14ac:dyDescent="0.45">
      <c r="I426" s="67"/>
      <c r="K426" s="91"/>
      <c r="L426" s="70"/>
      <c r="N426" s="70"/>
      <c r="P426" t="str">
        <f t="shared" si="6"/>
        <v/>
      </c>
    </row>
    <row r="427" spans="9:16" ht="18" x14ac:dyDescent="0.45">
      <c r="I427" s="67"/>
      <c r="K427" s="91"/>
      <c r="L427" s="70"/>
      <c r="N427" s="70"/>
      <c r="P427" t="str">
        <f t="shared" si="6"/>
        <v/>
      </c>
    </row>
    <row r="428" spans="9:16" ht="18" x14ac:dyDescent="0.45">
      <c r="I428" s="67"/>
      <c r="K428" s="91"/>
      <c r="L428" s="70"/>
      <c r="N428" s="70"/>
      <c r="P428" t="str">
        <f t="shared" si="6"/>
        <v/>
      </c>
    </row>
    <row r="429" spans="9:16" ht="18" x14ac:dyDescent="0.45">
      <c r="I429" s="67"/>
      <c r="K429" s="91"/>
      <c r="L429" s="70"/>
      <c r="N429" s="70"/>
      <c r="P429" t="str">
        <f t="shared" si="6"/>
        <v/>
      </c>
    </row>
    <row r="430" spans="9:16" ht="18" x14ac:dyDescent="0.45">
      <c r="I430" s="67"/>
      <c r="K430" s="91"/>
      <c r="L430" s="70"/>
      <c r="N430" s="70"/>
      <c r="P430" t="str">
        <f t="shared" si="6"/>
        <v/>
      </c>
    </row>
    <row r="431" spans="9:16" ht="18" x14ac:dyDescent="0.45">
      <c r="I431" s="67"/>
      <c r="K431" s="91"/>
      <c r="L431" s="70"/>
      <c r="N431" s="70"/>
      <c r="P431" t="str">
        <f t="shared" si="6"/>
        <v/>
      </c>
    </row>
    <row r="432" spans="9:16" ht="18" x14ac:dyDescent="0.45">
      <c r="I432" s="67"/>
      <c r="K432" s="91"/>
      <c r="L432" s="70"/>
      <c r="N432" s="70"/>
      <c r="P432" t="str">
        <f t="shared" si="6"/>
        <v/>
      </c>
    </row>
    <row r="433" spans="9:16" ht="18" x14ac:dyDescent="0.45">
      <c r="I433" s="67"/>
      <c r="K433" s="91"/>
      <c r="L433" s="70"/>
      <c r="N433" s="70"/>
      <c r="P433" t="str">
        <f t="shared" si="6"/>
        <v/>
      </c>
    </row>
    <row r="434" spans="9:16" ht="18" x14ac:dyDescent="0.45">
      <c r="I434" s="67"/>
      <c r="K434" s="91"/>
      <c r="L434" s="70"/>
      <c r="N434" s="70"/>
      <c r="P434" t="str">
        <f t="shared" si="6"/>
        <v/>
      </c>
    </row>
    <row r="435" spans="9:16" ht="18" x14ac:dyDescent="0.45">
      <c r="I435" s="67"/>
      <c r="K435" s="91"/>
      <c r="L435" s="70"/>
      <c r="N435" s="70"/>
      <c r="P435" t="str">
        <f t="shared" si="6"/>
        <v/>
      </c>
    </row>
    <row r="436" spans="9:16" ht="18" x14ac:dyDescent="0.45">
      <c r="I436" s="67"/>
      <c r="K436" s="91"/>
      <c r="L436" s="70"/>
      <c r="N436" s="70"/>
      <c r="P436" t="str">
        <f t="shared" si="6"/>
        <v/>
      </c>
    </row>
    <row r="437" spans="9:16" ht="18" x14ac:dyDescent="0.45">
      <c r="I437" s="67"/>
      <c r="K437" s="91"/>
      <c r="L437" s="70"/>
      <c r="N437" s="70"/>
      <c r="P437" t="str">
        <f t="shared" si="6"/>
        <v/>
      </c>
    </row>
    <row r="438" spans="9:16" ht="18" x14ac:dyDescent="0.45">
      <c r="I438" s="67"/>
      <c r="K438" s="91"/>
      <c r="L438" s="70"/>
      <c r="N438" s="70"/>
      <c r="P438" t="str">
        <f t="shared" si="6"/>
        <v/>
      </c>
    </row>
    <row r="439" spans="9:16" ht="18" x14ac:dyDescent="0.45">
      <c r="I439" s="67"/>
      <c r="K439" s="91"/>
      <c r="L439" s="70"/>
      <c r="N439" s="70"/>
      <c r="P439" t="str">
        <f t="shared" si="6"/>
        <v/>
      </c>
    </row>
    <row r="440" spans="9:16" ht="18" x14ac:dyDescent="0.45">
      <c r="I440" s="67"/>
      <c r="K440" s="91"/>
      <c r="L440" s="70"/>
      <c r="N440" s="70"/>
      <c r="P440" t="str">
        <f t="shared" si="6"/>
        <v/>
      </c>
    </row>
    <row r="441" spans="9:16" ht="18" x14ac:dyDescent="0.45">
      <c r="I441" s="67"/>
      <c r="K441" s="91"/>
      <c r="L441" s="70"/>
      <c r="N441" s="70"/>
      <c r="P441" t="str">
        <f t="shared" si="6"/>
        <v/>
      </c>
    </row>
    <row r="442" spans="9:16" ht="18" x14ac:dyDescent="0.45">
      <c r="I442" s="67"/>
      <c r="K442" s="91"/>
      <c r="L442" s="70"/>
      <c r="N442" s="70"/>
      <c r="P442" t="str">
        <f t="shared" si="6"/>
        <v/>
      </c>
    </row>
    <row r="443" spans="9:16" ht="18" x14ac:dyDescent="0.45">
      <c r="I443" s="67"/>
      <c r="K443" s="91"/>
      <c r="L443" s="70"/>
      <c r="N443" s="70"/>
      <c r="P443" t="str">
        <f t="shared" si="6"/>
        <v/>
      </c>
    </row>
    <row r="444" spans="9:16" ht="18" x14ac:dyDescent="0.45">
      <c r="I444" s="67"/>
      <c r="K444" s="91"/>
      <c r="L444" s="70"/>
      <c r="N444" s="70"/>
      <c r="P444" t="str">
        <f t="shared" si="6"/>
        <v/>
      </c>
    </row>
    <row r="445" spans="9:16" ht="18" x14ac:dyDescent="0.45">
      <c r="I445" s="67"/>
      <c r="K445" s="91"/>
      <c r="L445" s="70"/>
      <c r="N445" s="70"/>
      <c r="P445" t="str">
        <f t="shared" si="6"/>
        <v/>
      </c>
    </row>
    <row r="446" spans="9:16" ht="18" x14ac:dyDescent="0.45">
      <c r="I446" s="67"/>
      <c r="K446" s="91"/>
      <c r="L446" s="70"/>
      <c r="N446" s="70"/>
      <c r="P446" t="str">
        <f t="shared" si="6"/>
        <v/>
      </c>
    </row>
    <row r="447" spans="9:16" ht="18" x14ac:dyDescent="0.45">
      <c r="I447" s="67"/>
      <c r="K447" s="91"/>
      <c r="L447" s="70"/>
      <c r="N447" s="70"/>
      <c r="P447" t="str">
        <f t="shared" si="6"/>
        <v/>
      </c>
    </row>
    <row r="448" spans="9:16" ht="18" x14ac:dyDescent="0.45">
      <c r="I448" s="67"/>
      <c r="K448" s="91"/>
      <c r="L448" s="70"/>
      <c r="N448" s="70"/>
      <c r="P448" t="str">
        <f t="shared" si="6"/>
        <v/>
      </c>
    </row>
    <row r="449" spans="9:16" ht="18" x14ac:dyDescent="0.45">
      <c r="I449" s="67"/>
      <c r="K449" s="91"/>
      <c r="L449" s="70"/>
      <c r="N449" s="70"/>
      <c r="P449" t="str">
        <f t="shared" si="6"/>
        <v/>
      </c>
    </row>
    <row r="450" spans="9:16" ht="18" x14ac:dyDescent="0.45">
      <c r="I450" s="67"/>
      <c r="K450" s="91"/>
      <c r="L450" s="70"/>
      <c r="N450" s="70"/>
      <c r="P450" t="str">
        <f t="shared" si="6"/>
        <v/>
      </c>
    </row>
    <row r="451" spans="9:16" ht="18" x14ac:dyDescent="0.45">
      <c r="I451" s="67"/>
      <c r="K451" s="91"/>
      <c r="L451" s="70"/>
      <c r="N451" s="70"/>
      <c r="P451" t="str">
        <f t="shared" si="6"/>
        <v/>
      </c>
    </row>
    <row r="452" spans="9:16" ht="18" x14ac:dyDescent="0.45">
      <c r="I452" s="67"/>
      <c r="K452" s="91"/>
      <c r="L452" s="70"/>
      <c r="N452" s="70"/>
      <c r="P452" t="str">
        <f t="shared" si="6"/>
        <v/>
      </c>
    </row>
    <row r="453" spans="9:16" ht="18" x14ac:dyDescent="0.45">
      <c r="I453" s="67"/>
      <c r="K453" s="91"/>
      <c r="L453" s="70"/>
      <c r="N453" s="70"/>
      <c r="P453" t="str">
        <f t="shared" si="6"/>
        <v/>
      </c>
    </row>
    <row r="454" spans="9:16" ht="18" x14ac:dyDescent="0.45">
      <c r="I454" s="67"/>
      <c r="K454" s="91"/>
      <c r="L454" s="70"/>
      <c r="N454" s="70"/>
      <c r="P454" t="str">
        <f t="shared" si="6"/>
        <v/>
      </c>
    </row>
    <row r="455" spans="9:16" ht="18" x14ac:dyDescent="0.45">
      <c r="I455" s="67"/>
      <c r="K455" s="91"/>
      <c r="L455" s="70"/>
      <c r="N455" s="70"/>
      <c r="P455" t="str">
        <f t="shared" ref="P455:P518" si="7">IF(I455="","",SUMIFS(OrderItems_Qty,OrderItems_Type,"PURCHASE",OrderItems_SKU,I455)-SUMIFS(OrderItems_Qty,OrderItems_Type,"SALE",OrderItems_SKU,I455))</f>
        <v/>
      </c>
    </row>
    <row r="456" spans="9:16" ht="18" x14ac:dyDescent="0.45">
      <c r="I456" s="67"/>
      <c r="K456" s="91"/>
      <c r="L456" s="70"/>
      <c r="N456" s="70"/>
      <c r="P456" t="str">
        <f t="shared" si="7"/>
        <v/>
      </c>
    </row>
    <row r="457" spans="9:16" ht="18" x14ac:dyDescent="0.45">
      <c r="I457" s="67"/>
      <c r="K457" s="91"/>
      <c r="L457" s="70"/>
      <c r="N457" s="70"/>
      <c r="P457" t="str">
        <f t="shared" si="7"/>
        <v/>
      </c>
    </row>
    <row r="458" spans="9:16" ht="18" x14ac:dyDescent="0.45">
      <c r="I458" s="67"/>
      <c r="K458" s="91"/>
      <c r="L458" s="70"/>
      <c r="N458" s="70"/>
      <c r="P458" t="str">
        <f t="shared" si="7"/>
        <v/>
      </c>
    </row>
    <row r="459" spans="9:16" ht="18" x14ac:dyDescent="0.45">
      <c r="I459" s="67"/>
      <c r="K459" s="91"/>
      <c r="L459" s="70"/>
      <c r="N459" s="70"/>
      <c r="P459" t="str">
        <f t="shared" si="7"/>
        <v/>
      </c>
    </row>
    <row r="460" spans="9:16" ht="18" x14ac:dyDescent="0.45">
      <c r="I460" s="67"/>
      <c r="K460" s="91"/>
      <c r="L460" s="70"/>
      <c r="N460" s="70"/>
      <c r="P460" t="str">
        <f t="shared" si="7"/>
        <v/>
      </c>
    </row>
    <row r="461" spans="9:16" ht="18" x14ac:dyDescent="0.45">
      <c r="I461" s="67"/>
      <c r="K461" s="91"/>
      <c r="L461" s="70"/>
      <c r="N461" s="70"/>
      <c r="P461" t="str">
        <f t="shared" si="7"/>
        <v/>
      </c>
    </row>
    <row r="462" spans="9:16" ht="18" x14ac:dyDescent="0.45">
      <c r="I462" s="67"/>
      <c r="K462" s="91"/>
      <c r="L462" s="70"/>
      <c r="N462" s="70"/>
      <c r="P462" t="str">
        <f t="shared" si="7"/>
        <v/>
      </c>
    </row>
    <row r="463" spans="9:16" ht="18" x14ac:dyDescent="0.45">
      <c r="I463" s="67"/>
      <c r="K463" s="91"/>
      <c r="L463" s="70"/>
      <c r="N463" s="70"/>
      <c r="P463" t="str">
        <f t="shared" si="7"/>
        <v/>
      </c>
    </row>
    <row r="464" spans="9:16" ht="18" x14ac:dyDescent="0.45">
      <c r="I464" s="67"/>
      <c r="K464" s="91"/>
      <c r="L464" s="70"/>
      <c r="N464" s="70"/>
      <c r="P464" t="str">
        <f t="shared" si="7"/>
        <v/>
      </c>
    </row>
    <row r="465" spans="9:16" ht="18" x14ac:dyDescent="0.45">
      <c r="I465" s="67"/>
      <c r="K465" s="91"/>
      <c r="L465" s="70"/>
      <c r="N465" s="70"/>
      <c r="P465" t="str">
        <f t="shared" si="7"/>
        <v/>
      </c>
    </row>
    <row r="466" spans="9:16" ht="18" x14ac:dyDescent="0.45">
      <c r="I466" s="67"/>
      <c r="K466" s="91"/>
      <c r="L466" s="70"/>
      <c r="N466" s="70"/>
      <c r="P466" t="str">
        <f t="shared" si="7"/>
        <v/>
      </c>
    </row>
    <row r="467" spans="9:16" ht="18" x14ac:dyDescent="0.45">
      <c r="I467" s="67"/>
      <c r="K467" s="91"/>
      <c r="L467" s="70"/>
      <c r="N467" s="70"/>
      <c r="P467" t="str">
        <f t="shared" si="7"/>
        <v/>
      </c>
    </row>
    <row r="468" spans="9:16" ht="18" x14ac:dyDescent="0.45">
      <c r="I468" s="67"/>
      <c r="K468" s="91"/>
      <c r="L468" s="70"/>
      <c r="N468" s="70"/>
      <c r="P468" t="str">
        <f t="shared" si="7"/>
        <v/>
      </c>
    </row>
    <row r="469" spans="9:16" ht="18" x14ac:dyDescent="0.45">
      <c r="I469" s="67"/>
      <c r="K469" s="91"/>
      <c r="L469" s="70"/>
      <c r="N469" s="70"/>
      <c r="P469" t="str">
        <f t="shared" si="7"/>
        <v/>
      </c>
    </row>
    <row r="470" spans="9:16" ht="18" x14ac:dyDescent="0.45">
      <c r="I470" s="67"/>
      <c r="K470" s="91"/>
      <c r="L470" s="70"/>
      <c r="N470" s="70"/>
      <c r="P470" t="str">
        <f t="shared" si="7"/>
        <v/>
      </c>
    </row>
    <row r="471" spans="9:16" ht="18" x14ac:dyDescent="0.45">
      <c r="I471" s="67"/>
      <c r="K471" s="91"/>
      <c r="L471" s="70"/>
      <c r="N471" s="70"/>
      <c r="P471" t="str">
        <f t="shared" si="7"/>
        <v/>
      </c>
    </row>
    <row r="472" spans="9:16" ht="18" x14ac:dyDescent="0.45">
      <c r="I472" s="67"/>
      <c r="K472" s="91"/>
      <c r="L472" s="70"/>
      <c r="N472" s="70"/>
      <c r="P472" t="str">
        <f t="shared" si="7"/>
        <v/>
      </c>
    </row>
    <row r="473" spans="9:16" ht="18" x14ac:dyDescent="0.45">
      <c r="I473" s="67"/>
      <c r="K473" s="91"/>
      <c r="L473" s="70"/>
      <c r="N473" s="70"/>
      <c r="P473" t="str">
        <f t="shared" si="7"/>
        <v/>
      </c>
    </row>
    <row r="474" spans="9:16" ht="18" x14ac:dyDescent="0.45">
      <c r="I474" s="67"/>
      <c r="K474" s="91"/>
      <c r="L474" s="70"/>
      <c r="N474" s="70"/>
      <c r="P474" t="str">
        <f t="shared" si="7"/>
        <v/>
      </c>
    </row>
    <row r="475" spans="9:16" ht="18" x14ac:dyDescent="0.45">
      <c r="I475" s="67"/>
      <c r="K475" s="91"/>
      <c r="L475" s="70"/>
      <c r="N475" s="70"/>
      <c r="P475" t="str">
        <f t="shared" si="7"/>
        <v/>
      </c>
    </row>
    <row r="476" spans="9:16" ht="18" x14ac:dyDescent="0.45">
      <c r="I476" s="67"/>
      <c r="K476" s="91"/>
      <c r="L476" s="70"/>
      <c r="N476" s="70"/>
      <c r="P476" t="str">
        <f t="shared" si="7"/>
        <v/>
      </c>
    </row>
    <row r="477" spans="9:16" ht="18" x14ac:dyDescent="0.45">
      <c r="I477" s="67"/>
      <c r="K477" s="91"/>
      <c r="L477" s="70"/>
      <c r="N477" s="70"/>
      <c r="P477" t="str">
        <f t="shared" si="7"/>
        <v/>
      </c>
    </row>
    <row r="478" spans="9:16" ht="18" x14ac:dyDescent="0.45">
      <c r="I478" s="67"/>
      <c r="K478" s="91"/>
      <c r="L478" s="70"/>
      <c r="N478" s="70"/>
      <c r="P478" t="str">
        <f t="shared" si="7"/>
        <v/>
      </c>
    </row>
    <row r="479" spans="9:16" ht="18" x14ac:dyDescent="0.45">
      <c r="I479" s="67"/>
      <c r="K479" s="91"/>
      <c r="L479" s="70"/>
      <c r="N479" s="70"/>
      <c r="P479" t="str">
        <f t="shared" si="7"/>
        <v/>
      </c>
    </row>
    <row r="480" spans="9:16" ht="18" x14ac:dyDescent="0.45">
      <c r="I480" s="67"/>
      <c r="K480" s="91"/>
      <c r="L480" s="70"/>
      <c r="N480" s="70"/>
      <c r="P480" t="str">
        <f t="shared" si="7"/>
        <v/>
      </c>
    </row>
    <row r="481" spans="9:16" ht="18" x14ac:dyDescent="0.45">
      <c r="I481" s="67"/>
      <c r="K481" s="91"/>
      <c r="L481" s="70"/>
      <c r="N481" s="70"/>
      <c r="P481" t="str">
        <f t="shared" si="7"/>
        <v/>
      </c>
    </row>
    <row r="482" spans="9:16" ht="18" x14ac:dyDescent="0.45">
      <c r="I482" s="67"/>
      <c r="K482" s="91"/>
      <c r="L482" s="70"/>
      <c r="N482" s="70"/>
      <c r="P482" t="str">
        <f t="shared" si="7"/>
        <v/>
      </c>
    </row>
    <row r="483" spans="9:16" ht="18" x14ac:dyDescent="0.45">
      <c r="I483" s="67"/>
      <c r="K483" s="91"/>
      <c r="L483" s="70"/>
      <c r="N483" s="70"/>
      <c r="P483" t="str">
        <f t="shared" si="7"/>
        <v/>
      </c>
    </row>
    <row r="484" spans="9:16" ht="18" x14ac:dyDescent="0.45">
      <c r="I484" s="67"/>
      <c r="K484" s="91"/>
      <c r="L484" s="70"/>
      <c r="N484" s="70"/>
      <c r="P484" t="str">
        <f t="shared" si="7"/>
        <v/>
      </c>
    </row>
    <row r="485" spans="9:16" ht="18" x14ac:dyDescent="0.45">
      <c r="I485" s="67"/>
      <c r="K485" s="91"/>
      <c r="L485" s="70"/>
      <c r="N485" s="70"/>
      <c r="P485" t="str">
        <f t="shared" si="7"/>
        <v/>
      </c>
    </row>
    <row r="486" spans="9:16" ht="18" x14ac:dyDescent="0.45">
      <c r="I486" s="67"/>
      <c r="K486" s="91"/>
      <c r="L486" s="70"/>
      <c r="N486" s="70"/>
      <c r="P486" t="str">
        <f t="shared" si="7"/>
        <v/>
      </c>
    </row>
    <row r="487" spans="9:16" ht="18" x14ac:dyDescent="0.45">
      <c r="I487" s="67"/>
      <c r="K487" s="91"/>
      <c r="L487" s="70"/>
      <c r="N487" s="70"/>
      <c r="P487" t="str">
        <f t="shared" si="7"/>
        <v/>
      </c>
    </row>
    <row r="488" spans="9:16" ht="18" x14ac:dyDescent="0.45">
      <c r="I488" s="67"/>
      <c r="K488" s="91"/>
      <c r="L488" s="70"/>
      <c r="N488" s="70"/>
      <c r="P488" t="str">
        <f t="shared" si="7"/>
        <v/>
      </c>
    </row>
    <row r="489" spans="9:16" ht="18" x14ac:dyDescent="0.45">
      <c r="I489" s="67"/>
      <c r="K489" s="91"/>
      <c r="L489" s="70"/>
      <c r="N489" s="70"/>
      <c r="P489" t="str">
        <f t="shared" si="7"/>
        <v/>
      </c>
    </row>
    <row r="490" spans="9:16" ht="18" x14ac:dyDescent="0.45">
      <c r="I490" s="67"/>
      <c r="K490" s="91"/>
      <c r="L490" s="70"/>
      <c r="N490" s="70"/>
      <c r="P490" t="str">
        <f t="shared" si="7"/>
        <v/>
      </c>
    </row>
    <row r="491" spans="9:16" ht="18" x14ac:dyDescent="0.45">
      <c r="I491" s="67"/>
      <c r="K491" s="91"/>
      <c r="L491" s="70"/>
      <c r="N491" s="70"/>
      <c r="P491" t="str">
        <f t="shared" si="7"/>
        <v/>
      </c>
    </row>
    <row r="492" spans="9:16" ht="18" x14ac:dyDescent="0.45">
      <c r="I492" s="67"/>
      <c r="K492" s="91"/>
      <c r="L492" s="70"/>
      <c r="N492" s="70"/>
      <c r="P492" t="str">
        <f t="shared" si="7"/>
        <v/>
      </c>
    </row>
    <row r="493" spans="9:16" ht="18" x14ac:dyDescent="0.45">
      <c r="I493" s="67"/>
      <c r="K493" s="91"/>
      <c r="L493" s="70"/>
      <c r="N493" s="70"/>
      <c r="P493" t="str">
        <f t="shared" si="7"/>
        <v/>
      </c>
    </row>
    <row r="494" spans="9:16" ht="18" x14ac:dyDescent="0.45">
      <c r="I494" s="67"/>
      <c r="K494" s="91"/>
      <c r="L494" s="70"/>
      <c r="N494" s="70"/>
      <c r="P494" t="str">
        <f t="shared" si="7"/>
        <v/>
      </c>
    </row>
    <row r="495" spans="9:16" ht="18" x14ac:dyDescent="0.45">
      <c r="I495" s="67"/>
      <c r="K495" s="91"/>
      <c r="L495" s="70"/>
      <c r="N495" s="70"/>
      <c r="P495" t="str">
        <f t="shared" si="7"/>
        <v/>
      </c>
    </row>
    <row r="496" spans="9:16" ht="18" x14ac:dyDescent="0.45">
      <c r="I496" s="67"/>
      <c r="K496" s="91"/>
      <c r="L496" s="70"/>
      <c r="N496" s="70"/>
      <c r="P496" t="str">
        <f t="shared" si="7"/>
        <v/>
      </c>
    </row>
    <row r="497" spans="9:16" ht="18" x14ac:dyDescent="0.45">
      <c r="I497" s="67"/>
      <c r="K497" s="91"/>
      <c r="L497" s="70"/>
      <c r="N497" s="70"/>
      <c r="P497" t="str">
        <f t="shared" si="7"/>
        <v/>
      </c>
    </row>
    <row r="498" spans="9:16" ht="18" x14ac:dyDescent="0.45">
      <c r="I498" s="67"/>
      <c r="K498" s="91"/>
      <c r="L498" s="70"/>
      <c r="N498" s="70"/>
      <c r="P498" t="str">
        <f t="shared" si="7"/>
        <v/>
      </c>
    </row>
    <row r="499" spans="9:16" ht="18" x14ac:dyDescent="0.45">
      <c r="I499" s="67"/>
      <c r="K499" s="91"/>
      <c r="L499" s="70"/>
      <c r="N499" s="70"/>
      <c r="P499" t="str">
        <f t="shared" si="7"/>
        <v/>
      </c>
    </row>
    <row r="500" spans="9:16" ht="18" x14ac:dyDescent="0.45">
      <c r="I500" s="67"/>
      <c r="K500" s="91"/>
      <c r="L500" s="70"/>
      <c r="N500" s="70"/>
      <c r="P500" t="str">
        <f t="shared" si="7"/>
        <v/>
      </c>
    </row>
    <row r="501" spans="9:16" ht="18" x14ac:dyDescent="0.45">
      <c r="I501" s="67"/>
      <c r="K501" s="91"/>
      <c r="L501" s="70"/>
      <c r="N501" s="70"/>
      <c r="P501" t="str">
        <f t="shared" si="7"/>
        <v/>
      </c>
    </row>
    <row r="502" spans="9:16" ht="18" x14ac:dyDescent="0.45">
      <c r="I502" s="67"/>
      <c r="K502" s="91"/>
      <c r="L502" s="70"/>
      <c r="N502" s="70"/>
      <c r="P502" t="str">
        <f t="shared" si="7"/>
        <v/>
      </c>
    </row>
    <row r="503" spans="9:16" ht="18" x14ac:dyDescent="0.45">
      <c r="I503" s="67"/>
      <c r="K503" s="91"/>
      <c r="L503" s="70"/>
      <c r="N503" s="70"/>
      <c r="P503" t="str">
        <f t="shared" si="7"/>
        <v/>
      </c>
    </row>
    <row r="504" spans="9:16" ht="18" x14ac:dyDescent="0.45">
      <c r="I504" s="67"/>
      <c r="K504" s="91"/>
      <c r="L504" s="70"/>
      <c r="N504" s="70"/>
      <c r="P504" t="str">
        <f t="shared" si="7"/>
        <v/>
      </c>
    </row>
    <row r="505" spans="9:16" ht="18" x14ac:dyDescent="0.45">
      <c r="I505" s="67"/>
      <c r="K505" s="91"/>
      <c r="L505" s="70"/>
      <c r="N505" s="70"/>
      <c r="P505" t="str">
        <f t="shared" si="7"/>
        <v/>
      </c>
    </row>
    <row r="506" spans="9:16" ht="18" x14ac:dyDescent="0.45">
      <c r="I506" s="67"/>
      <c r="K506" s="91"/>
      <c r="L506" s="70"/>
      <c r="N506" s="70"/>
      <c r="P506" t="str">
        <f t="shared" si="7"/>
        <v/>
      </c>
    </row>
    <row r="507" spans="9:16" ht="18" x14ac:dyDescent="0.45">
      <c r="I507" s="67"/>
      <c r="K507" s="91"/>
      <c r="L507" s="70"/>
      <c r="N507" s="70"/>
      <c r="P507" t="str">
        <f t="shared" si="7"/>
        <v/>
      </c>
    </row>
    <row r="508" spans="9:16" ht="18" x14ac:dyDescent="0.45">
      <c r="I508" s="67"/>
      <c r="K508" s="91"/>
      <c r="L508" s="70"/>
      <c r="N508" s="70"/>
      <c r="P508" t="str">
        <f t="shared" si="7"/>
        <v/>
      </c>
    </row>
    <row r="509" spans="9:16" ht="18" x14ac:dyDescent="0.45">
      <c r="I509" s="67"/>
      <c r="K509" s="91"/>
      <c r="L509" s="70"/>
      <c r="N509" s="70"/>
      <c r="P509" t="str">
        <f t="shared" si="7"/>
        <v/>
      </c>
    </row>
    <row r="510" spans="9:16" ht="18" x14ac:dyDescent="0.45">
      <c r="I510" s="67"/>
      <c r="K510" s="91"/>
      <c r="L510" s="70"/>
      <c r="N510" s="70"/>
      <c r="P510" t="str">
        <f t="shared" si="7"/>
        <v/>
      </c>
    </row>
    <row r="511" spans="9:16" ht="18" x14ac:dyDescent="0.45">
      <c r="I511" s="67"/>
      <c r="K511" s="91"/>
      <c r="L511" s="70"/>
      <c r="N511" s="70"/>
      <c r="P511" t="str">
        <f t="shared" si="7"/>
        <v/>
      </c>
    </row>
    <row r="512" spans="9:16" ht="18" x14ac:dyDescent="0.45">
      <c r="I512" s="67"/>
      <c r="K512" s="91"/>
      <c r="L512" s="70"/>
      <c r="N512" s="70"/>
      <c r="P512" t="str">
        <f t="shared" si="7"/>
        <v/>
      </c>
    </row>
    <row r="513" spans="9:16" ht="18" x14ac:dyDescent="0.45">
      <c r="I513" s="67"/>
      <c r="K513" s="91"/>
      <c r="L513" s="70"/>
      <c r="N513" s="70"/>
      <c r="P513" t="str">
        <f t="shared" si="7"/>
        <v/>
      </c>
    </row>
    <row r="514" spans="9:16" ht="18" x14ac:dyDescent="0.45">
      <c r="I514" s="67"/>
      <c r="K514" s="91"/>
      <c r="L514" s="70"/>
      <c r="N514" s="70"/>
      <c r="P514" t="str">
        <f t="shared" si="7"/>
        <v/>
      </c>
    </row>
    <row r="515" spans="9:16" ht="18" x14ac:dyDescent="0.45">
      <c r="I515" s="67"/>
      <c r="K515" s="91"/>
      <c r="L515" s="70"/>
      <c r="N515" s="70"/>
      <c r="P515" t="str">
        <f t="shared" si="7"/>
        <v/>
      </c>
    </row>
    <row r="516" spans="9:16" ht="18" x14ac:dyDescent="0.45">
      <c r="I516" s="67"/>
      <c r="K516" s="91"/>
      <c r="L516" s="70"/>
      <c r="N516" s="70"/>
      <c r="P516" t="str">
        <f t="shared" si="7"/>
        <v/>
      </c>
    </row>
    <row r="517" spans="9:16" ht="18" x14ac:dyDescent="0.45">
      <c r="I517" s="67"/>
      <c r="K517" s="91"/>
      <c r="L517" s="70"/>
      <c r="N517" s="70"/>
      <c r="P517" t="str">
        <f t="shared" si="7"/>
        <v/>
      </c>
    </row>
    <row r="518" spans="9:16" ht="18" x14ac:dyDescent="0.45">
      <c r="I518" s="67"/>
      <c r="K518" s="91"/>
      <c r="L518" s="70"/>
      <c r="N518" s="70"/>
      <c r="P518" t="str">
        <f t="shared" si="7"/>
        <v/>
      </c>
    </row>
    <row r="519" spans="9:16" ht="18" x14ac:dyDescent="0.45">
      <c r="I519" s="67"/>
      <c r="K519" s="91"/>
      <c r="L519" s="70"/>
      <c r="N519" s="70"/>
      <c r="P519" t="str">
        <f t="shared" ref="P519:P582" si="8">IF(I519="","",SUMIFS(OrderItems_Qty,OrderItems_Type,"PURCHASE",OrderItems_SKU,I519)-SUMIFS(OrderItems_Qty,OrderItems_Type,"SALE",OrderItems_SKU,I519))</f>
        <v/>
      </c>
    </row>
    <row r="520" spans="9:16" ht="18" x14ac:dyDescent="0.45">
      <c r="I520" s="67"/>
      <c r="K520" s="91"/>
      <c r="L520" s="70"/>
      <c r="N520" s="70"/>
      <c r="P520" t="str">
        <f t="shared" si="8"/>
        <v/>
      </c>
    </row>
    <row r="521" spans="9:16" ht="18" x14ac:dyDescent="0.45">
      <c r="I521" s="67"/>
      <c r="K521" s="91"/>
      <c r="L521" s="70"/>
      <c r="N521" s="70"/>
      <c r="P521" t="str">
        <f t="shared" si="8"/>
        <v/>
      </c>
    </row>
    <row r="522" spans="9:16" ht="18" x14ac:dyDescent="0.45">
      <c r="I522" s="67"/>
      <c r="K522" s="91"/>
      <c r="L522" s="70"/>
      <c r="N522" s="70"/>
      <c r="P522" t="str">
        <f t="shared" si="8"/>
        <v/>
      </c>
    </row>
    <row r="523" spans="9:16" ht="18" x14ac:dyDescent="0.45">
      <c r="I523" s="67"/>
      <c r="K523" s="91"/>
      <c r="L523" s="70"/>
      <c r="N523" s="70"/>
      <c r="P523" t="str">
        <f t="shared" si="8"/>
        <v/>
      </c>
    </row>
    <row r="524" spans="9:16" ht="18" x14ac:dyDescent="0.45">
      <c r="I524" s="67"/>
      <c r="K524" s="91"/>
      <c r="L524" s="70"/>
      <c r="N524" s="70"/>
      <c r="P524" t="str">
        <f t="shared" si="8"/>
        <v/>
      </c>
    </row>
    <row r="525" spans="9:16" ht="18" x14ac:dyDescent="0.45">
      <c r="I525" s="67"/>
      <c r="K525" s="91"/>
      <c r="L525" s="70"/>
      <c r="N525" s="70"/>
      <c r="P525" t="str">
        <f t="shared" si="8"/>
        <v/>
      </c>
    </row>
    <row r="526" spans="9:16" ht="18" x14ac:dyDescent="0.45">
      <c r="I526" s="67"/>
      <c r="K526" s="91"/>
      <c r="L526" s="70"/>
      <c r="N526" s="70"/>
      <c r="P526" t="str">
        <f t="shared" si="8"/>
        <v/>
      </c>
    </row>
    <row r="527" spans="9:16" ht="18" x14ac:dyDescent="0.45">
      <c r="I527" s="67"/>
      <c r="K527" s="91"/>
      <c r="L527" s="70"/>
      <c r="N527" s="70"/>
      <c r="P527" t="str">
        <f t="shared" si="8"/>
        <v/>
      </c>
    </row>
    <row r="528" spans="9:16" ht="18" x14ac:dyDescent="0.45">
      <c r="I528" s="67"/>
      <c r="K528" s="91"/>
      <c r="L528" s="70"/>
      <c r="N528" s="70"/>
      <c r="P528" t="str">
        <f t="shared" si="8"/>
        <v/>
      </c>
    </row>
    <row r="529" spans="9:16" ht="18" x14ac:dyDescent="0.45">
      <c r="I529" s="67"/>
      <c r="K529" s="91"/>
      <c r="L529" s="70"/>
      <c r="N529" s="70"/>
      <c r="P529" t="str">
        <f t="shared" si="8"/>
        <v/>
      </c>
    </row>
    <row r="530" spans="9:16" ht="18" x14ac:dyDescent="0.45">
      <c r="I530" s="67"/>
      <c r="K530" s="91"/>
      <c r="L530" s="70"/>
      <c r="N530" s="70"/>
      <c r="P530" t="str">
        <f t="shared" si="8"/>
        <v/>
      </c>
    </row>
    <row r="531" spans="9:16" ht="18" x14ac:dyDescent="0.45">
      <c r="I531" s="67"/>
      <c r="K531" s="91"/>
      <c r="L531" s="70"/>
      <c r="N531" s="70"/>
      <c r="P531" t="str">
        <f t="shared" si="8"/>
        <v/>
      </c>
    </row>
    <row r="532" spans="9:16" ht="18" x14ac:dyDescent="0.45">
      <c r="I532" s="67"/>
      <c r="K532" s="91"/>
      <c r="L532" s="70"/>
      <c r="N532" s="70"/>
      <c r="P532" t="str">
        <f t="shared" si="8"/>
        <v/>
      </c>
    </row>
    <row r="533" spans="9:16" ht="18" x14ac:dyDescent="0.45">
      <c r="I533" s="67"/>
      <c r="K533" s="91"/>
      <c r="L533" s="70"/>
      <c r="N533" s="70"/>
      <c r="P533" t="str">
        <f t="shared" si="8"/>
        <v/>
      </c>
    </row>
    <row r="534" spans="9:16" ht="18" x14ac:dyDescent="0.45">
      <c r="I534" s="67"/>
      <c r="K534" s="91"/>
      <c r="L534" s="70"/>
      <c r="N534" s="70"/>
      <c r="P534" t="str">
        <f t="shared" si="8"/>
        <v/>
      </c>
    </row>
    <row r="535" spans="9:16" ht="18" x14ac:dyDescent="0.45">
      <c r="I535" s="67"/>
      <c r="K535" s="91"/>
      <c r="L535" s="70"/>
      <c r="N535" s="70"/>
      <c r="P535" t="str">
        <f t="shared" si="8"/>
        <v/>
      </c>
    </row>
    <row r="536" spans="9:16" ht="18" x14ac:dyDescent="0.45">
      <c r="I536" s="67"/>
      <c r="K536" s="91"/>
      <c r="L536" s="70"/>
      <c r="N536" s="70"/>
      <c r="P536" t="str">
        <f t="shared" si="8"/>
        <v/>
      </c>
    </row>
    <row r="537" spans="9:16" ht="18" x14ac:dyDescent="0.45">
      <c r="I537" s="67"/>
      <c r="K537" s="91"/>
      <c r="L537" s="70"/>
      <c r="N537" s="70"/>
      <c r="P537" t="str">
        <f t="shared" si="8"/>
        <v/>
      </c>
    </row>
    <row r="538" spans="9:16" ht="18" x14ac:dyDescent="0.45">
      <c r="I538" s="67"/>
      <c r="K538" s="91"/>
      <c r="L538" s="70"/>
      <c r="N538" s="70"/>
      <c r="P538" t="str">
        <f t="shared" si="8"/>
        <v/>
      </c>
    </row>
    <row r="539" spans="9:16" ht="18" x14ac:dyDescent="0.45">
      <c r="I539" s="67"/>
      <c r="K539" s="91"/>
      <c r="L539" s="70"/>
      <c r="N539" s="70"/>
      <c r="P539" t="str">
        <f t="shared" si="8"/>
        <v/>
      </c>
    </row>
    <row r="540" spans="9:16" ht="18" x14ac:dyDescent="0.45">
      <c r="I540" s="67"/>
      <c r="K540" s="91"/>
      <c r="L540" s="70"/>
      <c r="N540" s="70"/>
      <c r="P540" t="str">
        <f t="shared" si="8"/>
        <v/>
      </c>
    </row>
    <row r="541" spans="9:16" ht="18" x14ac:dyDescent="0.45">
      <c r="I541" s="67"/>
      <c r="K541" s="91"/>
      <c r="L541" s="70"/>
      <c r="N541" s="70"/>
      <c r="P541" t="str">
        <f t="shared" si="8"/>
        <v/>
      </c>
    </row>
    <row r="542" spans="9:16" ht="18" x14ac:dyDescent="0.45">
      <c r="I542" s="67"/>
      <c r="K542" s="91"/>
      <c r="L542" s="70"/>
      <c r="N542" s="70"/>
      <c r="P542" t="str">
        <f t="shared" si="8"/>
        <v/>
      </c>
    </row>
    <row r="543" spans="9:16" ht="18" x14ac:dyDescent="0.45">
      <c r="I543" s="67"/>
      <c r="K543" s="91"/>
      <c r="L543" s="70"/>
      <c r="N543" s="70"/>
      <c r="P543" t="str">
        <f t="shared" si="8"/>
        <v/>
      </c>
    </row>
    <row r="544" spans="9:16" ht="18" x14ac:dyDescent="0.45">
      <c r="I544" s="67"/>
      <c r="K544" s="91"/>
      <c r="L544" s="70"/>
      <c r="N544" s="70"/>
      <c r="P544" t="str">
        <f t="shared" si="8"/>
        <v/>
      </c>
    </row>
    <row r="545" spans="9:16" ht="18" x14ac:dyDescent="0.45">
      <c r="I545" s="67"/>
      <c r="K545" s="91"/>
      <c r="L545" s="70"/>
      <c r="N545" s="70"/>
      <c r="P545" t="str">
        <f t="shared" si="8"/>
        <v/>
      </c>
    </row>
    <row r="546" spans="9:16" ht="18" x14ac:dyDescent="0.45">
      <c r="I546" s="67"/>
      <c r="K546" s="91"/>
      <c r="L546" s="70"/>
      <c r="N546" s="70"/>
      <c r="P546" t="str">
        <f t="shared" si="8"/>
        <v/>
      </c>
    </row>
    <row r="547" spans="9:16" ht="18" x14ac:dyDescent="0.45">
      <c r="I547" s="67"/>
      <c r="K547" s="91"/>
      <c r="L547" s="70"/>
      <c r="N547" s="70"/>
      <c r="P547" t="str">
        <f t="shared" si="8"/>
        <v/>
      </c>
    </row>
    <row r="548" spans="9:16" ht="18" x14ac:dyDescent="0.45">
      <c r="I548" s="67"/>
      <c r="K548" s="91"/>
      <c r="L548" s="70"/>
      <c r="N548" s="70"/>
      <c r="P548" t="str">
        <f t="shared" si="8"/>
        <v/>
      </c>
    </row>
    <row r="549" spans="9:16" ht="18" x14ac:dyDescent="0.45">
      <c r="I549" s="67"/>
      <c r="K549" s="91"/>
      <c r="L549" s="70"/>
      <c r="N549" s="70"/>
      <c r="P549" t="str">
        <f t="shared" si="8"/>
        <v/>
      </c>
    </row>
    <row r="550" spans="9:16" ht="18" x14ac:dyDescent="0.45">
      <c r="I550" s="67"/>
      <c r="K550" s="91"/>
      <c r="L550" s="70"/>
      <c r="N550" s="70"/>
      <c r="P550" t="str">
        <f t="shared" si="8"/>
        <v/>
      </c>
    </row>
    <row r="551" spans="9:16" ht="18" x14ac:dyDescent="0.45">
      <c r="I551" s="67"/>
      <c r="K551" s="91"/>
      <c r="L551" s="70"/>
      <c r="N551" s="70"/>
      <c r="P551" t="str">
        <f t="shared" si="8"/>
        <v/>
      </c>
    </row>
    <row r="552" spans="9:16" ht="18" x14ac:dyDescent="0.45">
      <c r="I552" s="67"/>
      <c r="K552" s="91"/>
      <c r="L552" s="70"/>
      <c r="N552" s="70"/>
      <c r="P552" t="str">
        <f t="shared" si="8"/>
        <v/>
      </c>
    </row>
    <row r="553" spans="9:16" ht="18" x14ac:dyDescent="0.45">
      <c r="I553" s="67"/>
      <c r="K553" s="91"/>
      <c r="L553" s="70"/>
      <c r="N553" s="70"/>
      <c r="P553" t="str">
        <f t="shared" si="8"/>
        <v/>
      </c>
    </row>
    <row r="554" spans="9:16" ht="18" x14ac:dyDescent="0.45">
      <c r="I554" s="67"/>
      <c r="K554" s="91"/>
      <c r="L554" s="70"/>
      <c r="N554" s="70"/>
      <c r="P554" t="str">
        <f t="shared" si="8"/>
        <v/>
      </c>
    </row>
    <row r="555" spans="9:16" ht="18" x14ac:dyDescent="0.45">
      <c r="I555" s="67"/>
      <c r="K555" s="91"/>
      <c r="L555" s="70"/>
      <c r="N555" s="70"/>
      <c r="P555" t="str">
        <f t="shared" si="8"/>
        <v/>
      </c>
    </row>
    <row r="556" spans="9:16" ht="18" x14ac:dyDescent="0.45">
      <c r="I556" s="67"/>
      <c r="K556" s="91"/>
      <c r="L556" s="70"/>
      <c r="N556" s="70"/>
      <c r="P556" t="str">
        <f t="shared" si="8"/>
        <v/>
      </c>
    </row>
    <row r="557" spans="9:16" ht="18" x14ac:dyDescent="0.45">
      <c r="I557" s="67"/>
      <c r="K557" s="91"/>
      <c r="L557" s="70"/>
      <c r="N557" s="70"/>
      <c r="P557" t="str">
        <f t="shared" si="8"/>
        <v/>
      </c>
    </row>
    <row r="558" spans="9:16" ht="18" x14ac:dyDescent="0.45">
      <c r="I558" s="67"/>
      <c r="K558" s="91"/>
      <c r="L558" s="70"/>
      <c r="N558" s="70"/>
      <c r="P558" t="str">
        <f t="shared" si="8"/>
        <v/>
      </c>
    </row>
    <row r="559" spans="9:16" ht="18" x14ac:dyDescent="0.45">
      <c r="I559" s="67"/>
      <c r="K559" s="91"/>
      <c r="L559" s="70"/>
      <c r="N559" s="70"/>
      <c r="P559" t="str">
        <f t="shared" si="8"/>
        <v/>
      </c>
    </row>
    <row r="560" spans="9:16" ht="18" x14ac:dyDescent="0.45">
      <c r="I560" s="67"/>
      <c r="K560" s="91"/>
      <c r="L560" s="70"/>
      <c r="N560" s="70"/>
      <c r="P560" t="str">
        <f t="shared" si="8"/>
        <v/>
      </c>
    </row>
    <row r="561" spans="9:16" ht="18" x14ac:dyDescent="0.45">
      <c r="I561" s="67"/>
      <c r="K561" s="91"/>
      <c r="L561" s="70"/>
      <c r="N561" s="70"/>
      <c r="P561" t="str">
        <f t="shared" si="8"/>
        <v/>
      </c>
    </row>
    <row r="562" spans="9:16" ht="18" x14ac:dyDescent="0.45">
      <c r="I562" s="67"/>
      <c r="K562" s="91"/>
      <c r="L562" s="70"/>
      <c r="N562" s="70"/>
      <c r="P562" t="str">
        <f t="shared" si="8"/>
        <v/>
      </c>
    </row>
    <row r="563" spans="9:16" ht="18" x14ac:dyDescent="0.45">
      <c r="I563" s="67"/>
      <c r="K563" s="91"/>
      <c r="L563" s="70"/>
      <c r="N563" s="70"/>
      <c r="P563" t="str">
        <f t="shared" si="8"/>
        <v/>
      </c>
    </row>
    <row r="564" spans="9:16" ht="18" x14ac:dyDescent="0.45">
      <c r="I564" s="67"/>
      <c r="K564" s="91"/>
      <c r="L564" s="70"/>
      <c r="N564" s="70"/>
      <c r="P564" t="str">
        <f t="shared" si="8"/>
        <v/>
      </c>
    </row>
    <row r="565" spans="9:16" ht="18" x14ac:dyDescent="0.45">
      <c r="I565" s="67"/>
      <c r="K565" s="91"/>
      <c r="L565" s="70"/>
      <c r="N565" s="70"/>
      <c r="P565" t="str">
        <f t="shared" si="8"/>
        <v/>
      </c>
    </row>
    <row r="566" spans="9:16" ht="18" x14ac:dyDescent="0.45">
      <c r="I566" s="67"/>
      <c r="K566" s="91"/>
      <c r="L566" s="70"/>
      <c r="N566" s="70"/>
      <c r="P566" t="str">
        <f t="shared" si="8"/>
        <v/>
      </c>
    </row>
    <row r="567" spans="9:16" ht="18" x14ac:dyDescent="0.45">
      <c r="I567" s="67"/>
      <c r="K567" s="91"/>
      <c r="L567" s="70"/>
      <c r="N567" s="70"/>
      <c r="P567" t="str">
        <f t="shared" si="8"/>
        <v/>
      </c>
    </row>
    <row r="568" spans="9:16" ht="18" x14ac:dyDescent="0.45">
      <c r="I568" s="67"/>
      <c r="K568" s="91"/>
      <c r="L568" s="70"/>
      <c r="N568" s="70"/>
      <c r="P568" t="str">
        <f t="shared" si="8"/>
        <v/>
      </c>
    </row>
    <row r="569" spans="9:16" ht="18" x14ac:dyDescent="0.45">
      <c r="I569" s="67"/>
      <c r="K569" s="91"/>
      <c r="L569" s="70"/>
      <c r="N569" s="70"/>
      <c r="P569" t="str">
        <f t="shared" si="8"/>
        <v/>
      </c>
    </row>
    <row r="570" spans="9:16" ht="18" x14ac:dyDescent="0.45">
      <c r="I570" s="67"/>
      <c r="K570" s="91"/>
      <c r="L570" s="70"/>
      <c r="N570" s="70"/>
      <c r="P570" t="str">
        <f t="shared" si="8"/>
        <v/>
      </c>
    </row>
    <row r="571" spans="9:16" ht="18" x14ac:dyDescent="0.45">
      <c r="I571" s="67"/>
      <c r="K571" s="91"/>
      <c r="L571" s="70"/>
      <c r="N571" s="70"/>
      <c r="P571" t="str">
        <f t="shared" si="8"/>
        <v/>
      </c>
    </row>
    <row r="572" spans="9:16" ht="18" x14ac:dyDescent="0.45">
      <c r="I572" s="67"/>
      <c r="K572" s="91"/>
      <c r="L572" s="70"/>
      <c r="N572" s="70"/>
      <c r="P572" t="str">
        <f t="shared" si="8"/>
        <v/>
      </c>
    </row>
    <row r="573" spans="9:16" ht="18" x14ac:dyDescent="0.45">
      <c r="I573" s="67"/>
      <c r="K573" s="91"/>
      <c r="L573" s="70"/>
      <c r="N573" s="70"/>
      <c r="P573" t="str">
        <f t="shared" si="8"/>
        <v/>
      </c>
    </row>
    <row r="574" spans="9:16" ht="18" x14ac:dyDescent="0.45">
      <c r="I574" s="67"/>
      <c r="K574" s="91"/>
      <c r="L574" s="70"/>
      <c r="N574" s="70"/>
      <c r="P574" t="str">
        <f t="shared" si="8"/>
        <v/>
      </c>
    </row>
    <row r="575" spans="9:16" ht="18" x14ac:dyDescent="0.45">
      <c r="I575" s="67"/>
      <c r="K575" s="91"/>
      <c r="L575" s="70"/>
      <c r="N575" s="70"/>
      <c r="P575" t="str">
        <f t="shared" si="8"/>
        <v/>
      </c>
    </row>
    <row r="576" spans="9:16" ht="18" x14ac:dyDescent="0.45">
      <c r="I576" s="67"/>
      <c r="K576" s="91"/>
      <c r="L576" s="70"/>
      <c r="N576" s="70"/>
      <c r="P576" t="str">
        <f t="shared" si="8"/>
        <v/>
      </c>
    </row>
    <row r="577" spans="9:16" ht="18" x14ac:dyDescent="0.45">
      <c r="I577" s="67"/>
      <c r="K577" s="91"/>
      <c r="L577" s="70"/>
      <c r="N577" s="70"/>
      <c r="P577" t="str">
        <f t="shared" si="8"/>
        <v/>
      </c>
    </row>
    <row r="578" spans="9:16" ht="18" x14ac:dyDescent="0.45">
      <c r="I578" s="67"/>
      <c r="K578" s="91"/>
      <c r="L578" s="70"/>
      <c r="N578" s="70"/>
      <c r="P578" t="str">
        <f t="shared" si="8"/>
        <v/>
      </c>
    </row>
    <row r="579" spans="9:16" ht="18" x14ac:dyDescent="0.45">
      <c r="I579" s="67"/>
      <c r="K579" s="91"/>
      <c r="L579" s="70"/>
      <c r="N579" s="70"/>
      <c r="P579" t="str">
        <f t="shared" si="8"/>
        <v/>
      </c>
    </row>
    <row r="580" spans="9:16" ht="18" x14ac:dyDescent="0.45">
      <c r="I580" s="67"/>
      <c r="K580" s="91"/>
      <c r="L580" s="70"/>
      <c r="N580" s="70"/>
      <c r="P580" t="str">
        <f t="shared" si="8"/>
        <v/>
      </c>
    </row>
    <row r="581" spans="9:16" ht="18" x14ac:dyDescent="0.45">
      <c r="I581" s="67"/>
      <c r="K581" s="91"/>
      <c r="L581" s="70"/>
      <c r="N581" s="70"/>
      <c r="P581" t="str">
        <f t="shared" si="8"/>
        <v/>
      </c>
    </row>
    <row r="582" spans="9:16" ht="18" x14ac:dyDescent="0.45">
      <c r="I582" s="67"/>
      <c r="K582" s="91"/>
      <c r="L582" s="70"/>
      <c r="N582" s="70"/>
      <c r="P582" t="str">
        <f t="shared" si="8"/>
        <v/>
      </c>
    </row>
    <row r="583" spans="9:16" ht="18" x14ac:dyDescent="0.45">
      <c r="I583" s="67"/>
      <c r="K583" s="91"/>
      <c r="L583" s="70"/>
      <c r="N583" s="70"/>
      <c r="P583" t="str">
        <f t="shared" ref="P583:P646" si="9">IF(I583="","",SUMIFS(OrderItems_Qty,OrderItems_Type,"PURCHASE",OrderItems_SKU,I583)-SUMIFS(OrderItems_Qty,OrderItems_Type,"SALE",OrderItems_SKU,I583))</f>
        <v/>
      </c>
    </row>
    <row r="584" spans="9:16" ht="18" x14ac:dyDescent="0.45">
      <c r="I584" s="67"/>
      <c r="K584" s="91"/>
      <c r="L584" s="70"/>
      <c r="N584" s="70"/>
      <c r="P584" t="str">
        <f t="shared" si="9"/>
        <v/>
      </c>
    </row>
    <row r="585" spans="9:16" ht="18" x14ac:dyDescent="0.45">
      <c r="I585" s="67"/>
      <c r="K585" s="91"/>
      <c r="L585" s="70"/>
      <c r="N585" s="70"/>
      <c r="P585" t="str">
        <f t="shared" si="9"/>
        <v/>
      </c>
    </row>
    <row r="586" spans="9:16" ht="18" x14ac:dyDescent="0.45">
      <c r="I586" s="67"/>
      <c r="K586" s="91"/>
      <c r="L586" s="70"/>
      <c r="N586" s="70"/>
      <c r="P586" t="str">
        <f t="shared" si="9"/>
        <v/>
      </c>
    </row>
    <row r="587" spans="9:16" ht="18" x14ac:dyDescent="0.45">
      <c r="I587" s="67"/>
      <c r="K587" s="91"/>
      <c r="L587" s="70"/>
      <c r="N587" s="70"/>
      <c r="P587" t="str">
        <f t="shared" si="9"/>
        <v/>
      </c>
    </row>
    <row r="588" spans="9:16" ht="18" x14ac:dyDescent="0.45">
      <c r="I588" s="67"/>
      <c r="K588" s="91"/>
      <c r="L588" s="70"/>
      <c r="N588" s="70"/>
      <c r="P588" t="str">
        <f t="shared" si="9"/>
        <v/>
      </c>
    </row>
    <row r="589" spans="9:16" ht="18" x14ac:dyDescent="0.45">
      <c r="I589" s="67"/>
      <c r="K589" s="91"/>
      <c r="L589" s="70"/>
      <c r="N589" s="70"/>
      <c r="P589" t="str">
        <f t="shared" si="9"/>
        <v/>
      </c>
    </row>
    <row r="590" spans="9:16" ht="18" x14ac:dyDescent="0.45">
      <c r="I590" s="67"/>
      <c r="K590" s="91"/>
      <c r="L590" s="70"/>
      <c r="N590" s="70"/>
      <c r="P590" t="str">
        <f t="shared" si="9"/>
        <v/>
      </c>
    </row>
    <row r="591" spans="9:16" ht="18" x14ac:dyDescent="0.45">
      <c r="I591" s="67"/>
      <c r="K591" s="91"/>
      <c r="L591" s="70"/>
      <c r="N591" s="70"/>
      <c r="P591" t="str">
        <f t="shared" si="9"/>
        <v/>
      </c>
    </row>
    <row r="592" spans="9:16" ht="18" x14ac:dyDescent="0.45">
      <c r="I592" s="67"/>
      <c r="K592" s="91"/>
      <c r="L592" s="70"/>
      <c r="N592" s="70"/>
      <c r="P592" t="str">
        <f t="shared" si="9"/>
        <v/>
      </c>
    </row>
    <row r="593" spans="9:16" ht="18" x14ac:dyDescent="0.45">
      <c r="I593" s="67"/>
      <c r="K593" s="91"/>
      <c r="L593" s="70"/>
      <c r="N593" s="70"/>
      <c r="P593" t="str">
        <f t="shared" si="9"/>
        <v/>
      </c>
    </row>
    <row r="594" spans="9:16" ht="18" x14ac:dyDescent="0.45">
      <c r="I594" s="67"/>
      <c r="K594" s="91"/>
      <c r="L594" s="70"/>
      <c r="N594" s="70"/>
      <c r="P594" t="str">
        <f t="shared" si="9"/>
        <v/>
      </c>
    </row>
    <row r="595" spans="9:16" ht="18" x14ac:dyDescent="0.45">
      <c r="I595" s="67"/>
      <c r="K595" s="91"/>
      <c r="L595" s="70"/>
      <c r="N595" s="70"/>
      <c r="P595" t="str">
        <f t="shared" si="9"/>
        <v/>
      </c>
    </row>
    <row r="596" spans="9:16" ht="18" x14ac:dyDescent="0.45">
      <c r="I596" s="67"/>
      <c r="K596" s="91"/>
      <c r="L596" s="70"/>
      <c r="N596" s="70"/>
      <c r="P596" t="str">
        <f t="shared" si="9"/>
        <v/>
      </c>
    </row>
    <row r="597" spans="9:16" ht="18" x14ac:dyDescent="0.45">
      <c r="I597" s="67"/>
      <c r="K597" s="91"/>
      <c r="L597" s="70"/>
      <c r="N597" s="70"/>
      <c r="P597" t="str">
        <f t="shared" si="9"/>
        <v/>
      </c>
    </row>
    <row r="598" spans="9:16" ht="18" x14ac:dyDescent="0.45">
      <c r="I598" s="67"/>
      <c r="K598" s="91"/>
      <c r="L598" s="70"/>
      <c r="N598" s="70"/>
      <c r="P598" t="str">
        <f t="shared" si="9"/>
        <v/>
      </c>
    </row>
    <row r="599" spans="9:16" ht="18" x14ac:dyDescent="0.45">
      <c r="I599" s="67"/>
      <c r="K599" s="91"/>
      <c r="L599" s="70"/>
      <c r="N599" s="70"/>
      <c r="P599" t="str">
        <f t="shared" si="9"/>
        <v/>
      </c>
    </row>
    <row r="600" spans="9:16" ht="18" x14ac:dyDescent="0.45">
      <c r="I600" s="67"/>
      <c r="K600" s="91"/>
      <c r="L600" s="70"/>
      <c r="N600" s="70"/>
      <c r="P600" t="str">
        <f t="shared" si="9"/>
        <v/>
      </c>
    </row>
    <row r="601" spans="9:16" ht="18" x14ac:dyDescent="0.45">
      <c r="I601" s="67"/>
      <c r="K601" s="91"/>
      <c r="L601" s="70"/>
      <c r="N601" s="70"/>
      <c r="P601" t="str">
        <f t="shared" si="9"/>
        <v/>
      </c>
    </row>
    <row r="602" spans="9:16" ht="18" x14ac:dyDescent="0.45">
      <c r="I602" s="67"/>
      <c r="K602" s="91"/>
      <c r="L602" s="70"/>
      <c r="N602" s="70"/>
      <c r="P602" t="str">
        <f t="shared" si="9"/>
        <v/>
      </c>
    </row>
    <row r="603" spans="9:16" ht="18" x14ac:dyDescent="0.45">
      <c r="I603" s="67"/>
      <c r="K603" s="91"/>
      <c r="L603" s="70"/>
      <c r="N603" s="70"/>
      <c r="P603" t="str">
        <f t="shared" si="9"/>
        <v/>
      </c>
    </row>
    <row r="604" spans="9:16" ht="18" x14ac:dyDescent="0.45">
      <c r="I604" s="67"/>
      <c r="K604" s="91"/>
      <c r="L604" s="70"/>
      <c r="N604" s="70"/>
      <c r="P604" t="str">
        <f t="shared" si="9"/>
        <v/>
      </c>
    </row>
    <row r="605" spans="9:16" ht="18" x14ac:dyDescent="0.45">
      <c r="I605" s="67"/>
      <c r="K605" s="91"/>
      <c r="L605" s="70"/>
      <c r="N605" s="70"/>
      <c r="P605" t="str">
        <f t="shared" si="9"/>
        <v/>
      </c>
    </row>
    <row r="606" spans="9:16" ht="18" x14ac:dyDescent="0.45">
      <c r="I606" s="67"/>
      <c r="K606" s="91"/>
      <c r="L606" s="70"/>
      <c r="N606" s="70"/>
      <c r="P606" t="str">
        <f t="shared" si="9"/>
        <v/>
      </c>
    </row>
    <row r="607" spans="9:16" ht="18" x14ac:dyDescent="0.45">
      <c r="I607" s="67"/>
      <c r="K607" s="91"/>
      <c r="L607" s="70"/>
      <c r="N607" s="70"/>
      <c r="P607" t="str">
        <f t="shared" si="9"/>
        <v/>
      </c>
    </row>
    <row r="608" spans="9:16" ht="18" x14ac:dyDescent="0.45">
      <c r="I608" s="67"/>
      <c r="K608" s="91"/>
      <c r="L608" s="70"/>
      <c r="N608" s="70"/>
      <c r="P608" t="str">
        <f t="shared" si="9"/>
        <v/>
      </c>
    </row>
    <row r="609" spans="9:16" ht="18" x14ac:dyDescent="0.45">
      <c r="I609" s="67"/>
      <c r="K609" s="91"/>
      <c r="L609" s="70"/>
      <c r="N609" s="70"/>
      <c r="P609" t="str">
        <f t="shared" si="9"/>
        <v/>
      </c>
    </row>
    <row r="610" spans="9:16" ht="18" x14ac:dyDescent="0.45">
      <c r="I610" s="67"/>
      <c r="K610" s="91"/>
      <c r="L610" s="70"/>
      <c r="N610" s="70"/>
      <c r="P610" t="str">
        <f t="shared" si="9"/>
        <v/>
      </c>
    </row>
    <row r="611" spans="9:16" ht="18" x14ac:dyDescent="0.45">
      <c r="I611" s="67"/>
      <c r="K611" s="91"/>
      <c r="L611" s="70"/>
      <c r="N611" s="70"/>
      <c r="P611" t="str">
        <f t="shared" si="9"/>
        <v/>
      </c>
    </row>
    <row r="612" spans="9:16" ht="18" x14ac:dyDescent="0.45">
      <c r="I612" s="67"/>
      <c r="K612" s="91"/>
      <c r="L612" s="70"/>
      <c r="N612" s="70"/>
      <c r="P612" t="str">
        <f t="shared" si="9"/>
        <v/>
      </c>
    </row>
    <row r="613" spans="9:16" ht="18" x14ac:dyDescent="0.45">
      <c r="I613" s="67"/>
      <c r="K613" s="91"/>
      <c r="L613" s="70"/>
      <c r="N613" s="70"/>
      <c r="P613" t="str">
        <f t="shared" si="9"/>
        <v/>
      </c>
    </row>
    <row r="614" spans="9:16" ht="18" x14ac:dyDescent="0.45">
      <c r="I614" s="67"/>
      <c r="K614" s="91"/>
      <c r="L614" s="70"/>
      <c r="N614" s="70"/>
      <c r="P614" t="str">
        <f t="shared" si="9"/>
        <v/>
      </c>
    </row>
    <row r="615" spans="9:16" ht="18" x14ac:dyDescent="0.45">
      <c r="I615" s="67"/>
      <c r="K615" s="91"/>
      <c r="L615" s="70"/>
      <c r="N615" s="70"/>
      <c r="P615" t="str">
        <f t="shared" si="9"/>
        <v/>
      </c>
    </row>
    <row r="616" spans="9:16" ht="18" x14ac:dyDescent="0.45">
      <c r="I616" s="67"/>
      <c r="K616" s="91"/>
      <c r="L616" s="70"/>
      <c r="N616" s="70"/>
      <c r="P616" t="str">
        <f t="shared" si="9"/>
        <v/>
      </c>
    </row>
    <row r="617" spans="9:16" ht="18" x14ac:dyDescent="0.45">
      <c r="I617" s="67"/>
      <c r="K617" s="91"/>
      <c r="L617" s="70"/>
      <c r="N617" s="70"/>
      <c r="P617" t="str">
        <f t="shared" si="9"/>
        <v/>
      </c>
    </row>
    <row r="618" spans="9:16" ht="18" x14ac:dyDescent="0.45">
      <c r="I618" s="67"/>
      <c r="K618" s="91"/>
      <c r="L618" s="70"/>
      <c r="N618" s="70"/>
      <c r="P618" t="str">
        <f t="shared" si="9"/>
        <v/>
      </c>
    </row>
    <row r="619" spans="9:16" ht="18" x14ac:dyDescent="0.45">
      <c r="I619" s="67"/>
      <c r="K619" s="91"/>
      <c r="L619" s="70"/>
      <c r="N619" s="70"/>
      <c r="P619" t="str">
        <f t="shared" si="9"/>
        <v/>
      </c>
    </row>
    <row r="620" spans="9:16" ht="18" x14ac:dyDescent="0.45">
      <c r="I620" s="67"/>
      <c r="K620" s="91"/>
      <c r="L620" s="70"/>
      <c r="N620" s="70"/>
      <c r="P620" t="str">
        <f t="shared" si="9"/>
        <v/>
      </c>
    </row>
    <row r="621" spans="9:16" ht="18" x14ac:dyDescent="0.45">
      <c r="I621" s="67"/>
      <c r="K621" s="91"/>
      <c r="L621" s="70"/>
      <c r="N621" s="70"/>
      <c r="P621" t="str">
        <f t="shared" si="9"/>
        <v/>
      </c>
    </row>
    <row r="622" spans="9:16" ht="18" x14ac:dyDescent="0.45">
      <c r="I622" s="67"/>
      <c r="K622" s="91"/>
      <c r="L622" s="70"/>
      <c r="N622" s="70"/>
      <c r="P622" t="str">
        <f t="shared" si="9"/>
        <v/>
      </c>
    </row>
    <row r="623" spans="9:16" ht="18" x14ac:dyDescent="0.45">
      <c r="I623" s="67"/>
      <c r="K623" s="91"/>
      <c r="L623" s="70"/>
      <c r="N623" s="70"/>
      <c r="P623" t="str">
        <f t="shared" si="9"/>
        <v/>
      </c>
    </row>
    <row r="624" spans="9:16" ht="18" x14ac:dyDescent="0.45">
      <c r="I624" s="67"/>
      <c r="K624" s="91"/>
      <c r="L624" s="70"/>
      <c r="N624" s="70"/>
      <c r="P624" t="str">
        <f t="shared" si="9"/>
        <v/>
      </c>
    </row>
    <row r="625" spans="9:16" ht="18" x14ac:dyDescent="0.45">
      <c r="I625" s="67"/>
      <c r="K625" s="91"/>
      <c r="L625" s="70"/>
      <c r="N625" s="70"/>
      <c r="P625" t="str">
        <f t="shared" si="9"/>
        <v/>
      </c>
    </row>
    <row r="626" spans="9:16" ht="18" x14ac:dyDescent="0.45">
      <c r="I626" s="67"/>
      <c r="K626" s="91"/>
      <c r="L626" s="70"/>
      <c r="N626" s="70"/>
      <c r="P626" t="str">
        <f t="shared" si="9"/>
        <v/>
      </c>
    </row>
    <row r="627" spans="9:16" ht="18" x14ac:dyDescent="0.45">
      <c r="I627" s="67"/>
      <c r="K627" s="91"/>
      <c r="L627" s="70"/>
      <c r="N627" s="70"/>
      <c r="P627" t="str">
        <f t="shared" si="9"/>
        <v/>
      </c>
    </row>
    <row r="628" spans="9:16" ht="18" x14ac:dyDescent="0.45">
      <c r="I628" s="67"/>
      <c r="K628" s="91"/>
      <c r="L628" s="70"/>
      <c r="N628" s="70"/>
      <c r="P628" t="str">
        <f t="shared" si="9"/>
        <v/>
      </c>
    </row>
    <row r="629" spans="9:16" ht="18" x14ac:dyDescent="0.45">
      <c r="I629" s="67"/>
      <c r="K629" s="91"/>
      <c r="L629" s="70"/>
      <c r="N629" s="70"/>
      <c r="P629" t="str">
        <f t="shared" si="9"/>
        <v/>
      </c>
    </row>
    <row r="630" spans="9:16" ht="18" x14ac:dyDescent="0.45">
      <c r="I630" s="67"/>
      <c r="K630" s="91"/>
      <c r="L630" s="70"/>
      <c r="N630" s="70"/>
      <c r="P630" t="str">
        <f t="shared" si="9"/>
        <v/>
      </c>
    </row>
    <row r="631" spans="9:16" ht="18" x14ac:dyDescent="0.45">
      <c r="I631" s="67"/>
      <c r="K631" s="91"/>
      <c r="L631" s="70"/>
      <c r="N631" s="70"/>
      <c r="P631" t="str">
        <f t="shared" si="9"/>
        <v/>
      </c>
    </row>
    <row r="632" spans="9:16" ht="18" x14ac:dyDescent="0.45">
      <c r="I632" s="67"/>
      <c r="K632" s="91"/>
      <c r="L632" s="70"/>
      <c r="N632" s="70"/>
      <c r="P632" t="str">
        <f t="shared" si="9"/>
        <v/>
      </c>
    </row>
    <row r="633" spans="9:16" ht="18" x14ac:dyDescent="0.45">
      <c r="I633" s="67"/>
      <c r="K633" s="91"/>
      <c r="L633" s="70"/>
      <c r="N633" s="70"/>
      <c r="P633" t="str">
        <f t="shared" si="9"/>
        <v/>
      </c>
    </row>
    <row r="634" spans="9:16" ht="18" x14ac:dyDescent="0.45">
      <c r="I634" s="67"/>
      <c r="K634" s="91"/>
      <c r="L634" s="70"/>
      <c r="N634" s="70"/>
      <c r="P634" t="str">
        <f t="shared" si="9"/>
        <v/>
      </c>
    </row>
    <row r="635" spans="9:16" ht="18" x14ac:dyDescent="0.45">
      <c r="I635" s="67"/>
      <c r="K635" s="91"/>
      <c r="L635" s="70"/>
      <c r="N635" s="70"/>
      <c r="P635" t="str">
        <f t="shared" si="9"/>
        <v/>
      </c>
    </row>
    <row r="636" spans="9:16" ht="18" x14ac:dyDescent="0.45">
      <c r="I636" s="67"/>
      <c r="K636" s="91"/>
      <c r="L636" s="70"/>
      <c r="N636" s="70"/>
      <c r="P636" t="str">
        <f t="shared" si="9"/>
        <v/>
      </c>
    </row>
    <row r="637" spans="9:16" ht="18" x14ac:dyDescent="0.45">
      <c r="I637" s="67"/>
      <c r="K637" s="91"/>
      <c r="L637" s="70"/>
      <c r="N637" s="70"/>
      <c r="P637" t="str">
        <f t="shared" si="9"/>
        <v/>
      </c>
    </row>
    <row r="638" spans="9:16" ht="18" x14ac:dyDescent="0.45">
      <c r="I638" s="67"/>
      <c r="K638" s="91"/>
      <c r="L638" s="70"/>
      <c r="N638" s="70"/>
      <c r="P638" t="str">
        <f t="shared" si="9"/>
        <v/>
      </c>
    </row>
    <row r="639" spans="9:16" ht="18" x14ac:dyDescent="0.45">
      <c r="I639" s="67"/>
      <c r="K639" s="91"/>
      <c r="L639" s="70"/>
      <c r="N639" s="70"/>
      <c r="P639" t="str">
        <f t="shared" si="9"/>
        <v/>
      </c>
    </row>
    <row r="640" spans="9:16" ht="18" x14ac:dyDescent="0.45">
      <c r="I640" s="67"/>
      <c r="K640" s="91"/>
      <c r="L640" s="70"/>
      <c r="N640" s="70"/>
      <c r="P640" t="str">
        <f t="shared" si="9"/>
        <v/>
      </c>
    </row>
    <row r="641" spans="9:16" ht="18" x14ac:dyDescent="0.45">
      <c r="I641" s="67"/>
      <c r="K641" s="91"/>
      <c r="L641" s="70"/>
      <c r="N641" s="70"/>
      <c r="P641" t="str">
        <f t="shared" si="9"/>
        <v/>
      </c>
    </row>
    <row r="642" spans="9:16" ht="18" x14ac:dyDescent="0.45">
      <c r="I642" s="67"/>
      <c r="K642" s="91"/>
      <c r="L642" s="70"/>
      <c r="N642" s="70"/>
      <c r="P642" t="str">
        <f t="shared" si="9"/>
        <v/>
      </c>
    </row>
    <row r="643" spans="9:16" ht="18" x14ac:dyDescent="0.45">
      <c r="I643" s="67"/>
      <c r="K643" s="91"/>
      <c r="L643" s="70"/>
      <c r="N643" s="70"/>
      <c r="P643" t="str">
        <f t="shared" si="9"/>
        <v/>
      </c>
    </row>
    <row r="644" spans="9:16" ht="18" x14ac:dyDescent="0.45">
      <c r="I644" s="67"/>
      <c r="K644" s="91"/>
      <c r="L644" s="70"/>
      <c r="N644" s="70"/>
      <c r="P644" t="str">
        <f t="shared" si="9"/>
        <v/>
      </c>
    </row>
    <row r="645" spans="9:16" ht="18" x14ac:dyDescent="0.45">
      <c r="I645" s="67"/>
      <c r="K645" s="91"/>
      <c r="L645" s="70"/>
      <c r="N645" s="70"/>
      <c r="P645" t="str">
        <f t="shared" si="9"/>
        <v/>
      </c>
    </row>
    <row r="646" spans="9:16" ht="18" x14ac:dyDescent="0.45">
      <c r="I646" s="67"/>
      <c r="K646" s="91"/>
      <c r="L646" s="70"/>
      <c r="N646" s="70"/>
      <c r="P646" t="str">
        <f t="shared" si="9"/>
        <v/>
      </c>
    </row>
    <row r="647" spans="9:16" ht="18" x14ac:dyDescent="0.45">
      <c r="I647" s="67"/>
      <c r="K647" s="91"/>
      <c r="L647" s="70"/>
      <c r="N647" s="70"/>
      <c r="P647" t="str">
        <f t="shared" ref="P647:P710" si="10">IF(I647="","",SUMIFS(OrderItems_Qty,OrderItems_Type,"PURCHASE",OrderItems_SKU,I647)-SUMIFS(OrderItems_Qty,OrderItems_Type,"SALE",OrderItems_SKU,I647))</f>
        <v/>
      </c>
    </row>
    <row r="648" spans="9:16" ht="18" x14ac:dyDescent="0.45">
      <c r="I648" s="67"/>
      <c r="K648" s="91"/>
      <c r="L648" s="70"/>
      <c r="N648" s="70"/>
      <c r="P648" t="str">
        <f t="shared" si="10"/>
        <v/>
      </c>
    </row>
    <row r="649" spans="9:16" ht="18" x14ac:dyDescent="0.45">
      <c r="I649" s="67"/>
      <c r="K649" s="91"/>
      <c r="L649" s="70"/>
      <c r="N649" s="70"/>
      <c r="P649" t="str">
        <f t="shared" si="10"/>
        <v/>
      </c>
    </row>
    <row r="650" spans="9:16" ht="18" x14ac:dyDescent="0.45">
      <c r="I650" s="67"/>
      <c r="K650" s="91"/>
      <c r="L650" s="70"/>
      <c r="N650" s="70"/>
      <c r="P650" t="str">
        <f t="shared" si="10"/>
        <v/>
      </c>
    </row>
    <row r="651" spans="9:16" ht="18" x14ac:dyDescent="0.45">
      <c r="I651" s="67"/>
      <c r="K651" s="91"/>
      <c r="L651" s="70"/>
      <c r="N651" s="70"/>
      <c r="P651" t="str">
        <f t="shared" si="10"/>
        <v/>
      </c>
    </row>
    <row r="652" spans="9:16" ht="18" x14ac:dyDescent="0.45">
      <c r="I652" s="67"/>
      <c r="K652" s="91"/>
      <c r="L652" s="70"/>
      <c r="N652" s="70"/>
      <c r="P652" t="str">
        <f t="shared" si="10"/>
        <v/>
      </c>
    </row>
    <row r="653" spans="9:16" ht="18" x14ac:dyDescent="0.45">
      <c r="I653" s="67"/>
      <c r="K653" s="91"/>
      <c r="L653" s="70"/>
      <c r="N653" s="70"/>
      <c r="P653" t="str">
        <f t="shared" si="10"/>
        <v/>
      </c>
    </row>
    <row r="654" spans="9:16" ht="18" x14ac:dyDescent="0.45">
      <c r="I654" s="67"/>
      <c r="K654" s="91"/>
      <c r="L654" s="70"/>
      <c r="N654" s="70"/>
      <c r="P654" t="str">
        <f t="shared" si="10"/>
        <v/>
      </c>
    </row>
    <row r="655" spans="9:16" ht="18" x14ac:dyDescent="0.45">
      <c r="I655" s="67"/>
      <c r="K655" s="91"/>
      <c r="L655" s="70"/>
      <c r="N655" s="70"/>
      <c r="P655" t="str">
        <f t="shared" si="10"/>
        <v/>
      </c>
    </row>
    <row r="656" spans="9:16" ht="18" x14ac:dyDescent="0.45">
      <c r="I656" s="67"/>
      <c r="K656" s="91"/>
      <c r="L656" s="70"/>
      <c r="N656" s="70"/>
      <c r="P656" t="str">
        <f t="shared" si="10"/>
        <v/>
      </c>
    </row>
    <row r="657" spans="9:16" ht="18" x14ac:dyDescent="0.45">
      <c r="I657" s="67"/>
      <c r="K657" s="91"/>
      <c r="L657" s="70"/>
      <c r="N657" s="70"/>
      <c r="P657" t="str">
        <f t="shared" si="10"/>
        <v/>
      </c>
    </row>
    <row r="658" spans="9:16" ht="18" x14ac:dyDescent="0.45">
      <c r="I658" s="67"/>
      <c r="K658" s="91"/>
      <c r="L658" s="70"/>
      <c r="N658" s="70"/>
      <c r="P658" t="str">
        <f t="shared" si="10"/>
        <v/>
      </c>
    </row>
    <row r="659" spans="9:16" ht="18" x14ac:dyDescent="0.45">
      <c r="I659" s="67"/>
      <c r="K659" s="91"/>
      <c r="L659" s="70"/>
      <c r="N659" s="70"/>
      <c r="P659" t="str">
        <f t="shared" si="10"/>
        <v/>
      </c>
    </row>
    <row r="660" spans="9:16" ht="18" x14ac:dyDescent="0.45">
      <c r="I660" s="67"/>
      <c r="K660" s="91"/>
      <c r="L660" s="70"/>
      <c r="N660" s="70"/>
      <c r="P660" t="str">
        <f t="shared" si="10"/>
        <v/>
      </c>
    </row>
    <row r="661" spans="9:16" ht="18" x14ac:dyDescent="0.45">
      <c r="I661" s="67"/>
      <c r="K661" s="91"/>
      <c r="L661" s="70"/>
      <c r="N661" s="70"/>
      <c r="P661" t="str">
        <f t="shared" si="10"/>
        <v/>
      </c>
    </row>
    <row r="662" spans="9:16" ht="18" x14ac:dyDescent="0.45">
      <c r="I662" s="67"/>
      <c r="K662" s="91"/>
      <c r="L662" s="70"/>
      <c r="N662" s="70"/>
      <c r="P662" t="str">
        <f t="shared" si="10"/>
        <v/>
      </c>
    </row>
    <row r="663" spans="9:16" ht="18" x14ac:dyDescent="0.45">
      <c r="I663" s="67"/>
      <c r="K663" s="91"/>
      <c r="L663" s="70"/>
      <c r="N663" s="70"/>
      <c r="P663" t="str">
        <f t="shared" si="10"/>
        <v/>
      </c>
    </row>
    <row r="664" spans="9:16" ht="18" x14ac:dyDescent="0.45">
      <c r="I664" s="67"/>
      <c r="K664" s="91"/>
      <c r="L664" s="70"/>
      <c r="N664" s="70"/>
      <c r="P664" t="str">
        <f t="shared" si="10"/>
        <v/>
      </c>
    </row>
    <row r="665" spans="9:16" ht="18" x14ac:dyDescent="0.45">
      <c r="I665" s="67"/>
      <c r="K665" s="91"/>
      <c r="L665" s="70"/>
      <c r="N665" s="70"/>
      <c r="P665" t="str">
        <f t="shared" si="10"/>
        <v/>
      </c>
    </row>
    <row r="666" spans="9:16" ht="18" x14ac:dyDescent="0.45">
      <c r="I666" s="67"/>
      <c r="K666" s="91"/>
      <c r="L666" s="70"/>
      <c r="N666" s="70"/>
      <c r="P666" t="str">
        <f t="shared" si="10"/>
        <v/>
      </c>
    </row>
    <row r="667" spans="9:16" ht="18" x14ac:dyDescent="0.45">
      <c r="I667" s="67"/>
      <c r="K667" s="91"/>
      <c r="L667" s="70"/>
      <c r="N667" s="70"/>
      <c r="P667" t="str">
        <f t="shared" si="10"/>
        <v/>
      </c>
    </row>
    <row r="668" spans="9:16" ht="18" x14ac:dyDescent="0.45">
      <c r="I668" s="67"/>
      <c r="K668" s="91"/>
      <c r="L668" s="70"/>
      <c r="N668" s="70"/>
      <c r="P668" t="str">
        <f t="shared" si="10"/>
        <v/>
      </c>
    </row>
    <row r="669" spans="9:16" ht="18" x14ac:dyDescent="0.45">
      <c r="I669" s="67"/>
      <c r="K669" s="91"/>
      <c r="L669" s="70"/>
      <c r="N669" s="70"/>
      <c r="P669" t="str">
        <f t="shared" si="10"/>
        <v/>
      </c>
    </row>
    <row r="670" spans="9:16" ht="18" x14ac:dyDescent="0.45">
      <c r="I670" s="67"/>
      <c r="K670" s="91"/>
      <c r="L670" s="70"/>
      <c r="N670" s="70"/>
      <c r="P670" t="str">
        <f t="shared" si="10"/>
        <v/>
      </c>
    </row>
    <row r="671" spans="9:16" ht="18" x14ac:dyDescent="0.45">
      <c r="I671" s="67"/>
      <c r="K671" s="91"/>
      <c r="L671" s="70"/>
      <c r="N671" s="70"/>
      <c r="P671" t="str">
        <f t="shared" si="10"/>
        <v/>
      </c>
    </row>
    <row r="672" spans="9:16" ht="18" x14ac:dyDescent="0.45">
      <c r="I672" s="67"/>
      <c r="K672" s="91"/>
      <c r="L672" s="70"/>
      <c r="N672" s="70"/>
      <c r="P672" t="str">
        <f t="shared" si="10"/>
        <v/>
      </c>
    </row>
    <row r="673" spans="9:16" ht="18" x14ac:dyDescent="0.45">
      <c r="I673" s="67"/>
      <c r="K673" s="91"/>
      <c r="L673" s="70"/>
      <c r="N673" s="70"/>
      <c r="P673" t="str">
        <f t="shared" si="10"/>
        <v/>
      </c>
    </row>
    <row r="674" spans="9:16" ht="18" x14ac:dyDescent="0.45">
      <c r="I674" s="67"/>
      <c r="K674" s="91"/>
      <c r="L674" s="70"/>
      <c r="N674" s="70"/>
      <c r="P674" t="str">
        <f t="shared" si="10"/>
        <v/>
      </c>
    </row>
    <row r="675" spans="9:16" ht="18" x14ac:dyDescent="0.45">
      <c r="I675" s="67"/>
      <c r="K675" s="91"/>
      <c r="L675" s="70"/>
      <c r="N675" s="70"/>
      <c r="P675" t="str">
        <f t="shared" si="10"/>
        <v/>
      </c>
    </row>
    <row r="676" spans="9:16" ht="18" x14ac:dyDescent="0.45">
      <c r="I676" s="67"/>
      <c r="K676" s="91"/>
      <c r="L676" s="70"/>
      <c r="N676" s="70"/>
      <c r="P676" t="str">
        <f t="shared" si="10"/>
        <v/>
      </c>
    </row>
    <row r="677" spans="9:16" ht="18" x14ac:dyDescent="0.45">
      <c r="I677" s="67"/>
      <c r="K677" s="91"/>
      <c r="L677" s="70"/>
      <c r="N677" s="70"/>
      <c r="P677" t="str">
        <f t="shared" si="10"/>
        <v/>
      </c>
    </row>
    <row r="678" spans="9:16" ht="18" x14ac:dyDescent="0.45">
      <c r="I678" s="67"/>
      <c r="K678" s="91"/>
      <c r="L678" s="70"/>
      <c r="N678" s="70"/>
      <c r="P678" t="str">
        <f t="shared" si="10"/>
        <v/>
      </c>
    </row>
    <row r="679" spans="9:16" ht="18" x14ac:dyDescent="0.45">
      <c r="I679" s="67"/>
      <c r="K679" s="91"/>
      <c r="L679" s="70"/>
      <c r="N679" s="70"/>
      <c r="P679" t="str">
        <f t="shared" si="10"/>
        <v/>
      </c>
    </row>
    <row r="680" spans="9:16" ht="18" x14ac:dyDescent="0.45">
      <c r="I680" s="67"/>
      <c r="K680" s="91"/>
      <c r="L680" s="70"/>
      <c r="N680" s="70"/>
      <c r="P680" t="str">
        <f t="shared" si="10"/>
        <v/>
      </c>
    </row>
    <row r="681" spans="9:16" ht="18" x14ac:dyDescent="0.45">
      <c r="I681" s="67"/>
      <c r="K681" s="91"/>
      <c r="L681" s="70"/>
      <c r="N681" s="70"/>
      <c r="P681" t="str">
        <f t="shared" si="10"/>
        <v/>
      </c>
    </row>
    <row r="682" spans="9:16" ht="18" x14ac:dyDescent="0.45">
      <c r="I682" s="67"/>
      <c r="K682" s="91"/>
      <c r="L682" s="70"/>
      <c r="N682" s="70"/>
      <c r="P682" t="str">
        <f t="shared" si="10"/>
        <v/>
      </c>
    </row>
    <row r="683" spans="9:16" ht="18" x14ac:dyDescent="0.45">
      <c r="I683" s="67"/>
      <c r="K683" s="91"/>
      <c r="L683" s="70"/>
      <c r="N683" s="70"/>
      <c r="P683" t="str">
        <f t="shared" si="10"/>
        <v/>
      </c>
    </row>
    <row r="684" spans="9:16" ht="18" x14ac:dyDescent="0.45">
      <c r="I684" s="67"/>
      <c r="K684" s="91"/>
      <c r="L684" s="70"/>
      <c r="N684" s="70"/>
      <c r="P684" t="str">
        <f t="shared" si="10"/>
        <v/>
      </c>
    </row>
    <row r="685" spans="9:16" ht="18" x14ac:dyDescent="0.45">
      <c r="I685" s="67"/>
      <c r="K685" s="91"/>
      <c r="L685" s="70"/>
      <c r="N685" s="70"/>
      <c r="P685" t="str">
        <f t="shared" si="10"/>
        <v/>
      </c>
    </row>
    <row r="686" spans="9:16" ht="18" x14ac:dyDescent="0.45">
      <c r="I686" s="67"/>
      <c r="K686" s="91"/>
      <c r="L686" s="70"/>
      <c r="N686" s="70"/>
      <c r="P686" t="str">
        <f t="shared" si="10"/>
        <v/>
      </c>
    </row>
    <row r="687" spans="9:16" ht="18" x14ac:dyDescent="0.45">
      <c r="I687" s="67"/>
      <c r="K687" s="91"/>
      <c r="L687" s="70"/>
      <c r="N687" s="70"/>
      <c r="P687" t="str">
        <f t="shared" si="10"/>
        <v/>
      </c>
    </row>
    <row r="688" spans="9:16" ht="18" x14ac:dyDescent="0.45">
      <c r="I688" s="67"/>
      <c r="K688" s="91"/>
      <c r="L688" s="70"/>
      <c r="N688" s="70"/>
      <c r="P688" t="str">
        <f t="shared" si="10"/>
        <v/>
      </c>
    </row>
    <row r="689" spans="9:16" ht="18" x14ac:dyDescent="0.45">
      <c r="I689" s="67"/>
      <c r="K689" s="91"/>
      <c r="L689" s="70"/>
      <c r="N689" s="70"/>
      <c r="P689" t="str">
        <f t="shared" si="10"/>
        <v/>
      </c>
    </row>
    <row r="690" spans="9:16" ht="18" x14ac:dyDescent="0.45">
      <c r="I690" s="67"/>
      <c r="K690" s="91"/>
      <c r="L690" s="70"/>
      <c r="N690" s="70"/>
      <c r="P690" t="str">
        <f t="shared" si="10"/>
        <v/>
      </c>
    </row>
    <row r="691" spans="9:16" ht="18" x14ac:dyDescent="0.45">
      <c r="I691" s="67"/>
      <c r="K691" s="91"/>
      <c r="L691" s="70"/>
      <c r="N691" s="70"/>
      <c r="P691" t="str">
        <f t="shared" si="10"/>
        <v/>
      </c>
    </row>
    <row r="692" spans="9:16" ht="18" x14ac:dyDescent="0.45">
      <c r="I692" s="67"/>
      <c r="K692" s="91"/>
      <c r="L692" s="70"/>
      <c r="N692" s="70"/>
      <c r="P692" t="str">
        <f t="shared" si="10"/>
        <v/>
      </c>
    </row>
    <row r="693" spans="9:16" ht="18" x14ac:dyDescent="0.45">
      <c r="I693" s="67"/>
      <c r="K693" s="91"/>
      <c r="L693" s="70"/>
      <c r="N693" s="70"/>
      <c r="P693" t="str">
        <f t="shared" si="10"/>
        <v/>
      </c>
    </row>
    <row r="694" spans="9:16" ht="18" x14ac:dyDescent="0.45">
      <c r="I694" s="67"/>
      <c r="K694" s="91"/>
      <c r="L694" s="70"/>
      <c r="N694" s="70"/>
      <c r="P694" t="str">
        <f t="shared" si="10"/>
        <v/>
      </c>
    </row>
    <row r="695" spans="9:16" ht="18" x14ac:dyDescent="0.45">
      <c r="I695" s="67"/>
      <c r="K695" s="91"/>
      <c r="L695" s="70"/>
      <c r="N695" s="70"/>
      <c r="P695" t="str">
        <f t="shared" si="10"/>
        <v/>
      </c>
    </row>
    <row r="696" spans="9:16" ht="18" x14ac:dyDescent="0.45">
      <c r="I696" s="67"/>
      <c r="K696" s="91"/>
      <c r="L696" s="70"/>
      <c r="N696" s="70"/>
      <c r="P696" t="str">
        <f t="shared" si="10"/>
        <v/>
      </c>
    </row>
    <row r="697" spans="9:16" ht="18" x14ac:dyDescent="0.45">
      <c r="I697" s="67"/>
      <c r="K697" s="91"/>
      <c r="L697" s="70"/>
      <c r="N697" s="70"/>
      <c r="P697" t="str">
        <f t="shared" si="10"/>
        <v/>
      </c>
    </row>
    <row r="698" spans="9:16" ht="18" x14ac:dyDescent="0.45">
      <c r="I698" s="67"/>
      <c r="K698" s="91"/>
      <c r="L698" s="70"/>
      <c r="N698" s="70"/>
      <c r="P698" t="str">
        <f t="shared" si="10"/>
        <v/>
      </c>
    </row>
    <row r="699" spans="9:16" ht="18" x14ac:dyDescent="0.45">
      <c r="I699" s="67"/>
      <c r="K699" s="91"/>
      <c r="L699" s="70"/>
      <c r="N699" s="70"/>
      <c r="P699" t="str">
        <f t="shared" si="10"/>
        <v/>
      </c>
    </row>
    <row r="700" spans="9:16" ht="18" x14ac:dyDescent="0.45">
      <c r="I700" s="67"/>
      <c r="K700" s="91"/>
      <c r="L700" s="70"/>
      <c r="N700" s="70"/>
      <c r="P700" t="str">
        <f t="shared" si="10"/>
        <v/>
      </c>
    </row>
    <row r="701" spans="9:16" ht="18" x14ac:dyDescent="0.45">
      <c r="I701" s="67"/>
      <c r="K701" s="91"/>
      <c r="L701" s="70"/>
      <c r="N701" s="70"/>
      <c r="P701" t="str">
        <f t="shared" si="10"/>
        <v/>
      </c>
    </row>
    <row r="702" spans="9:16" ht="18" x14ac:dyDescent="0.45">
      <c r="I702" s="67"/>
      <c r="K702" s="91"/>
      <c r="L702" s="70"/>
      <c r="N702" s="70"/>
      <c r="P702" t="str">
        <f t="shared" si="10"/>
        <v/>
      </c>
    </row>
    <row r="703" spans="9:16" ht="18" x14ac:dyDescent="0.45">
      <c r="I703" s="67"/>
      <c r="K703" s="91"/>
      <c r="L703" s="70"/>
      <c r="N703" s="70"/>
      <c r="P703" t="str">
        <f t="shared" si="10"/>
        <v/>
      </c>
    </row>
    <row r="704" spans="9:16" ht="18" x14ac:dyDescent="0.45">
      <c r="I704" s="67"/>
      <c r="K704" s="91"/>
      <c r="L704" s="70"/>
      <c r="N704" s="70"/>
      <c r="P704" t="str">
        <f t="shared" si="10"/>
        <v/>
      </c>
    </row>
    <row r="705" spans="9:16" ht="18" x14ac:dyDescent="0.45">
      <c r="I705" s="67"/>
      <c r="K705" s="91"/>
      <c r="L705" s="70"/>
      <c r="N705" s="70"/>
      <c r="P705" t="str">
        <f t="shared" si="10"/>
        <v/>
      </c>
    </row>
    <row r="706" spans="9:16" ht="18" x14ac:dyDescent="0.45">
      <c r="I706" s="67"/>
      <c r="K706" s="91"/>
      <c r="L706" s="70"/>
      <c r="N706" s="70"/>
      <c r="P706" t="str">
        <f t="shared" si="10"/>
        <v/>
      </c>
    </row>
    <row r="707" spans="9:16" ht="18" x14ac:dyDescent="0.45">
      <c r="I707" s="67"/>
      <c r="K707" s="91"/>
      <c r="L707" s="70"/>
      <c r="N707" s="70"/>
      <c r="P707" t="str">
        <f t="shared" si="10"/>
        <v/>
      </c>
    </row>
    <row r="708" spans="9:16" ht="18" x14ac:dyDescent="0.45">
      <c r="I708" s="67"/>
      <c r="K708" s="91"/>
      <c r="L708" s="70"/>
      <c r="N708" s="70"/>
      <c r="P708" t="str">
        <f t="shared" si="10"/>
        <v/>
      </c>
    </row>
    <row r="709" spans="9:16" ht="18" x14ac:dyDescent="0.45">
      <c r="I709" s="67"/>
      <c r="K709" s="91"/>
      <c r="L709" s="70"/>
      <c r="N709" s="70"/>
      <c r="P709" t="str">
        <f t="shared" si="10"/>
        <v/>
      </c>
    </row>
    <row r="710" spans="9:16" ht="18" x14ac:dyDescent="0.45">
      <c r="I710" s="67"/>
      <c r="K710" s="91"/>
      <c r="L710" s="70"/>
      <c r="N710" s="70"/>
      <c r="P710" t="str">
        <f t="shared" si="10"/>
        <v/>
      </c>
    </row>
    <row r="711" spans="9:16" ht="18" x14ac:dyDescent="0.45">
      <c r="I711" s="67"/>
      <c r="K711" s="91"/>
      <c r="L711" s="70"/>
      <c r="N711" s="70"/>
      <c r="P711" t="str">
        <f t="shared" ref="P711:P774" si="11">IF(I711="","",SUMIFS(OrderItems_Qty,OrderItems_Type,"PURCHASE",OrderItems_SKU,I711)-SUMIFS(OrderItems_Qty,OrderItems_Type,"SALE",OrderItems_SKU,I711))</f>
        <v/>
      </c>
    </row>
    <row r="712" spans="9:16" ht="18" x14ac:dyDescent="0.45">
      <c r="I712" s="67"/>
      <c r="K712" s="91"/>
      <c r="L712" s="70"/>
      <c r="N712" s="70"/>
      <c r="P712" t="str">
        <f t="shared" si="11"/>
        <v/>
      </c>
    </row>
    <row r="713" spans="9:16" ht="18" x14ac:dyDescent="0.45">
      <c r="I713" s="67"/>
      <c r="K713" s="91"/>
      <c r="L713" s="70"/>
      <c r="N713" s="70"/>
      <c r="P713" t="str">
        <f t="shared" si="11"/>
        <v/>
      </c>
    </row>
    <row r="714" spans="9:16" ht="18" x14ac:dyDescent="0.45">
      <c r="I714" s="67"/>
      <c r="K714" s="91"/>
      <c r="L714" s="70"/>
      <c r="N714" s="70"/>
      <c r="P714" t="str">
        <f t="shared" si="11"/>
        <v/>
      </c>
    </row>
    <row r="715" spans="9:16" ht="18" x14ac:dyDescent="0.45">
      <c r="I715" s="67"/>
      <c r="K715" s="91"/>
      <c r="L715" s="70"/>
      <c r="N715" s="70"/>
      <c r="P715" t="str">
        <f t="shared" si="11"/>
        <v/>
      </c>
    </row>
    <row r="716" spans="9:16" ht="18" x14ac:dyDescent="0.45">
      <c r="I716" s="67"/>
      <c r="K716" s="91"/>
      <c r="L716" s="70"/>
      <c r="N716" s="70"/>
      <c r="P716" t="str">
        <f t="shared" si="11"/>
        <v/>
      </c>
    </row>
    <row r="717" spans="9:16" ht="18" x14ac:dyDescent="0.45">
      <c r="I717" s="67"/>
      <c r="K717" s="91"/>
      <c r="L717" s="70"/>
      <c r="N717" s="70"/>
      <c r="P717" t="str">
        <f t="shared" si="11"/>
        <v/>
      </c>
    </row>
    <row r="718" spans="9:16" ht="18" x14ac:dyDescent="0.45">
      <c r="I718" s="67"/>
      <c r="K718" s="91"/>
      <c r="L718" s="70"/>
      <c r="N718" s="70"/>
      <c r="P718" t="str">
        <f t="shared" si="11"/>
        <v/>
      </c>
    </row>
    <row r="719" spans="9:16" ht="18" x14ac:dyDescent="0.45">
      <c r="I719" s="67"/>
      <c r="K719" s="91"/>
      <c r="L719" s="70"/>
      <c r="N719" s="70"/>
      <c r="P719" t="str">
        <f t="shared" si="11"/>
        <v/>
      </c>
    </row>
    <row r="720" spans="9:16" ht="18" x14ac:dyDescent="0.45">
      <c r="I720" s="67"/>
      <c r="K720" s="91"/>
      <c r="L720" s="70"/>
      <c r="N720" s="70"/>
      <c r="P720" t="str">
        <f t="shared" si="11"/>
        <v/>
      </c>
    </row>
    <row r="721" spans="9:16" ht="18" x14ac:dyDescent="0.45">
      <c r="I721" s="67"/>
      <c r="K721" s="91"/>
      <c r="L721" s="70"/>
      <c r="N721" s="70"/>
      <c r="P721" t="str">
        <f t="shared" si="11"/>
        <v/>
      </c>
    </row>
    <row r="722" spans="9:16" ht="18" x14ac:dyDescent="0.45">
      <c r="I722" s="67"/>
      <c r="K722" s="91"/>
      <c r="L722" s="70"/>
      <c r="N722" s="70"/>
      <c r="P722" t="str">
        <f t="shared" si="11"/>
        <v/>
      </c>
    </row>
    <row r="723" spans="9:16" ht="18" x14ac:dyDescent="0.45">
      <c r="I723" s="67"/>
      <c r="K723" s="91"/>
      <c r="L723" s="70"/>
      <c r="N723" s="70"/>
      <c r="P723" t="str">
        <f t="shared" si="11"/>
        <v/>
      </c>
    </row>
    <row r="724" spans="9:16" ht="18" x14ac:dyDescent="0.45">
      <c r="I724" s="67"/>
      <c r="K724" s="91"/>
      <c r="L724" s="70"/>
      <c r="N724" s="70"/>
      <c r="P724" t="str">
        <f t="shared" si="11"/>
        <v/>
      </c>
    </row>
    <row r="725" spans="9:16" ht="18" x14ac:dyDescent="0.45">
      <c r="I725" s="67"/>
      <c r="K725" s="91"/>
      <c r="L725" s="70"/>
      <c r="N725" s="70"/>
      <c r="P725" t="str">
        <f t="shared" si="11"/>
        <v/>
      </c>
    </row>
    <row r="726" spans="9:16" ht="18" x14ac:dyDescent="0.45">
      <c r="I726" s="67"/>
      <c r="K726" s="91"/>
      <c r="L726" s="70"/>
      <c r="N726" s="70"/>
      <c r="P726" t="str">
        <f t="shared" si="11"/>
        <v/>
      </c>
    </row>
    <row r="727" spans="9:16" ht="18" x14ac:dyDescent="0.45">
      <c r="I727" s="67"/>
      <c r="K727" s="91"/>
      <c r="L727" s="70"/>
      <c r="N727" s="70"/>
      <c r="P727" t="str">
        <f t="shared" si="11"/>
        <v/>
      </c>
    </row>
    <row r="728" spans="9:16" ht="18" x14ac:dyDescent="0.45">
      <c r="I728" s="67"/>
      <c r="K728" s="91"/>
      <c r="L728" s="70"/>
      <c r="N728" s="70"/>
      <c r="P728" t="str">
        <f t="shared" si="11"/>
        <v/>
      </c>
    </row>
    <row r="729" spans="9:16" ht="18" x14ac:dyDescent="0.45">
      <c r="I729" s="67"/>
      <c r="K729" s="91"/>
      <c r="L729" s="70"/>
      <c r="N729" s="70"/>
      <c r="P729" t="str">
        <f t="shared" si="11"/>
        <v/>
      </c>
    </row>
    <row r="730" spans="9:16" ht="18" x14ac:dyDescent="0.45">
      <c r="I730" s="67"/>
      <c r="K730" s="91"/>
      <c r="L730" s="70"/>
      <c r="N730" s="70"/>
      <c r="P730" t="str">
        <f t="shared" si="11"/>
        <v/>
      </c>
    </row>
    <row r="731" spans="9:16" ht="18" x14ac:dyDescent="0.45">
      <c r="I731" s="67"/>
      <c r="K731" s="91"/>
      <c r="L731" s="70"/>
      <c r="N731" s="70"/>
      <c r="P731" t="str">
        <f t="shared" si="11"/>
        <v/>
      </c>
    </row>
    <row r="732" spans="9:16" ht="18" x14ac:dyDescent="0.45">
      <c r="I732" s="67"/>
      <c r="K732" s="91"/>
      <c r="L732" s="70"/>
      <c r="N732" s="70"/>
      <c r="P732" t="str">
        <f t="shared" si="11"/>
        <v/>
      </c>
    </row>
    <row r="733" spans="9:16" ht="18" x14ac:dyDescent="0.45">
      <c r="I733" s="67"/>
      <c r="K733" s="91"/>
      <c r="L733" s="70"/>
      <c r="N733" s="70"/>
      <c r="P733" t="str">
        <f t="shared" si="11"/>
        <v/>
      </c>
    </row>
    <row r="734" spans="9:16" ht="18" x14ac:dyDescent="0.45">
      <c r="I734" s="67"/>
      <c r="K734" s="91"/>
      <c r="L734" s="70"/>
      <c r="N734" s="70"/>
      <c r="P734" t="str">
        <f t="shared" si="11"/>
        <v/>
      </c>
    </row>
    <row r="735" spans="9:16" ht="18" x14ac:dyDescent="0.45">
      <c r="I735" s="67"/>
      <c r="K735" s="91"/>
      <c r="L735" s="70"/>
      <c r="N735" s="70"/>
      <c r="P735" t="str">
        <f t="shared" si="11"/>
        <v/>
      </c>
    </row>
    <row r="736" spans="9:16" ht="18" x14ac:dyDescent="0.45">
      <c r="I736" s="67"/>
      <c r="K736" s="91"/>
      <c r="L736" s="70"/>
      <c r="N736" s="70"/>
      <c r="P736" t="str">
        <f t="shared" si="11"/>
        <v/>
      </c>
    </row>
    <row r="737" spans="9:16" ht="18" x14ac:dyDescent="0.45">
      <c r="I737" s="67"/>
      <c r="K737" s="91"/>
      <c r="L737" s="70"/>
      <c r="N737" s="70"/>
      <c r="P737" t="str">
        <f t="shared" si="11"/>
        <v/>
      </c>
    </row>
    <row r="738" spans="9:16" ht="18" x14ac:dyDescent="0.45">
      <c r="I738" s="67"/>
      <c r="K738" s="91"/>
      <c r="L738" s="70"/>
      <c r="N738" s="70"/>
      <c r="P738" t="str">
        <f t="shared" si="11"/>
        <v/>
      </c>
    </row>
    <row r="739" spans="9:16" ht="18" x14ac:dyDescent="0.45">
      <c r="I739" s="67"/>
      <c r="K739" s="91"/>
      <c r="L739" s="70"/>
      <c r="N739" s="70"/>
      <c r="P739" t="str">
        <f t="shared" si="11"/>
        <v/>
      </c>
    </row>
    <row r="740" spans="9:16" ht="18" x14ac:dyDescent="0.45">
      <c r="I740" s="67"/>
      <c r="K740" s="91"/>
      <c r="L740" s="70"/>
      <c r="N740" s="70"/>
      <c r="P740" t="str">
        <f t="shared" si="11"/>
        <v/>
      </c>
    </row>
    <row r="741" spans="9:16" ht="18" x14ac:dyDescent="0.45">
      <c r="I741" s="67"/>
      <c r="K741" s="91"/>
      <c r="L741" s="70"/>
      <c r="N741" s="70"/>
      <c r="P741" t="str">
        <f t="shared" si="11"/>
        <v/>
      </c>
    </row>
    <row r="742" spans="9:16" ht="18" x14ac:dyDescent="0.45">
      <c r="I742" s="67"/>
      <c r="K742" s="91"/>
      <c r="L742" s="70"/>
      <c r="N742" s="70"/>
      <c r="P742" t="str">
        <f t="shared" si="11"/>
        <v/>
      </c>
    </row>
    <row r="743" spans="9:16" ht="18" x14ac:dyDescent="0.45">
      <c r="I743" s="67"/>
      <c r="K743" s="91"/>
      <c r="L743" s="70"/>
      <c r="N743" s="70"/>
      <c r="P743" t="str">
        <f t="shared" si="11"/>
        <v/>
      </c>
    </row>
    <row r="744" spans="9:16" ht="18" x14ac:dyDescent="0.45">
      <c r="I744" s="67"/>
      <c r="K744" s="91"/>
      <c r="L744" s="70"/>
      <c r="N744" s="70"/>
      <c r="P744" t="str">
        <f t="shared" si="11"/>
        <v/>
      </c>
    </row>
    <row r="745" spans="9:16" ht="18" x14ac:dyDescent="0.45">
      <c r="I745" s="67"/>
      <c r="K745" s="91"/>
      <c r="L745" s="70"/>
      <c r="N745" s="70"/>
      <c r="P745" t="str">
        <f t="shared" si="11"/>
        <v/>
      </c>
    </row>
    <row r="746" spans="9:16" ht="18" x14ac:dyDescent="0.45">
      <c r="I746" s="67"/>
      <c r="K746" s="91"/>
      <c r="L746" s="70"/>
      <c r="N746" s="70"/>
      <c r="P746" t="str">
        <f t="shared" si="11"/>
        <v/>
      </c>
    </row>
    <row r="747" spans="9:16" ht="18" x14ac:dyDescent="0.45">
      <c r="I747" s="67"/>
      <c r="K747" s="91"/>
      <c r="L747" s="70"/>
      <c r="N747" s="70"/>
      <c r="P747" t="str">
        <f t="shared" si="11"/>
        <v/>
      </c>
    </row>
    <row r="748" spans="9:16" ht="18" x14ac:dyDescent="0.45">
      <c r="I748" s="67"/>
      <c r="K748" s="91"/>
      <c r="L748" s="70"/>
      <c r="N748" s="70"/>
      <c r="P748" t="str">
        <f t="shared" si="11"/>
        <v/>
      </c>
    </row>
    <row r="749" spans="9:16" ht="18" x14ac:dyDescent="0.45">
      <c r="I749" s="67"/>
      <c r="K749" s="91"/>
      <c r="L749" s="70"/>
      <c r="N749" s="70"/>
      <c r="P749" t="str">
        <f t="shared" si="11"/>
        <v/>
      </c>
    </row>
    <row r="750" spans="9:16" ht="18" x14ac:dyDescent="0.45">
      <c r="I750" s="67"/>
      <c r="K750" s="91"/>
      <c r="L750" s="70"/>
      <c r="N750" s="70"/>
      <c r="P750" t="str">
        <f t="shared" si="11"/>
        <v/>
      </c>
    </row>
    <row r="751" spans="9:16" ht="18" x14ac:dyDescent="0.45">
      <c r="I751" s="67"/>
      <c r="K751" s="91"/>
      <c r="L751" s="70"/>
      <c r="N751" s="70"/>
      <c r="P751" t="str">
        <f t="shared" si="11"/>
        <v/>
      </c>
    </row>
    <row r="752" spans="9:16" ht="18" x14ac:dyDescent="0.45">
      <c r="I752" s="67"/>
      <c r="K752" s="91"/>
      <c r="L752" s="70"/>
      <c r="N752" s="70"/>
      <c r="P752" t="str">
        <f t="shared" si="11"/>
        <v/>
      </c>
    </row>
    <row r="753" spans="9:16" ht="18" x14ac:dyDescent="0.45">
      <c r="I753" s="67"/>
      <c r="K753" s="91"/>
      <c r="L753" s="70"/>
      <c r="N753" s="70"/>
      <c r="P753" t="str">
        <f t="shared" si="11"/>
        <v/>
      </c>
    </row>
    <row r="754" spans="9:16" ht="18" x14ac:dyDescent="0.45">
      <c r="I754" s="67"/>
      <c r="K754" s="91"/>
      <c r="L754" s="70"/>
      <c r="N754" s="70"/>
      <c r="P754" t="str">
        <f t="shared" si="11"/>
        <v/>
      </c>
    </row>
    <row r="755" spans="9:16" ht="18" x14ac:dyDescent="0.45">
      <c r="I755" s="67"/>
      <c r="K755" s="91"/>
      <c r="L755" s="70"/>
      <c r="N755" s="70"/>
      <c r="P755" t="str">
        <f t="shared" si="11"/>
        <v/>
      </c>
    </row>
    <row r="756" spans="9:16" ht="18" x14ac:dyDescent="0.45">
      <c r="I756" s="67"/>
      <c r="K756" s="91"/>
      <c r="L756" s="70"/>
      <c r="N756" s="70"/>
      <c r="P756" t="str">
        <f t="shared" si="11"/>
        <v/>
      </c>
    </row>
    <row r="757" spans="9:16" ht="18" x14ac:dyDescent="0.45">
      <c r="I757" s="67"/>
      <c r="K757" s="91"/>
      <c r="L757" s="70"/>
      <c r="N757" s="70"/>
      <c r="P757" t="str">
        <f t="shared" si="11"/>
        <v/>
      </c>
    </row>
    <row r="758" spans="9:16" ht="18" x14ac:dyDescent="0.45">
      <c r="I758" s="67"/>
      <c r="K758" s="91"/>
      <c r="L758" s="70"/>
      <c r="N758" s="70"/>
      <c r="P758" t="str">
        <f t="shared" si="11"/>
        <v/>
      </c>
    </row>
    <row r="759" spans="9:16" ht="18" x14ac:dyDescent="0.45">
      <c r="I759" s="67"/>
      <c r="K759" s="91"/>
      <c r="L759" s="70"/>
      <c r="N759" s="70"/>
      <c r="P759" t="str">
        <f t="shared" si="11"/>
        <v/>
      </c>
    </row>
    <row r="760" spans="9:16" ht="18" x14ac:dyDescent="0.45">
      <c r="I760" s="67"/>
      <c r="K760" s="91"/>
      <c r="L760" s="70"/>
      <c r="N760" s="70"/>
      <c r="P760" t="str">
        <f t="shared" si="11"/>
        <v/>
      </c>
    </row>
    <row r="761" spans="9:16" ht="18" x14ac:dyDescent="0.45">
      <c r="I761" s="67"/>
      <c r="K761" s="91"/>
      <c r="L761" s="70"/>
      <c r="N761" s="70"/>
      <c r="P761" t="str">
        <f t="shared" si="11"/>
        <v/>
      </c>
    </row>
    <row r="762" spans="9:16" ht="18" x14ac:dyDescent="0.45">
      <c r="I762" s="67"/>
      <c r="K762" s="91"/>
      <c r="L762" s="70"/>
      <c r="N762" s="70"/>
      <c r="P762" t="str">
        <f t="shared" si="11"/>
        <v/>
      </c>
    </row>
    <row r="763" spans="9:16" ht="18" x14ac:dyDescent="0.45">
      <c r="I763" s="67"/>
      <c r="K763" s="91"/>
      <c r="L763" s="70"/>
      <c r="N763" s="70"/>
      <c r="P763" t="str">
        <f t="shared" si="11"/>
        <v/>
      </c>
    </row>
    <row r="764" spans="9:16" ht="18" x14ac:dyDescent="0.45">
      <c r="I764" s="67"/>
      <c r="K764" s="91"/>
      <c r="L764" s="70"/>
      <c r="N764" s="70"/>
      <c r="P764" t="str">
        <f t="shared" si="11"/>
        <v/>
      </c>
    </row>
    <row r="765" spans="9:16" ht="18" x14ac:dyDescent="0.45">
      <c r="I765" s="67"/>
      <c r="K765" s="91"/>
      <c r="L765" s="70"/>
      <c r="N765" s="70"/>
      <c r="P765" t="str">
        <f t="shared" si="11"/>
        <v/>
      </c>
    </row>
    <row r="766" spans="9:16" ht="18" x14ac:dyDescent="0.45">
      <c r="I766" s="67"/>
      <c r="K766" s="91"/>
      <c r="L766" s="70"/>
      <c r="N766" s="70"/>
      <c r="P766" t="str">
        <f t="shared" si="11"/>
        <v/>
      </c>
    </row>
    <row r="767" spans="9:16" ht="18" x14ac:dyDescent="0.45">
      <c r="I767" s="67"/>
      <c r="K767" s="91"/>
      <c r="L767" s="70"/>
      <c r="N767" s="70"/>
      <c r="P767" t="str">
        <f t="shared" si="11"/>
        <v/>
      </c>
    </row>
    <row r="768" spans="9:16" ht="18" x14ac:dyDescent="0.45">
      <c r="I768" s="67"/>
      <c r="K768" s="91"/>
      <c r="L768" s="70"/>
      <c r="N768" s="70"/>
      <c r="P768" t="str">
        <f t="shared" si="11"/>
        <v/>
      </c>
    </row>
    <row r="769" spans="9:16" ht="18" x14ac:dyDescent="0.45">
      <c r="I769" s="67"/>
      <c r="K769" s="91"/>
      <c r="L769" s="70"/>
      <c r="N769" s="70"/>
      <c r="P769" t="str">
        <f t="shared" si="11"/>
        <v/>
      </c>
    </row>
    <row r="770" spans="9:16" ht="18" x14ac:dyDescent="0.45">
      <c r="I770" s="67"/>
      <c r="K770" s="91"/>
      <c r="L770" s="70"/>
      <c r="N770" s="70"/>
      <c r="P770" t="str">
        <f t="shared" si="11"/>
        <v/>
      </c>
    </row>
    <row r="771" spans="9:16" ht="18" x14ac:dyDescent="0.45">
      <c r="I771" s="67"/>
      <c r="K771" s="91"/>
      <c r="L771" s="70"/>
      <c r="N771" s="70"/>
      <c r="P771" t="str">
        <f t="shared" si="11"/>
        <v/>
      </c>
    </row>
    <row r="772" spans="9:16" ht="18" x14ac:dyDescent="0.45">
      <c r="I772" s="67"/>
      <c r="K772" s="91"/>
      <c r="L772" s="70"/>
      <c r="N772" s="70"/>
      <c r="P772" t="str">
        <f t="shared" si="11"/>
        <v/>
      </c>
    </row>
    <row r="773" spans="9:16" ht="18" x14ac:dyDescent="0.45">
      <c r="I773" s="67"/>
      <c r="K773" s="91"/>
      <c r="L773" s="70"/>
      <c r="N773" s="70"/>
      <c r="P773" t="str">
        <f t="shared" si="11"/>
        <v/>
      </c>
    </row>
    <row r="774" spans="9:16" ht="18" x14ac:dyDescent="0.45">
      <c r="I774" s="67"/>
      <c r="K774" s="91"/>
      <c r="L774" s="70"/>
      <c r="N774" s="70"/>
      <c r="P774" t="str">
        <f t="shared" si="11"/>
        <v/>
      </c>
    </row>
    <row r="775" spans="9:16" ht="18" x14ac:dyDescent="0.45">
      <c r="I775" s="67"/>
      <c r="K775" s="91"/>
      <c r="L775" s="70"/>
      <c r="N775" s="70"/>
      <c r="P775" t="str">
        <f t="shared" ref="P775:P838" si="12">IF(I775="","",SUMIFS(OrderItems_Qty,OrderItems_Type,"PURCHASE",OrderItems_SKU,I775)-SUMIFS(OrderItems_Qty,OrderItems_Type,"SALE",OrderItems_SKU,I775))</f>
        <v/>
      </c>
    </row>
    <row r="776" spans="9:16" ht="18" x14ac:dyDescent="0.45">
      <c r="I776" s="67"/>
      <c r="K776" s="91"/>
      <c r="L776" s="70"/>
      <c r="N776" s="70"/>
      <c r="P776" t="str">
        <f t="shared" si="12"/>
        <v/>
      </c>
    </row>
    <row r="777" spans="9:16" ht="18" x14ac:dyDescent="0.45">
      <c r="I777" s="67"/>
      <c r="K777" s="91"/>
      <c r="L777" s="70"/>
      <c r="N777" s="70"/>
      <c r="P777" t="str">
        <f t="shared" si="12"/>
        <v/>
      </c>
    </row>
    <row r="778" spans="9:16" ht="18" x14ac:dyDescent="0.45">
      <c r="I778" s="67"/>
      <c r="K778" s="91"/>
      <c r="L778" s="70"/>
      <c r="N778" s="70"/>
      <c r="P778" t="str">
        <f t="shared" si="12"/>
        <v/>
      </c>
    </row>
    <row r="779" spans="9:16" ht="18" x14ac:dyDescent="0.45">
      <c r="I779" s="67"/>
      <c r="K779" s="91"/>
      <c r="L779" s="70"/>
      <c r="N779" s="70"/>
      <c r="P779" t="str">
        <f t="shared" si="12"/>
        <v/>
      </c>
    </row>
    <row r="780" spans="9:16" ht="18" x14ac:dyDescent="0.45">
      <c r="I780" s="67"/>
      <c r="K780" s="91"/>
      <c r="L780" s="70"/>
      <c r="N780" s="70"/>
      <c r="P780" t="str">
        <f t="shared" si="12"/>
        <v/>
      </c>
    </row>
    <row r="781" spans="9:16" ht="18" x14ac:dyDescent="0.45">
      <c r="I781" s="67"/>
      <c r="K781" s="91"/>
      <c r="L781" s="70"/>
      <c r="N781" s="70"/>
      <c r="P781" t="str">
        <f t="shared" si="12"/>
        <v/>
      </c>
    </row>
    <row r="782" spans="9:16" ht="18" x14ac:dyDescent="0.45">
      <c r="I782" s="67"/>
      <c r="K782" s="91"/>
      <c r="L782" s="70"/>
      <c r="N782" s="70"/>
      <c r="P782" t="str">
        <f t="shared" si="12"/>
        <v/>
      </c>
    </row>
    <row r="783" spans="9:16" ht="18" x14ac:dyDescent="0.45">
      <c r="I783" s="67"/>
      <c r="K783" s="91"/>
      <c r="L783" s="70"/>
      <c r="N783" s="70"/>
      <c r="P783" t="str">
        <f t="shared" si="12"/>
        <v/>
      </c>
    </row>
    <row r="784" spans="9:16" ht="18" x14ac:dyDescent="0.45">
      <c r="I784" s="67"/>
      <c r="K784" s="91"/>
      <c r="L784" s="70"/>
      <c r="N784" s="70"/>
      <c r="P784" t="str">
        <f t="shared" si="12"/>
        <v/>
      </c>
    </row>
    <row r="785" spans="9:16" ht="18" x14ac:dyDescent="0.45">
      <c r="I785" s="67"/>
      <c r="K785" s="91"/>
      <c r="L785" s="70"/>
      <c r="N785" s="70"/>
      <c r="P785" t="str">
        <f t="shared" si="12"/>
        <v/>
      </c>
    </row>
    <row r="786" spans="9:16" ht="18" x14ac:dyDescent="0.45">
      <c r="I786" s="67"/>
      <c r="K786" s="91"/>
      <c r="L786" s="70"/>
      <c r="N786" s="70"/>
      <c r="P786" t="str">
        <f t="shared" si="12"/>
        <v/>
      </c>
    </row>
    <row r="787" spans="9:16" ht="18" x14ac:dyDescent="0.45">
      <c r="I787" s="67"/>
      <c r="K787" s="91"/>
      <c r="L787" s="70"/>
      <c r="N787" s="70"/>
      <c r="P787" t="str">
        <f t="shared" si="12"/>
        <v/>
      </c>
    </row>
    <row r="788" spans="9:16" ht="18" x14ac:dyDescent="0.45">
      <c r="I788" s="67"/>
      <c r="K788" s="91"/>
      <c r="L788" s="70"/>
      <c r="N788" s="70"/>
      <c r="P788" t="str">
        <f t="shared" si="12"/>
        <v/>
      </c>
    </row>
    <row r="789" spans="9:16" ht="18" x14ac:dyDescent="0.45">
      <c r="I789" s="67"/>
      <c r="K789" s="91"/>
      <c r="L789" s="70"/>
      <c r="N789" s="70"/>
      <c r="P789" t="str">
        <f t="shared" si="12"/>
        <v/>
      </c>
    </row>
    <row r="790" spans="9:16" ht="18" x14ac:dyDescent="0.45">
      <c r="I790" s="67"/>
      <c r="K790" s="91"/>
      <c r="L790" s="70"/>
      <c r="N790" s="70"/>
      <c r="P790" t="str">
        <f t="shared" si="12"/>
        <v/>
      </c>
    </row>
    <row r="791" spans="9:16" ht="18" x14ac:dyDescent="0.45">
      <c r="I791" s="67"/>
      <c r="K791" s="91"/>
      <c r="L791" s="70"/>
      <c r="N791" s="70"/>
      <c r="P791" t="str">
        <f t="shared" si="12"/>
        <v/>
      </c>
    </row>
    <row r="792" spans="9:16" ht="18" x14ac:dyDescent="0.45">
      <c r="I792" s="67"/>
      <c r="K792" s="91"/>
      <c r="L792" s="70"/>
      <c r="N792" s="70"/>
      <c r="P792" t="str">
        <f t="shared" si="12"/>
        <v/>
      </c>
    </row>
    <row r="793" spans="9:16" ht="18" x14ac:dyDescent="0.45">
      <c r="I793" s="67"/>
      <c r="K793" s="91"/>
      <c r="L793" s="70"/>
      <c r="N793" s="70"/>
      <c r="P793" t="str">
        <f t="shared" si="12"/>
        <v/>
      </c>
    </row>
    <row r="794" spans="9:16" ht="18" x14ac:dyDescent="0.45">
      <c r="I794" s="67"/>
      <c r="K794" s="91"/>
      <c r="L794" s="70"/>
      <c r="N794" s="70"/>
      <c r="P794" t="str">
        <f t="shared" si="12"/>
        <v/>
      </c>
    </row>
    <row r="795" spans="9:16" ht="18" x14ac:dyDescent="0.45">
      <c r="I795" s="67"/>
      <c r="K795" s="91"/>
      <c r="L795" s="70"/>
      <c r="N795" s="70"/>
      <c r="P795" t="str">
        <f t="shared" si="12"/>
        <v/>
      </c>
    </row>
    <row r="796" spans="9:16" ht="18" x14ac:dyDescent="0.45">
      <c r="I796" s="67"/>
      <c r="K796" s="91"/>
      <c r="L796" s="70"/>
      <c r="N796" s="70"/>
      <c r="P796" t="str">
        <f t="shared" si="12"/>
        <v/>
      </c>
    </row>
    <row r="797" spans="9:16" ht="18" x14ac:dyDescent="0.45">
      <c r="I797" s="67"/>
      <c r="K797" s="91"/>
      <c r="L797" s="70"/>
      <c r="N797" s="70"/>
      <c r="P797" t="str">
        <f t="shared" si="12"/>
        <v/>
      </c>
    </row>
    <row r="798" spans="9:16" ht="18" x14ac:dyDescent="0.45">
      <c r="I798" s="67"/>
      <c r="K798" s="91"/>
      <c r="L798" s="70"/>
      <c r="N798" s="70"/>
      <c r="P798" t="str">
        <f t="shared" si="12"/>
        <v/>
      </c>
    </row>
    <row r="799" spans="9:16" ht="18" x14ac:dyDescent="0.45">
      <c r="I799" s="67"/>
      <c r="K799" s="91"/>
      <c r="L799" s="70"/>
      <c r="N799" s="70"/>
      <c r="P799" t="str">
        <f t="shared" si="12"/>
        <v/>
      </c>
    </row>
    <row r="800" spans="9:16" ht="18" x14ac:dyDescent="0.45">
      <c r="I800" s="67"/>
      <c r="K800" s="91"/>
      <c r="L800" s="70"/>
      <c r="N800" s="70"/>
      <c r="P800" t="str">
        <f t="shared" si="12"/>
        <v/>
      </c>
    </row>
    <row r="801" spans="9:16" ht="18" x14ac:dyDescent="0.45">
      <c r="I801" s="67"/>
      <c r="K801" s="91"/>
      <c r="L801" s="70"/>
      <c r="N801" s="70"/>
      <c r="P801" t="str">
        <f t="shared" si="12"/>
        <v/>
      </c>
    </row>
    <row r="802" spans="9:16" ht="18" x14ac:dyDescent="0.45">
      <c r="I802" s="67"/>
      <c r="K802" s="91"/>
      <c r="L802" s="70"/>
      <c r="N802" s="70"/>
      <c r="P802" t="str">
        <f t="shared" si="12"/>
        <v/>
      </c>
    </row>
    <row r="803" spans="9:16" ht="18" x14ac:dyDescent="0.45">
      <c r="I803" s="67"/>
      <c r="K803" s="91"/>
      <c r="L803" s="70"/>
      <c r="N803" s="70"/>
      <c r="P803" t="str">
        <f t="shared" si="12"/>
        <v/>
      </c>
    </row>
    <row r="804" spans="9:16" ht="18" x14ac:dyDescent="0.45">
      <c r="I804" s="67"/>
      <c r="K804" s="91"/>
      <c r="L804" s="70"/>
      <c r="N804" s="70"/>
      <c r="P804" t="str">
        <f t="shared" si="12"/>
        <v/>
      </c>
    </row>
    <row r="805" spans="9:16" ht="18" x14ac:dyDescent="0.45">
      <c r="I805" s="67"/>
      <c r="K805" s="91"/>
      <c r="L805" s="70"/>
      <c r="N805" s="70"/>
      <c r="P805" t="str">
        <f t="shared" si="12"/>
        <v/>
      </c>
    </row>
    <row r="806" spans="9:16" ht="18" x14ac:dyDescent="0.45">
      <c r="I806" s="67"/>
      <c r="K806" s="91"/>
      <c r="L806" s="70"/>
      <c r="N806" s="70"/>
      <c r="P806" t="str">
        <f t="shared" si="12"/>
        <v/>
      </c>
    </row>
    <row r="807" spans="9:16" ht="18" x14ac:dyDescent="0.45">
      <c r="I807" s="67"/>
      <c r="K807" s="91"/>
      <c r="L807" s="70"/>
      <c r="N807" s="70"/>
      <c r="P807" t="str">
        <f t="shared" si="12"/>
        <v/>
      </c>
    </row>
    <row r="808" spans="9:16" ht="18" x14ac:dyDescent="0.45">
      <c r="I808" s="67"/>
      <c r="K808" s="91"/>
      <c r="L808" s="70"/>
      <c r="N808" s="70"/>
      <c r="P808" t="str">
        <f t="shared" si="12"/>
        <v/>
      </c>
    </row>
    <row r="809" spans="9:16" ht="18" x14ac:dyDescent="0.45">
      <c r="I809" s="67"/>
      <c r="K809" s="91"/>
      <c r="L809" s="70"/>
      <c r="N809" s="70"/>
      <c r="P809" t="str">
        <f t="shared" si="12"/>
        <v/>
      </c>
    </row>
    <row r="810" spans="9:16" ht="18" x14ac:dyDescent="0.45">
      <c r="I810" s="67"/>
      <c r="K810" s="91"/>
      <c r="L810" s="70"/>
      <c r="N810" s="70"/>
      <c r="P810" t="str">
        <f t="shared" si="12"/>
        <v/>
      </c>
    </row>
    <row r="811" spans="9:16" ht="18" x14ac:dyDescent="0.45">
      <c r="I811" s="67"/>
      <c r="K811" s="91"/>
      <c r="L811" s="70"/>
      <c r="N811" s="70"/>
      <c r="P811" t="str">
        <f t="shared" si="12"/>
        <v/>
      </c>
    </row>
    <row r="812" spans="9:16" ht="18" x14ac:dyDescent="0.45">
      <c r="I812" s="67"/>
      <c r="K812" s="91"/>
      <c r="L812" s="70"/>
      <c r="N812" s="70"/>
      <c r="P812" t="str">
        <f t="shared" si="12"/>
        <v/>
      </c>
    </row>
    <row r="813" spans="9:16" ht="18" x14ac:dyDescent="0.45">
      <c r="I813" s="67"/>
      <c r="K813" s="91"/>
      <c r="L813" s="70"/>
      <c r="N813" s="70"/>
      <c r="P813" t="str">
        <f t="shared" si="12"/>
        <v/>
      </c>
    </row>
    <row r="814" spans="9:16" ht="18" x14ac:dyDescent="0.45">
      <c r="I814" s="67"/>
      <c r="K814" s="91"/>
      <c r="L814" s="70"/>
      <c r="N814" s="70"/>
      <c r="P814" t="str">
        <f t="shared" si="12"/>
        <v/>
      </c>
    </row>
    <row r="815" spans="9:16" ht="18" x14ac:dyDescent="0.45">
      <c r="I815" s="67"/>
      <c r="K815" s="91"/>
      <c r="L815" s="70"/>
      <c r="N815" s="70"/>
      <c r="P815" t="str">
        <f t="shared" si="12"/>
        <v/>
      </c>
    </row>
    <row r="816" spans="9:16" ht="18" x14ac:dyDescent="0.45">
      <c r="I816" s="67"/>
      <c r="K816" s="91"/>
      <c r="L816" s="70"/>
      <c r="N816" s="70"/>
      <c r="P816" t="str">
        <f t="shared" si="12"/>
        <v/>
      </c>
    </row>
    <row r="817" spans="9:16" ht="18" x14ac:dyDescent="0.45">
      <c r="I817" s="67"/>
      <c r="K817" s="91"/>
      <c r="L817" s="70"/>
      <c r="N817" s="70"/>
      <c r="P817" t="str">
        <f t="shared" si="12"/>
        <v/>
      </c>
    </row>
    <row r="818" spans="9:16" ht="18" x14ac:dyDescent="0.45">
      <c r="I818" s="67"/>
      <c r="K818" s="91"/>
      <c r="L818" s="70"/>
      <c r="N818" s="70"/>
      <c r="P818" t="str">
        <f t="shared" si="12"/>
        <v/>
      </c>
    </row>
    <row r="819" spans="9:16" ht="18" x14ac:dyDescent="0.45">
      <c r="I819" s="67"/>
      <c r="K819" s="91"/>
      <c r="L819" s="70"/>
      <c r="N819" s="70"/>
      <c r="P819" t="str">
        <f t="shared" si="12"/>
        <v/>
      </c>
    </row>
    <row r="820" spans="9:16" ht="18" x14ac:dyDescent="0.45">
      <c r="I820" s="67"/>
      <c r="K820" s="91"/>
      <c r="L820" s="70"/>
      <c r="N820" s="70"/>
      <c r="P820" t="str">
        <f t="shared" si="12"/>
        <v/>
      </c>
    </row>
    <row r="821" spans="9:16" ht="18" x14ac:dyDescent="0.45">
      <c r="I821" s="67"/>
      <c r="K821" s="91"/>
      <c r="L821" s="70"/>
      <c r="N821" s="70"/>
      <c r="P821" t="str">
        <f t="shared" si="12"/>
        <v/>
      </c>
    </row>
    <row r="822" spans="9:16" ht="18" x14ac:dyDescent="0.45">
      <c r="I822" s="67"/>
      <c r="K822" s="91"/>
      <c r="L822" s="70"/>
      <c r="N822" s="70"/>
      <c r="P822" t="str">
        <f t="shared" si="12"/>
        <v/>
      </c>
    </row>
    <row r="823" spans="9:16" ht="18" x14ac:dyDescent="0.45">
      <c r="I823" s="67"/>
      <c r="K823" s="91"/>
      <c r="L823" s="70"/>
      <c r="N823" s="70"/>
      <c r="P823" t="str">
        <f t="shared" si="12"/>
        <v/>
      </c>
    </row>
    <row r="824" spans="9:16" ht="18" x14ac:dyDescent="0.45">
      <c r="I824" s="67"/>
      <c r="K824" s="91"/>
      <c r="L824" s="70"/>
      <c r="N824" s="70"/>
      <c r="P824" t="str">
        <f t="shared" si="12"/>
        <v/>
      </c>
    </row>
    <row r="825" spans="9:16" ht="18" x14ac:dyDescent="0.45">
      <c r="I825" s="67"/>
      <c r="K825" s="91"/>
      <c r="L825" s="70"/>
      <c r="N825" s="70"/>
      <c r="P825" t="str">
        <f t="shared" si="12"/>
        <v/>
      </c>
    </row>
    <row r="826" spans="9:16" ht="18" x14ac:dyDescent="0.45">
      <c r="I826" s="67"/>
      <c r="K826" s="91"/>
      <c r="L826" s="70"/>
      <c r="N826" s="70"/>
      <c r="P826" t="str">
        <f t="shared" si="12"/>
        <v/>
      </c>
    </row>
    <row r="827" spans="9:16" ht="18" x14ac:dyDescent="0.45">
      <c r="I827" s="67"/>
      <c r="K827" s="91"/>
      <c r="L827" s="70"/>
      <c r="N827" s="70"/>
      <c r="P827" t="str">
        <f t="shared" si="12"/>
        <v/>
      </c>
    </row>
    <row r="828" spans="9:16" ht="18" x14ac:dyDescent="0.45">
      <c r="I828" s="67"/>
      <c r="K828" s="91"/>
      <c r="L828" s="70"/>
      <c r="N828" s="70"/>
      <c r="P828" t="str">
        <f t="shared" si="12"/>
        <v/>
      </c>
    </row>
    <row r="829" spans="9:16" ht="18" x14ac:dyDescent="0.45">
      <c r="I829" s="67"/>
      <c r="K829" s="91"/>
      <c r="L829" s="70"/>
      <c r="N829" s="70"/>
      <c r="P829" t="str">
        <f t="shared" si="12"/>
        <v/>
      </c>
    </row>
    <row r="830" spans="9:16" ht="18" x14ac:dyDescent="0.45">
      <c r="I830" s="67"/>
      <c r="K830" s="91"/>
      <c r="L830" s="70"/>
      <c r="N830" s="70"/>
      <c r="P830" t="str">
        <f t="shared" si="12"/>
        <v/>
      </c>
    </row>
    <row r="831" spans="9:16" ht="18" x14ac:dyDescent="0.45">
      <c r="I831" s="67"/>
      <c r="K831" s="91"/>
      <c r="L831" s="70"/>
      <c r="N831" s="70"/>
      <c r="P831" t="str">
        <f t="shared" si="12"/>
        <v/>
      </c>
    </row>
    <row r="832" spans="9:16" ht="18" x14ac:dyDescent="0.45">
      <c r="I832" s="67"/>
      <c r="K832" s="91"/>
      <c r="L832" s="70"/>
      <c r="N832" s="70"/>
      <c r="P832" t="str">
        <f t="shared" si="12"/>
        <v/>
      </c>
    </row>
    <row r="833" spans="9:16" ht="18" x14ac:dyDescent="0.45">
      <c r="I833" s="67"/>
      <c r="K833" s="91"/>
      <c r="L833" s="70"/>
      <c r="N833" s="70"/>
      <c r="P833" t="str">
        <f t="shared" si="12"/>
        <v/>
      </c>
    </row>
    <row r="834" spans="9:16" ht="18" x14ac:dyDescent="0.45">
      <c r="I834" s="67"/>
      <c r="K834" s="91"/>
      <c r="L834" s="70"/>
      <c r="N834" s="70"/>
      <c r="P834" t="str">
        <f t="shared" si="12"/>
        <v/>
      </c>
    </row>
    <row r="835" spans="9:16" ht="18" x14ac:dyDescent="0.45">
      <c r="I835" s="67"/>
      <c r="K835" s="91"/>
      <c r="L835" s="70"/>
      <c r="N835" s="70"/>
      <c r="P835" t="str">
        <f t="shared" si="12"/>
        <v/>
      </c>
    </row>
    <row r="836" spans="9:16" ht="18" x14ac:dyDescent="0.45">
      <c r="I836" s="67"/>
      <c r="K836" s="91"/>
      <c r="L836" s="70"/>
      <c r="N836" s="70"/>
      <c r="P836" t="str">
        <f t="shared" si="12"/>
        <v/>
      </c>
    </row>
    <row r="837" spans="9:16" ht="18" x14ac:dyDescent="0.45">
      <c r="I837" s="67"/>
      <c r="K837" s="91"/>
      <c r="L837" s="70"/>
      <c r="N837" s="70"/>
      <c r="P837" t="str">
        <f t="shared" si="12"/>
        <v/>
      </c>
    </row>
    <row r="838" spans="9:16" ht="18" x14ac:dyDescent="0.45">
      <c r="I838" s="67"/>
      <c r="K838" s="91"/>
      <c r="L838" s="70"/>
      <c r="N838" s="70"/>
      <c r="P838" t="str">
        <f t="shared" si="12"/>
        <v/>
      </c>
    </row>
    <row r="839" spans="9:16" ht="18" x14ac:dyDescent="0.45">
      <c r="I839" s="67"/>
      <c r="K839" s="91"/>
      <c r="L839" s="70"/>
      <c r="N839" s="70"/>
      <c r="P839" t="str">
        <f t="shared" ref="P839:P902" si="13">IF(I839="","",SUMIFS(OrderItems_Qty,OrderItems_Type,"PURCHASE",OrderItems_SKU,I839)-SUMIFS(OrderItems_Qty,OrderItems_Type,"SALE",OrderItems_SKU,I839))</f>
        <v/>
      </c>
    </row>
    <row r="840" spans="9:16" ht="18" x14ac:dyDescent="0.45">
      <c r="I840" s="67"/>
      <c r="K840" s="91"/>
      <c r="L840" s="70"/>
      <c r="N840" s="70"/>
      <c r="P840" t="str">
        <f t="shared" si="13"/>
        <v/>
      </c>
    </row>
    <row r="841" spans="9:16" ht="18" x14ac:dyDescent="0.45">
      <c r="I841" s="67"/>
      <c r="K841" s="91"/>
      <c r="L841" s="70"/>
      <c r="N841" s="70"/>
      <c r="P841" t="str">
        <f t="shared" si="13"/>
        <v/>
      </c>
    </row>
    <row r="842" spans="9:16" ht="18" x14ac:dyDescent="0.45">
      <c r="I842" s="67"/>
      <c r="K842" s="91"/>
      <c r="L842" s="70"/>
      <c r="N842" s="70"/>
      <c r="P842" t="str">
        <f t="shared" si="13"/>
        <v/>
      </c>
    </row>
    <row r="843" spans="9:16" ht="18" x14ac:dyDescent="0.45">
      <c r="I843" s="67"/>
      <c r="K843" s="91"/>
      <c r="L843" s="70"/>
      <c r="N843" s="70"/>
      <c r="P843" t="str">
        <f t="shared" si="13"/>
        <v/>
      </c>
    </row>
    <row r="844" spans="9:16" ht="18" x14ac:dyDescent="0.45">
      <c r="I844" s="67"/>
      <c r="K844" s="91"/>
      <c r="L844" s="70"/>
      <c r="N844" s="70"/>
      <c r="P844" t="str">
        <f t="shared" si="13"/>
        <v/>
      </c>
    </row>
    <row r="845" spans="9:16" ht="18" x14ac:dyDescent="0.45">
      <c r="I845" s="67"/>
      <c r="K845" s="91"/>
      <c r="L845" s="70"/>
      <c r="N845" s="70"/>
      <c r="P845" t="str">
        <f t="shared" si="13"/>
        <v/>
      </c>
    </row>
    <row r="846" spans="9:16" ht="18" x14ac:dyDescent="0.45">
      <c r="I846" s="67"/>
      <c r="K846" s="91"/>
      <c r="L846" s="70"/>
      <c r="N846" s="70"/>
      <c r="P846" t="str">
        <f t="shared" si="13"/>
        <v/>
      </c>
    </row>
    <row r="847" spans="9:16" ht="18" x14ac:dyDescent="0.45">
      <c r="I847" s="67"/>
      <c r="K847" s="91"/>
      <c r="L847" s="70"/>
      <c r="N847" s="70"/>
      <c r="P847" t="str">
        <f t="shared" si="13"/>
        <v/>
      </c>
    </row>
    <row r="848" spans="9:16" ht="18" x14ac:dyDescent="0.45">
      <c r="I848" s="67"/>
      <c r="K848" s="91"/>
      <c r="L848" s="70"/>
      <c r="N848" s="70"/>
      <c r="P848" t="str">
        <f t="shared" si="13"/>
        <v/>
      </c>
    </row>
    <row r="849" spans="9:16" ht="18" x14ac:dyDescent="0.45">
      <c r="I849" s="67"/>
      <c r="K849" s="91"/>
      <c r="L849" s="70"/>
      <c r="N849" s="70"/>
      <c r="P849" t="str">
        <f t="shared" si="13"/>
        <v/>
      </c>
    </row>
    <row r="850" spans="9:16" ht="18" x14ac:dyDescent="0.45">
      <c r="I850" s="67"/>
      <c r="K850" s="91"/>
      <c r="L850" s="70"/>
      <c r="N850" s="70"/>
      <c r="P850" t="str">
        <f t="shared" si="13"/>
        <v/>
      </c>
    </row>
    <row r="851" spans="9:16" ht="18" x14ac:dyDescent="0.45">
      <c r="I851" s="67"/>
      <c r="K851" s="91"/>
      <c r="L851" s="70"/>
      <c r="N851" s="70"/>
      <c r="P851" t="str">
        <f t="shared" si="13"/>
        <v/>
      </c>
    </row>
    <row r="852" spans="9:16" ht="18" x14ac:dyDescent="0.45">
      <c r="I852" s="67"/>
      <c r="K852" s="91"/>
      <c r="L852" s="70"/>
      <c r="N852" s="70"/>
      <c r="P852" t="str">
        <f t="shared" si="13"/>
        <v/>
      </c>
    </row>
    <row r="853" spans="9:16" ht="18" x14ac:dyDescent="0.45">
      <c r="I853" s="67"/>
      <c r="K853" s="91"/>
      <c r="L853" s="70"/>
      <c r="N853" s="70"/>
      <c r="P853" t="str">
        <f t="shared" si="13"/>
        <v/>
      </c>
    </row>
    <row r="854" spans="9:16" ht="18" x14ac:dyDescent="0.45">
      <c r="I854" s="67"/>
      <c r="K854" s="91"/>
      <c r="L854" s="70"/>
      <c r="N854" s="70"/>
      <c r="P854" t="str">
        <f t="shared" si="13"/>
        <v/>
      </c>
    </row>
    <row r="855" spans="9:16" ht="18" x14ac:dyDescent="0.45">
      <c r="I855" s="67"/>
      <c r="K855" s="91"/>
      <c r="L855" s="70"/>
      <c r="N855" s="70"/>
      <c r="P855" t="str">
        <f t="shared" si="13"/>
        <v/>
      </c>
    </row>
    <row r="856" spans="9:16" ht="18" x14ac:dyDescent="0.45">
      <c r="I856" s="67"/>
      <c r="K856" s="91"/>
      <c r="L856" s="70"/>
      <c r="N856" s="70"/>
      <c r="P856" t="str">
        <f t="shared" si="13"/>
        <v/>
      </c>
    </row>
    <row r="857" spans="9:16" ht="18" x14ac:dyDescent="0.45">
      <c r="I857" s="67"/>
      <c r="K857" s="91"/>
      <c r="L857" s="70"/>
      <c r="N857" s="70"/>
      <c r="P857" t="str">
        <f t="shared" si="13"/>
        <v/>
      </c>
    </row>
    <row r="858" spans="9:16" ht="18" x14ac:dyDescent="0.45">
      <c r="I858" s="67"/>
      <c r="K858" s="91"/>
      <c r="L858" s="70"/>
      <c r="N858" s="70"/>
      <c r="P858" t="str">
        <f t="shared" si="13"/>
        <v/>
      </c>
    </row>
    <row r="859" spans="9:16" ht="18" x14ac:dyDescent="0.45">
      <c r="I859" s="67"/>
      <c r="K859" s="91"/>
      <c r="L859" s="70"/>
      <c r="N859" s="70"/>
      <c r="P859" t="str">
        <f t="shared" si="13"/>
        <v/>
      </c>
    </row>
    <row r="860" spans="9:16" ht="18" x14ac:dyDescent="0.45">
      <c r="I860" s="67"/>
      <c r="K860" s="91"/>
      <c r="L860" s="70"/>
      <c r="N860" s="70"/>
      <c r="P860" t="str">
        <f t="shared" si="13"/>
        <v/>
      </c>
    </row>
    <row r="861" spans="9:16" ht="18" x14ac:dyDescent="0.45">
      <c r="I861" s="67"/>
      <c r="K861" s="91"/>
      <c r="L861" s="70"/>
      <c r="N861" s="70"/>
      <c r="P861" t="str">
        <f t="shared" si="13"/>
        <v/>
      </c>
    </row>
    <row r="862" spans="9:16" ht="18" x14ac:dyDescent="0.45">
      <c r="I862" s="67"/>
      <c r="K862" s="91"/>
      <c r="L862" s="70"/>
      <c r="N862" s="70"/>
      <c r="P862" t="str">
        <f t="shared" si="13"/>
        <v/>
      </c>
    </row>
    <row r="863" spans="9:16" ht="18" x14ac:dyDescent="0.45">
      <c r="I863" s="67"/>
      <c r="K863" s="91"/>
      <c r="L863" s="70"/>
      <c r="N863" s="70"/>
      <c r="P863" t="str">
        <f t="shared" si="13"/>
        <v/>
      </c>
    </row>
    <row r="864" spans="9:16" ht="18" x14ac:dyDescent="0.45">
      <c r="I864" s="67"/>
      <c r="K864" s="91"/>
      <c r="L864" s="70"/>
      <c r="N864" s="70"/>
      <c r="P864" t="str">
        <f t="shared" si="13"/>
        <v/>
      </c>
    </row>
    <row r="865" spans="9:16" ht="18" x14ac:dyDescent="0.45">
      <c r="I865" s="67"/>
      <c r="K865" s="91"/>
      <c r="L865" s="70"/>
      <c r="N865" s="70"/>
      <c r="P865" t="str">
        <f t="shared" si="13"/>
        <v/>
      </c>
    </row>
    <row r="866" spans="9:16" ht="18" x14ac:dyDescent="0.45">
      <c r="I866" s="67"/>
      <c r="K866" s="91"/>
      <c r="L866" s="70"/>
      <c r="N866" s="70"/>
      <c r="P866" t="str">
        <f t="shared" si="13"/>
        <v/>
      </c>
    </row>
    <row r="867" spans="9:16" ht="18" x14ac:dyDescent="0.45">
      <c r="I867" s="67"/>
      <c r="K867" s="91"/>
      <c r="L867" s="70"/>
      <c r="N867" s="70"/>
      <c r="P867" t="str">
        <f t="shared" si="13"/>
        <v/>
      </c>
    </row>
    <row r="868" spans="9:16" ht="18" x14ac:dyDescent="0.45">
      <c r="I868" s="67"/>
      <c r="K868" s="91"/>
      <c r="L868" s="70"/>
      <c r="N868" s="70"/>
      <c r="P868" t="str">
        <f t="shared" si="13"/>
        <v/>
      </c>
    </row>
    <row r="869" spans="9:16" ht="18" x14ac:dyDescent="0.45">
      <c r="I869" s="67"/>
      <c r="K869" s="91"/>
      <c r="L869" s="70"/>
      <c r="N869" s="70"/>
      <c r="P869" t="str">
        <f t="shared" si="13"/>
        <v/>
      </c>
    </row>
    <row r="870" spans="9:16" ht="18" x14ac:dyDescent="0.45">
      <c r="I870" s="67"/>
      <c r="K870" s="91"/>
      <c r="L870" s="70"/>
      <c r="N870" s="70"/>
      <c r="P870" t="str">
        <f t="shared" si="13"/>
        <v/>
      </c>
    </row>
    <row r="871" spans="9:16" ht="18" x14ac:dyDescent="0.45">
      <c r="I871" s="67"/>
      <c r="K871" s="91"/>
      <c r="L871" s="70"/>
      <c r="N871" s="70"/>
      <c r="P871" t="str">
        <f t="shared" si="13"/>
        <v/>
      </c>
    </row>
    <row r="872" spans="9:16" ht="18" x14ac:dyDescent="0.45">
      <c r="I872" s="67"/>
      <c r="K872" s="91"/>
      <c r="L872" s="70"/>
      <c r="N872" s="70"/>
      <c r="P872" t="str">
        <f t="shared" si="13"/>
        <v/>
      </c>
    </row>
    <row r="873" spans="9:16" ht="18" x14ac:dyDescent="0.45">
      <c r="I873" s="67"/>
      <c r="K873" s="91"/>
      <c r="L873" s="70"/>
      <c r="N873" s="70"/>
      <c r="P873" t="str">
        <f t="shared" si="13"/>
        <v/>
      </c>
    </row>
    <row r="874" spans="9:16" ht="18" x14ac:dyDescent="0.45">
      <c r="I874" s="67"/>
      <c r="K874" s="91"/>
      <c r="L874" s="70"/>
      <c r="N874" s="70"/>
      <c r="P874" t="str">
        <f t="shared" si="13"/>
        <v/>
      </c>
    </row>
    <row r="875" spans="9:16" ht="18" x14ac:dyDescent="0.45">
      <c r="I875" s="67"/>
      <c r="K875" s="91"/>
      <c r="L875" s="70"/>
      <c r="N875" s="70"/>
      <c r="P875" t="str">
        <f t="shared" si="13"/>
        <v/>
      </c>
    </row>
    <row r="876" spans="9:16" ht="18" x14ac:dyDescent="0.45">
      <c r="I876" s="67"/>
      <c r="K876" s="91"/>
      <c r="L876" s="70"/>
      <c r="N876" s="70"/>
      <c r="P876" t="str">
        <f t="shared" si="13"/>
        <v/>
      </c>
    </row>
    <row r="877" spans="9:16" ht="18" x14ac:dyDescent="0.45">
      <c r="I877" s="67"/>
      <c r="K877" s="91"/>
      <c r="L877" s="70"/>
      <c r="N877" s="70"/>
      <c r="P877" t="str">
        <f t="shared" si="13"/>
        <v/>
      </c>
    </row>
    <row r="878" spans="9:16" ht="18" x14ac:dyDescent="0.45">
      <c r="I878" s="67"/>
      <c r="K878" s="91"/>
      <c r="L878" s="70"/>
      <c r="N878" s="70"/>
      <c r="P878" t="str">
        <f t="shared" si="13"/>
        <v/>
      </c>
    </row>
    <row r="879" spans="9:16" ht="18" x14ac:dyDescent="0.45">
      <c r="I879" s="67"/>
      <c r="K879" s="91"/>
      <c r="L879" s="70"/>
      <c r="N879" s="70"/>
      <c r="P879" t="str">
        <f t="shared" si="13"/>
        <v/>
      </c>
    </row>
    <row r="880" spans="9:16" ht="18" x14ac:dyDescent="0.45">
      <c r="I880" s="67"/>
      <c r="K880" s="91"/>
      <c r="L880" s="70"/>
      <c r="N880" s="70"/>
      <c r="P880" t="str">
        <f t="shared" si="13"/>
        <v/>
      </c>
    </row>
    <row r="881" spans="9:16" ht="18" x14ac:dyDescent="0.45">
      <c r="I881" s="67"/>
      <c r="K881" s="91"/>
      <c r="L881" s="70"/>
      <c r="N881" s="70"/>
      <c r="P881" t="str">
        <f t="shared" si="13"/>
        <v/>
      </c>
    </row>
    <row r="882" spans="9:16" ht="18" x14ac:dyDescent="0.45">
      <c r="I882" s="67"/>
      <c r="K882" s="91"/>
      <c r="L882" s="70"/>
      <c r="N882" s="70"/>
      <c r="P882" t="str">
        <f t="shared" si="13"/>
        <v/>
      </c>
    </row>
    <row r="883" spans="9:16" ht="18" x14ac:dyDescent="0.45">
      <c r="I883" s="67"/>
      <c r="K883" s="91"/>
      <c r="L883" s="70"/>
      <c r="N883" s="70"/>
      <c r="P883" t="str">
        <f t="shared" si="13"/>
        <v/>
      </c>
    </row>
    <row r="884" spans="9:16" ht="18" x14ac:dyDescent="0.45">
      <c r="I884" s="67"/>
      <c r="K884" s="91"/>
      <c r="L884" s="70"/>
      <c r="N884" s="70"/>
      <c r="P884" t="str">
        <f t="shared" si="13"/>
        <v/>
      </c>
    </row>
    <row r="885" spans="9:16" ht="18" x14ac:dyDescent="0.45">
      <c r="I885" s="67"/>
      <c r="K885" s="91"/>
      <c r="L885" s="70"/>
      <c r="N885" s="70"/>
      <c r="P885" t="str">
        <f t="shared" si="13"/>
        <v/>
      </c>
    </row>
    <row r="886" spans="9:16" ht="18" x14ac:dyDescent="0.45">
      <c r="I886" s="67"/>
      <c r="K886" s="91"/>
      <c r="L886" s="70"/>
      <c r="N886" s="70"/>
      <c r="P886" t="str">
        <f t="shared" si="13"/>
        <v/>
      </c>
    </row>
    <row r="887" spans="9:16" ht="18" x14ac:dyDescent="0.45">
      <c r="I887" s="67"/>
      <c r="K887" s="91"/>
      <c r="L887" s="70"/>
      <c r="N887" s="70"/>
      <c r="P887" t="str">
        <f t="shared" si="13"/>
        <v/>
      </c>
    </row>
    <row r="888" spans="9:16" ht="18" x14ac:dyDescent="0.45">
      <c r="I888" s="67"/>
      <c r="K888" s="91"/>
      <c r="L888" s="70"/>
      <c r="N888" s="70"/>
      <c r="P888" t="str">
        <f t="shared" si="13"/>
        <v/>
      </c>
    </row>
    <row r="889" spans="9:16" ht="18" x14ac:dyDescent="0.45">
      <c r="I889" s="67"/>
      <c r="K889" s="91"/>
      <c r="L889" s="70"/>
      <c r="N889" s="70"/>
      <c r="P889" t="str">
        <f t="shared" si="13"/>
        <v/>
      </c>
    </row>
    <row r="890" spans="9:16" ht="18" x14ac:dyDescent="0.45">
      <c r="I890" s="67"/>
      <c r="K890" s="91"/>
      <c r="L890" s="70"/>
      <c r="N890" s="70"/>
      <c r="P890" t="str">
        <f t="shared" si="13"/>
        <v/>
      </c>
    </row>
    <row r="891" spans="9:16" ht="18" x14ac:dyDescent="0.45">
      <c r="I891" s="67"/>
      <c r="K891" s="91"/>
      <c r="L891" s="70"/>
      <c r="N891" s="70"/>
      <c r="P891" t="str">
        <f t="shared" si="13"/>
        <v/>
      </c>
    </row>
    <row r="892" spans="9:16" ht="18" x14ac:dyDescent="0.45">
      <c r="I892" s="67"/>
      <c r="K892" s="91"/>
      <c r="L892" s="70"/>
      <c r="N892" s="70"/>
      <c r="P892" t="str">
        <f t="shared" si="13"/>
        <v/>
      </c>
    </row>
    <row r="893" spans="9:16" ht="18" x14ac:dyDescent="0.45">
      <c r="I893" s="67"/>
      <c r="K893" s="91"/>
      <c r="L893" s="70"/>
      <c r="N893" s="70"/>
      <c r="P893" t="str">
        <f t="shared" si="13"/>
        <v/>
      </c>
    </row>
    <row r="894" spans="9:16" ht="18" x14ac:dyDescent="0.45">
      <c r="I894" s="67"/>
      <c r="K894" s="91"/>
      <c r="L894" s="70"/>
      <c r="N894" s="70"/>
      <c r="P894" t="str">
        <f t="shared" si="13"/>
        <v/>
      </c>
    </row>
    <row r="895" spans="9:16" ht="18" x14ac:dyDescent="0.45">
      <c r="I895" s="67"/>
      <c r="K895" s="91"/>
      <c r="L895" s="70"/>
      <c r="N895" s="70"/>
      <c r="P895" t="str">
        <f t="shared" si="13"/>
        <v/>
      </c>
    </row>
    <row r="896" spans="9:16" ht="18" x14ac:dyDescent="0.45">
      <c r="I896" s="67"/>
      <c r="K896" s="91"/>
      <c r="L896" s="70"/>
      <c r="N896" s="70"/>
      <c r="P896" t="str">
        <f t="shared" si="13"/>
        <v/>
      </c>
    </row>
    <row r="897" spans="9:16" ht="18" x14ac:dyDescent="0.45">
      <c r="I897" s="67"/>
      <c r="K897" s="91"/>
      <c r="L897" s="70"/>
      <c r="N897" s="70"/>
      <c r="P897" t="str">
        <f t="shared" si="13"/>
        <v/>
      </c>
    </row>
    <row r="898" spans="9:16" ht="18" x14ac:dyDescent="0.45">
      <c r="I898" s="67"/>
      <c r="K898" s="91"/>
      <c r="L898" s="70"/>
      <c r="N898" s="70"/>
      <c r="P898" t="str">
        <f t="shared" si="13"/>
        <v/>
      </c>
    </row>
    <row r="899" spans="9:16" ht="18" x14ac:dyDescent="0.45">
      <c r="I899" s="67"/>
      <c r="K899" s="91"/>
      <c r="L899" s="70"/>
      <c r="N899" s="70"/>
      <c r="P899" t="str">
        <f t="shared" si="13"/>
        <v/>
      </c>
    </row>
    <row r="900" spans="9:16" ht="18" x14ac:dyDescent="0.45">
      <c r="I900" s="67"/>
      <c r="K900" s="91"/>
      <c r="L900" s="70"/>
      <c r="N900" s="70"/>
      <c r="P900" t="str">
        <f t="shared" si="13"/>
        <v/>
      </c>
    </row>
    <row r="901" spans="9:16" ht="18" x14ac:dyDescent="0.45">
      <c r="I901" s="67"/>
      <c r="K901" s="91"/>
      <c r="L901" s="70"/>
      <c r="N901" s="70"/>
      <c r="P901" t="str">
        <f t="shared" si="13"/>
        <v/>
      </c>
    </row>
    <row r="902" spans="9:16" ht="18" x14ac:dyDescent="0.45">
      <c r="I902" s="67"/>
      <c r="K902" s="91"/>
      <c r="L902" s="70"/>
      <c r="N902" s="70"/>
      <c r="P902" t="str">
        <f t="shared" si="13"/>
        <v/>
      </c>
    </row>
    <row r="903" spans="9:16" ht="18" x14ac:dyDescent="0.45">
      <c r="I903" s="67"/>
      <c r="K903" s="91"/>
      <c r="L903" s="70"/>
      <c r="N903" s="70"/>
      <c r="P903" t="str">
        <f t="shared" ref="P903:P966" si="14">IF(I903="","",SUMIFS(OrderItems_Qty,OrderItems_Type,"PURCHASE",OrderItems_SKU,I903)-SUMIFS(OrderItems_Qty,OrderItems_Type,"SALE",OrderItems_SKU,I903))</f>
        <v/>
      </c>
    </row>
    <row r="904" spans="9:16" ht="18" x14ac:dyDescent="0.45">
      <c r="I904" s="67"/>
      <c r="K904" s="91"/>
      <c r="L904" s="70"/>
      <c r="N904" s="70"/>
      <c r="P904" t="str">
        <f t="shared" si="14"/>
        <v/>
      </c>
    </row>
    <row r="905" spans="9:16" ht="18" x14ac:dyDescent="0.45">
      <c r="I905" s="67"/>
      <c r="K905" s="91"/>
      <c r="L905" s="70"/>
      <c r="N905" s="70"/>
      <c r="P905" t="str">
        <f t="shared" si="14"/>
        <v/>
      </c>
    </row>
    <row r="906" spans="9:16" ht="18" x14ac:dyDescent="0.45">
      <c r="I906" s="67"/>
      <c r="K906" s="91"/>
      <c r="L906" s="70"/>
      <c r="N906" s="70"/>
      <c r="P906" t="str">
        <f t="shared" si="14"/>
        <v/>
      </c>
    </row>
    <row r="907" spans="9:16" ht="18" x14ac:dyDescent="0.45">
      <c r="I907" s="67"/>
      <c r="K907" s="91"/>
      <c r="L907" s="70"/>
      <c r="N907" s="70"/>
      <c r="P907" t="str">
        <f t="shared" si="14"/>
        <v/>
      </c>
    </row>
    <row r="908" spans="9:16" ht="18" x14ac:dyDescent="0.45">
      <c r="I908" s="67"/>
      <c r="K908" s="91"/>
      <c r="L908" s="70"/>
      <c r="N908" s="70"/>
      <c r="P908" t="str">
        <f t="shared" si="14"/>
        <v/>
      </c>
    </row>
    <row r="909" spans="9:16" ht="18" x14ac:dyDescent="0.45">
      <c r="I909" s="67"/>
      <c r="K909" s="91"/>
      <c r="L909" s="70"/>
      <c r="N909" s="70"/>
      <c r="P909" t="str">
        <f t="shared" si="14"/>
        <v/>
      </c>
    </row>
    <row r="910" spans="9:16" ht="18" x14ac:dyDescent="0.45">
      <c r="I910" s="67"/>
      <c r="K910" s="91"/>
      <c r="L910" s="70"/>
      <c r="N910" s="70"/>
      <c r="P910" t="str">
        <f t="shared" si="14"/>
        <v/>
      </c>
    </row>
    <row r="911" spans="9:16" ht="18" x14ac:dyDescent="0.45">
      <c r="I911" s="67"/>
      <c r="K911" s="91"/>
      <c r="L911" s="70"/>
      <c r="N911" s="70"/>
      <c r="P911" t="str">
        <f t="shared" si="14"/>
        <v/>
      </c>
    </row>
    <row r="912" spans="9:16" ht="18" x14ac:dyDescent="0.45">
      <c r="I912" s="67"/>
      <c r="K912" s="91"/>
      <c r="L912" s="70"/>
      <c r="N912" s="70"/>
      <c r="P912" t="str">
        <f t="shared" si="14"/>
        <v/>
      </c>
    </row>
    <row r="913" spans="9:16" ht="18" x14ac:dyDescent="0.45">
      <c r="I913" s="67"/>
      <c r="K913" s="91"/>
      <c r="L913" s="70"/>
      <c r="N913" s="70"/>
      <c r="P913" t="str">
        <f t="shared" si="14"/>
        <v/>
      </c>
    </row>
    <row r="914" spans="9:16" ht="18" x14ac:dyDescent="0.45">
      <c r="I914" s="67"/>
      <c r="K914" s="91"/>
      <c r="L914" s="70"/>
      <c r="N914" s="70"/>
      <c r="P914" t="str">
        <f t="shared" si="14"/>
        <v/>
      </c>
    </row>
    <row r="915" spans="9:16" ht="18" x14ac:dyDescent="0.45">
      <c r="I915" s="67"/>
      <c r="K915" s="91"/>
      <c r="L915" s="70"/>
      <c r="N915" s="70"/>
      <c r="P915" t="str">
        <f t="shared" si="14"/>
        <v/>
      </c>
    </row>
    <row r="916" spans="9:16" ht="18" x14ac:dyDescent="0.45">
      <c r="I916" s="67"/>
      <c r="K916" s="91"/>
      <c r="L916" s="70"/>
      <c r="N916" s="70"/>
      <c r="P916" t="str">
        <f t="shared" si="14"/>
        <v/>
      </c>
    </row>
    <row r="917" spans="9:16" ht="18" x14ac:dyDescent="0.45">
      <c r="I917" s="67"/>
      <c r="K917" s="91"/>
      <c r="L917" s="70"/>
      <c r="N917" s="70"/>
      <c r="P917" t="str">
        <f t="shared" si="14"/>
        <v/>
      </c>
    </row>
    <row r="918" spans="9:16" ht="18" x14ac:dyDescent="0.45">
      <c r="I918" s="67"/>
      <c r="K918" s="91"/>
      <c r="L918" s="70"/>
      <c r="N918" s="70"/>
      <c r="P918" t="str">
        <f t="shared" si="14"/>
        <v/>
      </c>
    </row>
    <row r="919" spans="9:16" ht="18" x14ac:dyDescent="0.45">
      <c r="I919" s="67"/>
      <c r="K919" s="91"/>
      <c r="L919" s="70"/>
      <c r="N919" s="70"/>
      <c r="P919" t="str">
        <f t="shared" si="14"/>
        <v/>
      </c>
    </row>
    <row r="920" spans="9:16" ht="18" x14ac:dyDescent="0.45">
      <c r="I920" s="67"/>
      <c r="K920" s="91"/>
      <c r="L920" s="70"/>
      <c r="N920" s="70"/>
      <c r="P920" t="str">
        <f t="shared" si="14"/>
        <v/>
      </c>
    </row>
    <row r="921" spans="9:16" ht="18" x14ac:dyDescent="0.45">
      <c r="I921" s="67"/>
      <c r="K921" s="91"/>
      <c r="L921" s="70"/>
      <c r="N921" s="70"/>
      <c r="P921" t="str">
        <f t="shared" si="14"/>
        <v/>
      </c>
    </row>
    <row r="922" spans="9:16" ht="18" x14ac:dyDescent="0.45">
      <c r="I922" s="67"/>
      <c r="K922" s="91"/>
      <c r="L922" s="70"/>
      <c r="N922" s="70"/>
      <c r="P922" t="str">
        <f t="shared" si="14"/>
        <v/>
      </c>
    </row>
    <row r="923" spans="9:16" ht="18" x14ac:dyDescent="0.45">
      <c r="I923" s="67"/>
      <c r="K923" s="91"/>
      <c r="L923" s="70"/>
      <c r="N923" s="70"/>
      <c r="P923" t="str">
        <f t="shared" si="14"/>
        <v/>
      </c>
    </row>
    <row r="924" spans="9:16" ht="18" x14ac:dyDescent="0.45">
      <c r="I924" s="67"/>
      <c r="K924" s="91"/>
      <c r="L924" s="70"/>
      <c r="N924" s="70"/>
      <c r="P924" t="str">
        <f t="shared" si="14"/>
        <v/>
      </c>
    </row>
    <row r="925" spans="9:16" ht="18" x14ac:dyDescent="0.45">
      <c r="I925" s="67"/>
      <c r="K925" s="91"/>
      <c r="L925" s="70"/>
      <c r="N925" s="70"/>
      <c r="P925" t="str">
        <f t="shared" si="14"/>
        <v/>
      </c>
    </row>
    <row r="926" spans="9:16" ht="18" x14ac:dyDescent="0.45">
      <c r="I926" s="67"/>
      <c r="K926" s="91"/>
      <c r="L926" s="70"/>
      <c r="N926" s="70"/>
      <c r="P926" t="str">
        <f t="shared" si="14"/>
        <v/>
      </c>
    </row>
    <row r="927" spans="9:16" ht="18" x14ac:dyDescent="0.45">
      <c r="I927" s="67"/>
      <c r="K927" s="91"/>
      <c r="L927" s="70"/>
      <c r="N927" s="70"/>
      <c r="P927" t="str">
        <f t="shared" si="14"/>
        <v/>
      </c>
    </row>
    <row r="928" spans="9:16" ht="18" x14ac:dyDescent="0.45">
      <c r="I928" s="67"/>
      <c r="K928" s="91"/>
      <c r="L928" s="70"/>
      <c r="N928" s="70"/>
      <c r="P928" t="str">
        <f t="shared" si="14"/>
        <v/>
      </c>
    </row>
    <row r="929" spans="9:16" ht="18" x14ac:dyDescent="0.45">
      <c r="I929" s="67"/>
      <c r="K929" s="91"/>
      <c r="L929" s="70"/>
      <c r="N929" s="70"/>
      <c r="P929" t="str">
        <f t="shared" si="14"/>
        <v/>
      </c>
    </row>
    <row r="930" spans="9:16" ht="18" x14ac:dyDescent="0.45">
      <c r="I930" s="67"/>
      <c r="K930" s="91"/>
      <c r="L930" s="70"/>
      <c r="N930" s="70"/>
      <c r="P930" t="str">
        <f t="shared" si="14"/>
        <v/>
      </c>
    </row>
    <row r="931" spans="9:16" ht="18" x14ac:dyDescent="0.45">
      <c r="I931" s="67"/>
      <c r="K931" s="91"/>
      <c r="L931" s="70"/>
      <c r="N931" s="70"/>
      <c r="P931" t="str">
        <f t="shared" si="14"/>
        <v/>
      </c>
    </row>
    <row r="932" spans="9:16" ht="18" x14ac:dyDescent="0.45">
      <c r="I932" s="67"/>
      <c r="K932" s="91"/>
      <c r="L932" s="70"/>
      <c r="N932" s="70"/>
      <c r="P932" t="str">
        <f t="shared" si="14"/>
        <v/>
      </c>
    </row>
    <row r="933" spans="9:16" ht="18" x14ac:dyDescent="0.45">
      <c r="I933" s="67"/>
      <c r="K933" s="91"/>
      <c r="L933" s="70"/>
      <c r="N933" s="70"/>
      <c r="P933" t="str">
        <f t="shared" si="14"/>
        <v/>
      </c>
    </row>
    <row r="934" spans="9:16" ht="18" x14ac:dyDescent="0.45">
      <c r="I934" s="67"/>
      <c r="K934" s="91"/>
      <c r="L934" s="70"/>
      <c r="N934" s="70"/>
      <c r="P934" t="str">
        <f t="shared" si="14"/>
        <v/>
      </c>
    </row>
    <row r="935" spans="9:16" ht="18" x14ac:dyDescent="0.45">
      <c r="I935" s="67"/>
      <c r="K935" s="91"/>
      <c r="L935" s="70"/>
      <c r="N935" s="70"/>
      <c r="P935" t="str">
        <f t="shared" si="14"/>
        <v/>
      </c>
    </row>
    <row r="936" spans="9:16" ht="18" x14ac:dyDescent="0.45">
      <c r="I936" s="67"/>
      <c r="K936" s="91"/>
      <c r="L936" s="70"/>
      <c r="N936" s="70"/>
      <c r="P936" t="str">
        <f t="shared" si="14"/>
        <v/>
      </c>
    </row>
    <row r="937" spans="9:16" ht="18" x14ac:dyDescent="0.45">
      <c r="I937" s="67"/>
      <c r="K937" s="91"/>
      <c r="L937" s="70"/>
      <c r="N937" s="70"/>
      <c r="P937" t="str">
        <f t="shared" si="14"/>
        <v/>
      </c>
    </row>
    <row r="938" spans="9:16" ht="18" x14ac:dyDescent="0.45">
      <c r="I938" s="67"/>
      <c r="K938" s="91"/>
      <c r="L938" s="70"/>
      <c r="N938" s="70"/>
      <c r="P938" t="str">
        <f t="shared" si="14"/>
        <v/>
      </c>
    </row>
    <row r="939" spans="9:16" ht="18" x14ac:dyDescent="0.45">
      <c r="I939" s="67"/>
      <c r="K939" s="91"/>
      <c r="L939" s="70"/>
      <c r="N939" s="70"/>
      <c r="P939" t="str">
        <f t="shared" si="14"/>
        <v/>
      </c>
    </row>
    <row r="940" spans="9:16" ht="18" x14ac:dyDescent="0.45">
      <c r="I940" s="67"/>
      <c r="K940" s="91"/>
      <c r="L940" s="70"/>
      <c r="N940" s="70"/>
      <c r="P940" t="str">
        <f t="shared" si="14"/>
        <v/>
      </c>
    </row>
    <row r="941" spans="9:16" ht="18" x14ac:dyDescent="0.45">
      <c r="I941" s="67"/>
      <c r="K941" s="91"/>
      <c r="L941" s="70"/>
      <c r="N941" s="70"/>
      <c r="P941" t="str">
        <f t="shared" si="14"/>
        <v/>
      </c>
    </row>
    <row r="942" spans="9:16" ht="18" x14ac:dyDescent="0.45">
      <c r="I942" s="67"/>
      <c r="K942" s="91"/>
      <c r="L942" s="70"/>
      <c r="N942" s="70"/>
      <c r="P942" t="str">
        <f t="shared" si="14"/>
        <v/>
      </c>
    </row>
    <row r="943" spans="9:16" ht="18" x14ac:dyDescent="0.45">
      <c r="I943" s="67"/>
      <c r="K943" s="91"/>
      <c r="L943" s="70"/>
      <c r="N943" s="70"/>
      <c r="P943" t="str">
        <f t="shared" si="14"/>
        <v/>
      </c>
    </row>
    <row r="944" spans="9:16" ht="18" x14ac:dyDescent="0.45">
      <c r="I944" s="67"/>
      <c r="K944" s="91"/>
      <c r="L944" s="70"/>
      <c r="N944" s="70"/>
      <c r="P944" t="str">
        <f t="shared" si="14"/>
        <v/>
      </c>
    </row>
    <row r="945" spans="9:16" ht="18" x14ac:dyDescent="0.45">
      <c r="I945" s="67"/>
      <c r="K945" s="91"/>
      <c r="L945" s="70"/>
      <c r="N945" s="70"/>
      <c r="P945" t="str">
        <f t="shared" si="14"/>
        <v/>
      </c>
    </row>
    <row r="946" spans="9:16" ht="18" x14ac:dyDescent="0.45">
      <c r="I946" s="67"/>
      <c r="K946" s="91"/>
      <c r="L946" s="70"/>
      <c r="N946" s="70"/>
      <c r="P946" t="str">
        <f t="shared" si="14"/>
        <v/>
      </c>
    </row>
    <row r="947" spans="9:16" ht="18" x14ac:dyDescent="0.45">
      <c r="I947" s="67"/>
      <c r="K947" s="91"/>
      <c r="L947" s="70"/>
      <c r="N947" s="70"/>
      <c r="P947" t="str">
        <f t="shared" si="14"/>
        <v/>
      </c>
    </row>
    <row r="948" spans="9:16" ht="18" x14ac:dyDescent="0.45">
      <c r="I948" s="67"/>
      <c r="K948" s="91"/>
      <c r="L948" s="70"/>
      <c r="N948" s="70"/>
      <c r="P948" t="str">
        <f t="shared" si="14"/>
        <v/>
      </c>
    </row>
    <row r="949" spans="9:16" ht="18" x14ac:dyDescent="0.45">
      <c r="I949" s="67"/>
      <c r="K949" s="91"/>
      <c r="L949" s="70"/>
      <c r="N949" s="70"/>
      <c r="P949" t="str">
        <f t="shared" si="14"/>
        <v/>
      </c>
    </row>
    <row r="950" spans="9:16" ht="18" x14ac:dyDescent="0.45">
      <c r="I950" s="67"/>
      <c r="K950" s="91"/>
      <c r="L950" s="70"/>
      <c r="N950" s="70"/>
      <c r="P950" t="str">
        <f t="shared" si="14"/>
        <v/>
      </c>
    </row>
    <row r="951" spans="9:16" ht="18" x14ac:dyDescent="0.45">
      <c r="I951" s="67"/>
      <c r="K951" s="91"/>
      <c r="L951" s="70"/>
      <c r="N951" s="70"/>
      <c r="P951" t="str">
        <f t="shared" si="14"/>
        <v/>
      </c>
    </row>
    <row r="952" spans="9:16" ht="18" x14ac:dyDescent="0.45">
      <c r="I952" s="67"/>
      <c r="K952" s="91"/>
      <c r="L952" s="70"/>
      <c r="N952" s="70"/>
      <c r="P952" t="str">
        <f t="shared" si="14"/>
        <v/>
      </c>
    </row>
    <row r="953" spans="9:16" ht="18" x14ac:dyDescent="0.45">
      <c r="I953" s="67"/>
      <c r="K953" s="91"/>
      <c r="L953" s="70"/>
      <c r="N953" s="71"/>
      <c r="P953" t="str">
        <f t="shared" si="14"/>
        <v/>
      </c>
    </row>
    <row r="954" spans="9:16" ht="18" x14ac:dyDescent="0.45">
      <c r="I954" s="67"/>
      <c r="K954" s="91"/>
      <c r="L954" s="70"/>
      <c r="N954" s="71"/>
      <c r="P954" t="str">
        <f t="shared" si="14"/>
        <v/>
      </c>
    </row>
    <row r="955" spans="9:16" ht="18" x14ac:dyDescent="0.45">
      <c r="I955" s="67"/>
      <c r="K955" s="91"/>
      <c r="L955" s="70"/>
      <c r="N955" s="71"/>
      <c r="P955" t="str">
        <f t="shared" si="14"/>
        <v/>
      </c>
    </row>
    <row r="956" spans="9:16" ht="18" x14ac:dyDescent="0.45">
      <c r="I956" s="67"/>
      <c r="K956" s="91"/>
      <c r="L956" s="70"/>
      <c r="N956" s="71"/>
      <c r="P956" t="str">
        <f t="shared" si="14"/>
        <v/>
      </c>
    </row>
    <row r="957" spans="9:16" ht="18" x14ac:dyDescent="0.45">
      <c r="I957" s="67"/>
      <c r="K957" s="91"/>
      <c r="L957" s="70"/>
      <c r="N957" s="71"/>
      <c r="P957" t="str">
        <f t="shared" si="14"/>
        <v/>
      </c>
    </row>
    <row r="958" spans="9:16" ht="18" x14ac:dyDescent="0.45">
      <c r="I958" s="67"/>
      <c r="K958" s="91"/>
      <c r="L958" s="70"/>
      <c r="N958" s="71"/>
      <c r="P958" t="str">
        <f t="shared" si="14"/>
        <v/>
      </c>
    </row>
    <row r="959" spans="9:16" ht="18" x14ac:dyDescent="0.45">
      <c r="I959" s="67"/>
      <c r="K959" s="91"/>
      <c r="L959" s="70"/>
      <c r="N959" s="71"/>
      <c r="P959" t="str">
        <f t="shared" si="14"/>
        <v/>
      </c>
    </row>
    <row r="960" spans="9:16" ht="18" x14ac:dyDescent="0.45">
      <c r="I960" s="67"/>
      <c r="K960" s="91"/>
      <c r="L960" s="71"/>
      <c r="N960" s="71"/>
      <c r="P960" t="str">
        <f t="shared" si="14"/>
        <v/>
      </c>
    </row>
    <row r="961" spans="9:16" ht="18" x14ac:dyDescent="0.45">
      <c r="I961" s="67"/>
      <c r="K961" s="91"/>
      <c r="L961" s="71"/>
      <c r="N961" s="71"/>
      <c r="P961" t="str">
        <f t="shared" si="14"/>
        <v/>
      </c>
    </row>
    <row r="962" spans="9:16" ht="18" x14ac:dyDescent="0.45">
      <c r="I962" s="67"/>
      <c r="K962" s="91"/>
      <c r="L962" s="71"/>
      <c r="N962" s="71"/>
      <c r="P962" t="str">
        <f t="shared" si="14"/>
        <v/>
      </c>
    </row>
    <row r="963" spans="9:16" ht="18" x14ac:dyDescent="0.45">
      <c r="I963" s="67"/>
      <c r="K963" s="91"/>
      <c r="L963" s="71"/>
      <c r="N963" s="71"/>
      <c r="P963" t="str">
        <f t="shared" si="14"/>
        <v/>
      </c>
    </row>
    <row r="964" spans="9:16" ht="18" x14ac:dyDescent="0.45">
      <c r="I964" s="67"/>
      <c r="K964" s="91"/>
      <c r="L964" s="71"/>
      <c r="N964" s="71"/>
      <c r="P964" t="str">
        <f t="shared" si="14"/>
        <v/>
      </c>
    </row>
    <row r="965" spans="9:16" ht="18" x14ac:dyDescent="0.45">
      <c r="I965" s="67"/>
      <c r="K965" s="91"/>
      <c r="L965" s="71"/>
      <c r="N965" s="71"/>
      <c r="P965" t="str">
        <f t="shared" si="14"/>
        <v/>
      </c>
    </row>
    <row r="966" spans="9:16" ht="18" x14ac:dyDescent="0.45">
      <c r="I966" s="67"/>
      <c r="K966" s="91"/>
      <c r="L966" s="71"/>
      <c r="N966" s="71"/>
      <c r="P966" t="str">
        <f t="shared" si="14"/>
        <v/>
      </c>
    </row>
    <row r="967" spans="9:16" ht="18" x14ac:dyDescent="0.45">
      <c r="I967" s="67"/>
      <c r="K967" s="91"/>
      <c r="L967" s="71"/>
      <c r="N967" s="71"/>
      <c r="P967" t="str">
        <f t="shared" ref="P967:P1000" si="15">IF(I967="","",SUMIFS(OrderItems_Qty,OrderItems_Type,"PURCHASE",OrderItems_SKU,I967)-SUMIFS(OrderItems_Qty,OrderItems_Type,"SALE",OrderItems_SKU,I967))</f>
        <v/>
      </c>
    </row>
    <row r="968" spans="9:16" ht="18" x14ac:dyDescent="0.45">
      <c r="I968" s="67"/>
      <c r="K968" s="91"/>
      <c r="L968" s="71"/>
      <c r="N968" s="71"/>
      <c r="P968" t="str">
        <f t="shared" si="15"/>
        <v/>
      </c>
    </row>
    <row r="969" spans="9:16" ht="18" x14ac:dyDescent="0.45">
      <c r="I969" s="67"/>
      <c r="K969" s="91"/>
      <c r="L969" s="71"/>
      <c r="N969" s="71"/>
      <c r="P969" t="str">
        <f t="shared" si="15"/>
        <v/>
      </c>
    </row>
    <row r="970" spans="9:16" ht="18" x14ac:dyDescent="0.45">
      <c r="I970" s="67"/>
      <c r="K970" s="91"/>
      <c r="L970" s="71"/>
      <c r="N970" s="71"/>
      <c r="P970" t="str">
        <f t="shared" si="15"/>
        <v/>
      </c>
    </row>
    <row r="971" spans="9:16" ht="18" x14ac:dyDescent="0.45">
      <c r="I971" s="67"/>
      <c r="K971" s="91"/>
      <c r="L971" s="71"/>
      <c r="N971" s="71"/>
      <c r="P971" t="str">
        <f t="shared" si="15"/>
        <v/>
      </c>
    </row>
    <row r="972" spans="9:16" ht="18" x14ac:dyDescent="0.45">
      <c r="I972" s="67"/>
      <c r="K972" s="91"/>
      <c r="L972" s="71"/>
      <c r="N972" s="71"/>
      <c r="P972" t="str">
        <f t="shared" si="15"/>
        <v/>
      </c>
    </row>
    <row r="973" spans="9:16" ht="18" x14ac:dyDescent="0.45">
      <c r="I973" s="67"/>
      <c r="K973" s="91"/>
      <c r="L973" s="71"/>
      <c r="N973" s="71"/>
      <c r="P973" t="str">
        <f t="shared" si="15"/>
        <v/>
      </c>
    </row>
    <row r="974" spans="9:16" ht="18" x14ac:dyDescent="0.45">
      <c r="I974" s="67"/>
      <c r="K974" s="91"/>
      <c r="L974" s="71"/>
      <c r="N974" s="71"/>
      <c r="P974" t="str">
        <f t="shared" si="15"/>
        <v/>
      </c>
    </row>
    <row r="975" spans="9:16" ht="18" x14ac:dyDescent="0.45">
      <c r="I975" s="67"/>
      <c r="K975" s="91"/>
      <c r="L975" s="71"/>
      <c r="N975" s="71"/>
      <c r="P975" t="str">
        <f t="shared" si="15"/>
        <v/>
      </c>
    </row>
    <row r="976" spans="9:16" ht="18" x14ac:dyDescent="0.45">
      <c r="I976" s="67"/>
      <c r="K976" s="91"/>
      <c r="L976" s="71"/>
      <c r="N976" s="71"/>
      <c r="P976" t="str">
        <f t="shared" si="15"/>
        <v/>
      </c>
    </row>
    <row r="977" spans="9:16" ht="18" x14ac:dyDescent="0.45">
      <c r="I977" s="67"/>
      <c r="K977" s="91"/>
      <c r="L977" s="71"/>
      <c r="N977" s="71"/>
      <c r="P977" t="str">
        <f t="shared" si="15"/>
        <v/>
      </c>
    </row>
    <row r="978" spans="9:16" ht="18" x14ac:dyDescent="0.45">
      <c r="I978" s="67"/>
      <c r="K978" s="91"/>
      <c r="L978" s="71"/>
      <c r="N978" s="71"/>
      <c r="P978" t="str">
        <f t="shared" si="15"/>
        <v/>
      </c>
    </row>
    <row r="979" spans="9:16" ht="18" x14ac:dyDescent="0.45">
      <c r="I979" s="67"/>
      <c r="K979" s="91"/>
      <c r="L979" s="71"/>
      <c r="N979" s="71"/>
      <c r="P979" t="str">
        <f t="shared" si="15"/>
        <v/>
      </c>
    </row>
    <row r="980" spans="9:16" ht="18" x14ac:dyDescent="0.45">
      <c r="I980" s="67"/>
      <c r="K980" s="91"/>
      <c r="L980" s="71"/>
      <c r="N980" s="71"/>
      <c r="P980" t="str">
        <f t="shared" si="15"/>
        <v/>
      </c>
    </row>
    <row r="981" spans="9:16" ht="18" x14ac:dyDescent="0.45">
      <c r="I981" s="67"/>
      <c r="K981" s="91"/>
      <c r="L981" s="71"/>
      <c r="N981" s="71"/>
      <c r="P981" t="str">
        <f t="shared" si="15"/>
        <v/>
      </c>
    </row>
    <row r="982" spans="9:16" ht="18" x14ac:dyDescent="0.45">
      <c r="I982" s="67"/>
      <c r="K982" s="91"/>
      <c r="L982" s="71"/>
      <c r="N982" s="71"/>
      <c r="P982" t="str">
        <f t="shared" si="15"/>
        <v/>
      </c>
    </row>
    <row r="983" spans="9:16" ht="18" x14ac:dyDescent="0.45">
      <c r="I983" s="67"/>
      <c r="K983" s="91"/>
      <c r="L983" s="71"/>
      <c r="N983" s="71"/>
      <c r="P983" t="str">
        <f t="shared" si="15"/>
        <v/>
      </c>
    </row>
    <row r="984" spans="9:16" ht="18" x14ac:dyDescent="0.45">
      <c r="I984" s="67"/>
      <c r="K984" s="91"/>
      <c r="L984" s="71"/>
      <c r="N984" s="71"/>
      <c r="P984" t="str">
        <f t="shared" si="15"/>
        <v/>
      </c>
    </row>
    <row r="985" spans="9:16" ht="18" x14ac:dyDescent="0.45">
      <c r="I985" s="67"/>
      <c r="K985" s="91"/>
      <c r="L985" s="71"/>
      <c r="N985" s="71"/>
      <c r="P985" t="str">
        <f t="shared" si="15"/>
        <v/>
      </c>
    </row>
    <row r="986" spans="9:16" ht="18" x14ac:dyDescent="0.45">
      <c r="I986" s="67"/>
      <c r="K986" s="91"/>
      <c r="L986" s="71"/>
      <c r="N986" s="71"/>
      <c r="P986" t="str">
        <f t="shared" si="15"/>
        <v/>
      </c>
    </row>
    <row r="987" spans="9:16" ht="18" x14ac:dyDescent="0.45">
      <c r="I987" s="67"/>
      <c r="K987" s="91"/>
      <c r="L987" s="71"/>
      <c r="N987" s="71"/>
      <c r="P987" t="str">
        <f t="shared" si="15"/>
        <v/>
      </c>
    </row>
    <row r="988" spans="9:16" ht="18" x14ac:dyDescent="0.45">
      <c r="I988" s="67"/>
      <c r="K988" s="91"/>
      <c r="L988" s="71"/>
      <c r="N988" s="71"/>
      <c r="P988" t="str">
        <f t="shared" si="15"/>
        <v/>
      </c>
    </row>
    <row r="989" spans="9:16" ht="18" x14ac:dyDescent="0.45">
      <c r="I989" s="67"/>
      <c r="K989" s="91"/>
      <c r="L989" s="71"/>
      <c r="N989" s="71"/>
      <c r="P989" t="str">
        <f t="shared" si="15"/>
        <v/>
      </c>
    </row>
    <row r="990" spans="9:16" ht="18" x14ac:dyDescent="0.45">
      <c r="I990" s="67"/>
      <c r="K990" s="91"/>
      <c r="L990" s="71"/>
      <c r="N990" s="71"/>
      <c r="P990" t="str">
        <f t="shared" si="15"/>
        <v/>
      </c>
    </row>
    <row r="991" spans="9:16" ht="18" x14ac:dyDescent="0.45">
      <c r="I991" s="67"/>
      <c r="K991" s="91"/>
      <c r="L991" s="71"/>
      <c r="N991" s="71"/>
      <c r="P991" t="str">
        <f t="shared" si="15"/>
        <v/>
      </c>
    </row>
    <row r="992" spans="9:16" ht="18" x14ac:dyDescent="0.45">
      <c r="I992" s="67"/>
      <c r="K992" s="91"/>
      <c r="L992" s="71"/>
      <c r="N992" s="71"/>
      <c r="P992" t="str">
        <f t="shared" si="15"/>
        <v/>
      </c>
    </row>
    <row r="993" spans="9:16" ht="18" x14ac:dyDescent="0.45">
      <c r="I993" s="67"/>
      <c r="K993" s="91"/>
      <c r="L993" s="71"/>
      <c r="N993" s="71"/>
      <c r="P993" t="str">
        <f t="shared" si="15"/>
        <v/>
      </c>
    </row>
    <row r="994" spans="9:16" ht="18" x14ac:dyDescent="0.45">
      <c r="I994" s="67"/>
      <c r="K994" s="91"/>
      <c r="L994" s="71"/>
      <c r="N994" s="71"/>
      <c r="P994" t="str">
        <f t="shared" si="15"/>
        <v/>
      </c>
    </row>
    <row r="995" spans="9:16" ht="18" x14ac:dyDescent="0.45">
      <c r="I995" s="67"/>
      <c r="K995" s="91"/>
      <c r="L995" s="71"/>
      <c r="N995" s="71"/>
      <c r="P995" t="str">
        <f t="shared" si="15"/>
        <v/>
      </c>
    </row>
    <row r="996" spans="9:16" ht="18" x14ac:dyDescent="0.45">
      <c r="I996" s="67"/>
      <c r="K996" s="91"/>
      <c r="L996" s="71"/>
      <c r="N996" s="71"/>
      <c r="P996" t="str">
        <f t="shared" si="15"/>
        <v/>
      </c>
    </row>
    <row r="997" spans="9:16" ht="18" x14ac:dyDescent="0.45">
      <c r="I997" s="67"/>
      <c r="K997" s="91"/>
      <c r="L997" s="71"/>
      <c r="N997" s="71"/>
      <c r="P997" t="str">
        <f t="shared" si="15"/>
        <v/>
      </c>
    </row>
    <row r="998" spans="9:16" ht="18" x14ac:dyDescent="0.45">
      <c r="I998" s="67"/>
      <c r="K998" s="91"/>
      <c r="L998" s="71"/>
      <c r="N998" s="71"/>
      <c r="P998" t="str">
        <f t="shared" si="15"/>
        <v/>
      </c>
    </row>
    <row r="999" spans="9:16" ht="18" x14ac:dyDescent="0.45">
      <c r="I999" s="67"/>
      <c r="K999" s="91"/>
      <c r="L999" s="71"/>
      <c r="N999" s="71"/>
      <c r="P999" t="str">
        <f t="shared" si="15"/>
        <v/>
      </c>
    </row>
    <row r="1000" spans="9:16" ht="18" x14ac:dyDescent="0.45">
      <c r="I1000" s="67"/>
      <c r="K1000" s="91"/>
      <c r="L1000" s="71"/>
      <c r="N1000" s="71"/>
      <c r="P1000" t="str">
        <f t="shared" si="15"/>
        <v/>
      </c>
    </row>
    <row r="1001" spans="9:16" ht="18" x14ac:dyDescent="0.45">
      <c r="I1001" s="67"/>
      <c r="K1001" s="91"/>
      <c r="L1001" s="71"/>
      <c r="N1001" s="71"/>
    </row>
    <row r="1002" spans="9:16" ht="18" x14ac:dyDescent="0.45">
      <c r="I1002" s="67"/>
      <c r="K1002" s="91"/>
      <c r="L1002" s="71"/>
      <c r="N1002" s="71"/>
    </row>
    <row r="1003" spans="9:16" ht="18" x14ac:dyDescent="0.45">
      <c r="I1003" s="67"/>
      <c r="K1003" s="91"/>
      <c r="L1003" s="71"/>
      <c r="N1003" s="71"/>
    </row>
    <row r="1004" spans="9:16" ht="18" x14ac:dyDescent="0.45">
      <c r="I1004" s="67"/>
      <c r="K1004" s="91"/>
      <c r="L1004" s="71"/>
      <c r="N1004" s="71"/>
    </row>
    <row r="1005" spans="9:16" ht="18" x14ac:dyDescent="0.45">
      <c r="I1005" s="67"/>
      <c r="K1005" s="91"/>
      <c r="L1005" s="71"/>
      <c r="N1005" s="71"/>
    </row>
    <row r="1006" spans="9:16" ht="18" x14ac:dyDescent="0.45">
      <c r="I1006" s="67"/>
      <c r="K1006" s="91"/>
      <c r="L1006" s="71"/>
      <c r="N1006" s="71"/>
    </row>
    <row r="1007" spans="9:16" ht="18" x14ac:dyDescent="0.45">
      <c r="I1007" s="67"/>
      <c r="K1007" s="91"/>
      <c r="L1007" s="71"/>
      <c r="N1007" s="71"/>
    </row>
    <row r="1008" spans="9:16" ht="18" x14ac:dyDescent="0.45">
      <c r="I1008" s="67"/>
      <c r="K1008" s="91"/>
      <c r="L1008" s="71"/>
      <c r="N1008" s="71"/>
    </row>
    <row r="1009" spans="9:14" ht="18" x14ac:dyDescent="0.45">
      <c r="I1009" s="67"/>
      <c r="K1009" s="91"/>
      <c r="L1009" s="71"/>
      <c r="N1009" s="71"/>
    </row>
    <row r="1010" spans="9:14" ht="18" x14ac:dyDescent="0.45">
      <c r="I1010" s="67"/>
      <c r="K1010" s="91"/>
      <c r="L1010" s="71"/>
      <c r="N1010" s="71"/>
    </row>
    <row r="1011" spans="9:14" ht="18" x14ac:dyDescent="0.45">
      <c r="I1011" s="67"/>
      <c r="K1011" s="91"/>
      <c r="L1011" s="71"/>
      <c r="N1011" s="71"/>
    </row>
    <row r="1012" spans="9:14" ht="18" x14ac:dyDescent="0.45">
      <c r="I1012" s="67"/>
      <c r="K1012" s="91"/>
      <c r="L1012" s="71"/>
      <c r="N1012" s="71"/>
    </row>
    <row r="1013" spans="9:14" ht="18" x14ac:dyDescent="0.45">
      <c r="I1013" s="67"/>
      <c r="K1013" s="91"/>
      <c r="L1013" s="71"/>
      <c r="N1013" s="71"/>
    </row>
    <row r="1014" spans="9:14" ht="18" x14ac:dyDescent="0.45">
      <c r="I1014" s="67"/>
      <c r="K1014" s="91"/>
      <c r="L1014" s="71"/>
      <c r="N1014" s="71"/>
    </row>
    <row r="1015" spans="9:14" ht="18" x14ac:dyDescent="0.45">
      <c r="I1015" s="67"/>
      <c r="K1015" s="91"/>
      <c r="L1015" s="71"/>
      <c r="N1015" s="71"/>
    </row>
    <row r="1016" spans="9:14" ht="18" x14ac:dyDescent="0.45">
      <c r="I1016" s="67"/>
      <c r="K1016" s="91"/>
      <c r="L1016" s="71"/>
      <c r="N1016" s="71"/>
    </row>
    <row r="1017" spans="9:14" ht="18" x14ac:dyDescent="0.45">
      <c r="I1017" s="67"/>
      <c r="K1017" s="91"/>
      <c r="L1017" s="71"/>
      <c r="N1017" s="71"/>
    </row>
    <row r="1018" spans="9:14" ht="18" x14ac:dyDescent="0.45">
      <c r="I1018" s="67"/>
      <c r="K1018" s="91"/>
      <c r="L1018" s="71"/>
      <c r="N1018" s="71"/>
    </row>
    <row r="1019" spans="9:14" ht="18" x14ac:dyDescent="0.45">
      <c r="I1019" s="67"/>
      <c r="K1019" s="91"/>
      <c r="L1019" s="71"/>
      <c r="N1019" s="71"/>
    </row>
    <row r="1020" spans="9:14" ht="18" x14ac:dyDescent="0.45">
      <c r="I1020" s="67"/>
      <c r="K1020" s="91"/>
      <c r="L1020" s="71"/>
      <c r="N1020" s="71"/>
    </row>
    <row r="1021" spans="9:14" ht="18" x14ac:dyDescent="0.45">
      <c r="I1021" s="67"/>
      <c r="K1021" s="91"/>
      <c r="L1021" s="71"/>
      <c r="N1021" s="71"/>
    </row>
    <row r="1022" spans="9:14" ht="18" x14ac:dyDescent="0.45">
      <c r="I1022" s="67"/>
      <c r="K1022" s="91"/>
      <c r="L1022" s="71"/>
      <c r="N1022" s="71"/>
    </row>
    <row r="1023" spans="9:14" ht="18" x14ac:dyDescent="0.45">
      <c r="I1023" s="67"/>
      <c r="K1023" s="91"/>
      <c r="L1023" s="71"/>
      <c r="N1023" s="71"/>
    </row>
    <row r="1024" spans="9:14" ht="18" x14ac:dyDescent="0.45">
      <c r="I1024" s="67"/>
      <c r="K1024" s="91"/>
      <c r="L1024" s="71"/>
      <c r="N1024" s="71"/>
    </row>
    <row r="1025" spans="9:14" ht="18" x14ac:dyDescent="0.45">
      <c r="I1025" s="67"/>
      <c r="K1025" s="91"/>
      <c r="L1025" s="71"/>
      <c r="N1025" s="71"/>
    </row>
    <row r="1026" spans="9:14" ht="18" x14ac:dyDescent="0.45">
      <c r="I1026" s="67"/>
      <c r="K1026" s="91"/>
      <c r="L1026" s="71"/>
      <c r="N1026" s="71"/>
    </row>
    <row r="1027" spans="9:14" ht="18" x14ac:dyDescent="0.45">
      <c r="I1027" s="67"/>
      <c r="K1027" s="91"/>
      <c r="L1027" s="71"/>
      <c r="N1027" s="71"/>
    </row>
    <row r="1028" spans="9:14" ht="18" x14ac:dyDescent="0.45">
      <c r="I1028" s="67"/>
      <c r="K1028" s="91"/>
      <c r="L1028" s="71"/>
      <c r="N1028" s="71"/>
    </row>
    <row r="1029" spans="9:14" ht="18" x14ac:dyDescent="0.45">
      <c r="I1029" s="67"/>
      <c r="K1029" s="91"/>
      <c r="L1029" s="71"/>
      <c r="N1029" s="71"/>
    </row>
    <row r="1030" spans="9:14" ht="18" x14ac:dyDescent="0.45">
      <c r="I1030" s="67"/>
      <c r="K1030" s="91"/>
      <c r="L1030" s="71"/>
      <c r="N1030" s="71"/>
    </row>
    <row r="1031" spans="9:14" ht="18" x14ac:dyDescent="0.45">
      <c r="I1031" s="67"/>
      <c r="K1031" s="91"/>
      <c r="L1031" s="71"/>
      <c r="N1031" s="71"/>
    </row>
    <row r="1032" spans="9:14" ht="18" x14ac:dyDescent="0.45">
      <c r="I1032" s="67"/>
      <c r="K1032" s="91"/>
      <c r="L1032" s="71"/>
      <c r="N1032" s="71"/>
    </row>
    <row r="1033" spans="9:14" ht="18" x14ac:dyDescent="0.45">
      <c r="I1033" s="67"/>
      <c r="K1033" s="91"/>
      <c r="L1033" s="71"/>
      <c r="N1033" s="71"/>
    </row>
    <row r="1034" spans="9:14" ht="18" x14ac:dyDescent="0.45">
      <c r="I1034" s="67"/>
      <c r="K1034" s="91"/>
      <c r="L1034" s="71"/>
      <c r="N1034" s="71"/>
    </row>
    <row r="1035" spans="9:14" ht="18" x14ac:dyDescent="0.45">
      <c r="I1035" s="67"/>
      <c r="K1035" s="91"/>
      <c r="L1035" s="71"/>
      <c r="N1035" s="71"/>
    </row>
    <row r="1036" spans="9:14" ht="18" x14ac:dyDescent="0.45">
      <c r="I1036" s="67"/>
      <c r="K1036" s="91"/>
      <c r="L1036" s="71"/>
      <c r="N1036" s="71"/>
    </row>
    <row r="1037" spans="9:14" ht="18" x14ac:dyDescent="0.45">
      <c r="I1037" s="67"/>
      <c r="K1037" s="91"/>
      <c r="L1037" s="71"/>
      <c r="N1037" s="71"/>
    </row>
    <row r="1038" spans="9:14" ht="18" x14ac:dyDescent="0.45">
      <c r="I1038" s="67"/>
      <c r="K1038" s="91"/>
      <c r="L1038" s="71"/>
      <c r="N1038" s="71"/>
    </row>
    <row r="1039" spans="9:14" ht="18" x14ac:dyDescent="0.45">
      <c r="I1039" s="67"/>
      <c r="K1039" s="91"/>
      <c r="L1039" s="71"/>
      <c r="N1039" s="71"/>
    </row>
    <row r="1040" spans="9:14" ht="18" x14ac:dyDescent="0.45">
      <c r="I1040" s="67"/>
      <c r="K1040" s="91"/>
      <c r="L1040" s="71"/>
      <c r="N1040" s="71"/>
    </row>
    <row r="1041" spans="9:14" ht="18" x14ac:dyDescent="0.45">
      <c r="I1041" s="67"/>
      <c r="K1041" s="91"/>
      <c r="L1041" s="71"/>
      <c r="N1041" s="71"/>
    </row>
    <row r="1042" spans="9:14" ht="18" x14ac:dyDescent="0.45">
      <c r="I1042" s="67"/>
      <c r="K1042" s="91"/>
      <c r="L1042" s="71"/>
      <c r="N1042" s="71"/>
    </row>
    <row r="1043" spans="9:14" ht="18" x14ac:dyDescent="0.45">
      <c r="I1043" s="67"/>
      <c r="K1043" s="91"/>
      <c r="L1043" s="71"/>
      <c r="N1043" s="71"/>
    </row>
    <row r="1044" spans="9:14" ht="18" x14ac:dyDescent="0.45">
      <c r="I1044" s="67"/>
      <c r="K1044" s="91"/>
      <c r="L1044" s="71"/>
      <c r="N1044" s="71"/>
    </row>
    <row r="1045" spans="9:14" ht="18" x14ac:dyDescent="0.45">
      <c r="I1045" s="67"/>
      <c r="K1045" s="91"/>
      <c r="L1045" s="71"/>
      <c r="N1045" s="71"/>
    </row>
    <row r="1046" spans="9:14" ht="18" x14ac:dyDescent="0.45">
      <c r="I1046" s="67"/>
      <c r="K1046" s="91"/>
      <c r="L1046" s="71"/>
      <c r="N1046" s="71"/>
    </row>
    <row r="1047" spans="9:14" ht="18" x14ac:dyDescent="0.45">
      <c r="I1047" s="67"/>
      <c r="K1047" s="91"/>
      <c r="L1047" s="71"/>
      <c r="N1047" s="71"/>
    </row>
    <row r="1048" spans="9:14" ht="18" x14ac:dyDescent="0.45">
      <c r="I1048" s="67"/>
      <c r="K1048" s="91"/>
      <c r="L1048" s="71"/>
      <c r="N1048" s="71"/>
    </row>
    <row r="1049" spans="9:14" ht="18" x14ac:dyDescent="0.45">
      <c r="I1049" s="67"/>
      <c r="K1049" s="91"/>
      <c r="L1049" s="71"/>
      <c r="N1049" s="71"/>
    </row>
    <row r="1050" spans="9:14" ht="18" x14ac:dyDescent="0.45">
      <c r="I1050" s="67"/>
      <c r="K1050" s="91"/>
      <c r="L1050" s="71"/>
      <c r="N1050" s="71"/>
    </row>
    <row r="1051" spans="9:14" ht="18" x14ac:dyDescent="0.45">
      <c r="I1051" s="67"/>
      <c r="K1051" s="91"/>
      <c r="L1051" s="71"/>
      <c r="N1051" s="71"/>
    </row>
    <row r="1052" spans="9:14" ht="18" x14ac:dyDescent="0.45">
      <c r="I1052" s="67"/>
      <c r="K1052" s="91"/>
      <c r="L1052" s="71"/>
      <c r="N1052" s="71"/>
    </row>
    <row r="1053" spans="9:14" ht="18" x14ac:dyDescent="0.45">
      <c r="I1053" s="67"/>
      <c r="K1053" s="91"/>
      <c r="L1053" s="71"/>
      <c r="N1053" s="71"/>
    </row>
    <row r="1054" spans="9:14" ht="18" x14ac:dyDescent="0.45">
      <c r="I1054" s="67"/>
      <c r="K1054" s="91"/>
      <c r="L1054" s="71"/>
      <c r="N1054" s="71"/>
    </row>
    <row r="1055" spans="9:14" ht="18" x14ac:dyDescent="0.45">
      <c r="I1055" s="67"/>
      <c r="K1055" s="91"/>
      <c r="L1055" s="71"/>
      <c r="N1055" s="71"/>
    </row>
    <row r="1056" spans="9:14" ht="18" x14ac:dyDescent="0.45">
      <c r="I1056" s="67"/>
      <c r="K1056" s="91"/>
      <c r="L1056" s="71"/>
      <c r="N1056" s="71"/>
    </row>
    <row r="1057" spans="9:14" ht="18" x14ac:dyDescent="0.45">
      <c r="I1057" s="67"/>
      <c r="K1057" s="91"/>
      <c r="L1057" s="71"/>
      <c r="N1057" s="71"/>
    </row>
    <row r="1058" spans="9:14" ht="18" x14ac:dyDescent="0.45">
      <c r="I1058" s="67"/>
      <c r="K1058" s="91"/>
      <c r="L1058" s="71"/>
      <c r="N1058" s="71"/>
    </row>
    <row r="1059" spans="9:14" ht="18" x14ac:dyDescent="0.45">
      <c r="I1059" s="67"/>
      <c r="K1059" s="91"/>
      <c r="L1059" s="71"/>
      <c r="N1059" s="71"/>
    </row>
    <row r="1060" spans="9:14" ht="18" x14ac:dyDescent="0.45">
      <c r="I1060" s="67"/>
      <c r="K1060" s="91"/>
      <c r="L1060" s="71"/>
      <c r="N1060" s="71"/>
    </row>
    <row r="1061" spans="9:14" ht="18" x14ac:dyDescent="0.45">
      <c r="I1061" s="67"/>
      <c r="K1061" s="91"/>
      <c r="L1061" s="71"/>
      <c r="N1061" s="71"/>
    </row>
    <row r="1062" spans="9:14" ht="18" x14ac:dyDescent="0.45">
      <c r="I1062" s="67"/>
      <c r="K1062" s="91"/>
      <c r="L1062" s="71"/>
      <c r="N1062" s="71"/>
    </row>
    <row r="1063" spans="9:14" ht="18" x14ac:dyDescent="0.45">
      <c r="I1063" s="67"/>
      <c r="K1063" s="91"/>
      <c r="L1063" s="71"/>
      <c r="N1063" s="71"/>
    </row>
    <row r="1064" spans="9:14" ht="18" x14ac:dyDescent="0.45">
      <c r="I1064" s="67"/>
      <c r="K1064" s="91"/>
      <c r="L1064" s="71"/>
      <c r="N1064" s="71"/>
    </row>
    <row r="1065" spans="9:14" ht="18" x14ac:dyDescent="0.45">
      <c r="I1065" s="67"/>
      <c r="K1065" s="91"/>
      <c r="L1065" s="71"/>
      <c r="N1065" s="71"/>
    </row>
    <row r="1066" spans="9:14" ht="18" x14ac:dyDescent="0.45">
      <c r="I1066" s="67"/>
      <c r="K1066" s="91"/>
      <c r="L1066" s="71"/>
      <c r="N1066" s="71"/>
    </row>
    <row r="1067" spans="9:14" ht="18" x14ac:dyDescent="0.45">
      <c r="I1067" s="67"/>
      <c r="K1067" s="91"/>
      <c r="L1067" s="71"/>
      <c r="N1067" s="71"/>
    </row>
    <row r="1068" spans="9:14" ht="18" x14ac:dyDescent="0.45">
      <c r="I1068" s="67"/>
      <c r="K1068" s="91"/>
      <c r="L1068" s="71"/>
      <c r="N1068" s="71"/>
    </row>
    <row r="1069" spans="9:14" ht="18" x14ac:dyDescent="0.45">
      <c r="I1069" s="67"/>
      <c r="K1069" s="91"/>
      <c r="L1069" s="71"/>
      <c r="N1069" s="71"/>
    </row>
    <row r="1070" spans="9:14" ht="18" x14ac:dyDescent="0.45">
      <c r="I1070" s="67"/>
      <c r="K1070" s="91"/>
      <c r="L1070" s="71"/>
      <c r="N1070" s="71"/>
    </row>
    <row r="1071" spans="9:14" ht="18" x14ac:dyDescent="0.45">
      <c r="I1071" s="67"/>
      <c r="K1071" s="91"/>
      <c r="L1071" s="71"/>
      <c r="N1071" s="71"/>
    </row>
    <row r="1072" spans="9:14" ht="18" x14ac:dyDescent="0.45">
      <c r="I1072" s="67"/>
      <c r="K1072" s="91"/>
      <c r="L1072" s="71"/>
      <c r="N1072" s="71"/>
    </row>
    <row r="1073" spans="9:14" ht="18" x14ac:dyDescent="0.45">
      <c r="I1073" s="67"/>
      <c r="K1073" s="91"/>
      <c r="L1073" s="71"/>
      <c r="N1073" s="71"/>
    </row>
    <row r="1074" spans="9:14" ht="18" x14ac:dyDescent="0.45">
      <c r="I1074" s="67"/>
      <c r="K1074" s="91"/>
      <c r="L1074" s="71"/>
      <c r="N1074" s="71"/>
    </row>
    <row r="1075" spans="9:14" ht="18" x14ac:dyDescent="0.45">
      <c r="I1075" s="67"/>
      <c r="K1075" s="91"/>
      <c r="L1075" s="71"/>
      <c r="N1075" s="71"/>
    </row>
    <row r="1076" spans="9:14" ht="18" x14ac:dyDescent="0.45">
      <c r="I1076" s="67"/>
      <c r="K1076" s="91"/>
      <c r="L1076" s="71"/>
      <c r="N1076" s="71"/>
    </row>
    <row r="1077" spans="9:14" ht="18" x14ac:dyDescent="0.45">
      <c r="I1077" s="67"/>
      <c r="K1077" s="91"/>
      <c r="L1077" s="71"/>
      <c r="N1077" s="71"/>
    </row>
    <row r="1078" spans="9:14" ht="18" x14ac:dyDescent="0.45">
      <c r="I1078" s="67"/>
      <c r="K1078" s="91"/>
      <c r="L1078" s="71"/>
      <c r="N1078" s="71"/>
    </row>
    <row r="1079" spans="9:14" ht="18" x14ac:dyDescent="0.45">
      <c r="I1079" s="67"/>
      <c r="K1079" s="91"/>
      <c r="L1079" s="71"/>
      <c r="N1079" s="71"/>
    </row>
    <row r="1080" spans="9:14" ht="18" x14ac:dyDescent="0.45">
      <c r="I1080" s="67"/>
      <c r="K1080" s="91"/>
      <c r="L1080" s="71"/>
      <c r="N1080" s="71"/>
    </row>
    <row r="1081" spans="9:14" ht="18" x14ac:dyDescent="0.45">
      <c r="I1081" s="67"/>
      <c r="K1081" s="91"/>
      <c r="L1081" s="71"/>
      <c r="N1081" s="71"/>
    </row>
    <row r="1082" spans="9:14" ht="18" x14ac:dyDescent="0.45">
      <c r="I1082" s="67"/>
      <c r="K1082" s="91"/>
      <c r="L1082" s="71"/>
      <c r="N1082" s="71"/>
    </row>
    <row r="1083" spans="9:14" ht="18" x14ac:dyDescent="0.45">
      <c r="I1083" s="67"/>
      <c r="K1083" s="91"/>
      <c r="L1083" s="71"/>
      <c r="N1083" s="71"/>
    </row>
    <row r="1084" spans="9:14" ht="18" x14ac:dyDescent="0.45">
      <c r="I1084" s="67"/>
      <c r="K1084" s="91"/>
      <c r="L1084" s="71"/>
      <c r="N1084" s="71"/>
    </row>
    <row r="1085" spans="9:14" ht="18" x14ac:dyDescent="0.45">
      <c r="I1085" s="67"/>
      <c r="K1085" s="91"/>
      <c r="L1085" s="71"/>
      <c r="N1085" s="71"/>
    </row>
    <row r="1086" spans="9:14" ht="18" x14ac:dyDescent="0.45">
      <c r="I1086" s="67"/>
      <c r="K1086" s="91"/>
      <c r="L1086" s="71"/>
      <c r="N1086" s="71"/>
    </row>
    <row r="1087" spans="9:14" ht="18" x14ac:dyDescent="0.45">
      <c r="I1087" s="67"/>
      <c r="K1087" s="91"/>
      <c r="L1087" s="71"/>
      <c r="N1087" s="71"/>
    </row>
    <row r="1088" spans="9:14" ht="18" x14ac:dyDescent="0.45">
      <c r="I1088" s="67"/>
      <c r="K1088" s="91"/>
      <c r="L1088" s="71"/>
      <c r="N1088" s="71"/>
    </row>
    <row r="1089" spans="9:14" ht="18" x14ac:dyDescent="0.45">
      <c r="I1089" s="67"/>
      <c r="K1089" s="91"/>
      <c r="L1089" s="71"/>
      <c r="N1089" s="71"/>
    </row>
    <row r="1090" spans="9:14" ht="18" x14ac:dyDescent="0.45">
      <c r="I1090" s="67"/>
      <c r="K1090" s="91"/>
      <c r="L1090" s="71"/>
      <c r="N1090" s="71"/>
    </row>
    <row r="1091" spans="9:14" ht="18" x14ac:dyDescent="0.45">
      <c r="I1091" s="67"/>
      <c r="K1091" s="91"/>
      <c r="L1091" s="71"/>
      <c r="N1091" s="71"/>
    </row>
    <row r="1092" spans="9:14" ht="18" x14ac:dyDescent="0.45">
      <c r="I1092" s="67"/>
      <c r="K1092" s="91"/>
      <c r="L1092" s="71"/>
      <c r="N1092" s="71"/>
    </row>
    <row r="1093" spans="9:14" ht="18" x14ac:dyDescent="0.45">
      <c r="I1093" s="67"/>
      <c r="K1093" s="91"/>
      <c r="L1093" s="71"/>
      <c r="N1093" s="71"/>
    </row>
    <row r="1094" spans="9:14" ht="18" x14ac:dyDescent="0.45">
      <c r="I1094" s="67"/>
      <c r="K1094" s="91"/>
      <c r="L1094" s="71"/>
      <c r="N1094" s="71"/>
    </row>
    <row r="1095" spans="9:14" ht="18" x14ac:dyDescent="0.45">
      <c r="I1095" s="67"/>
      <c r="K1095" s="91"/>
      <c r="L1095" s="71"/>
      <c r="N1095" s="71"/>
    </row>
    <row r="1096" spans="9:14" ht="18" x14ac:dyDescent="0.45">
      <c r="I1096" s="67"/>
      <c r="K1096" s="91"/>
      <c r="L1096" s="71"/>
      <c r="N1096" s="71"/>
    </row>
    <row r="1097" spans="9:14" ht="18" x14ac:dyDescent="0.45">
      <c r="I1097" s="67"/>
      <c r="K1097" s="91"/>
      <c r="L1097" s="71"/>
      <c r="N1097" s="71"/>
    </row>
    <row r="1098" spans="9:14" ht="18" x14ac:dyDescent="0.45">
      <c r="I1098" s="67"/>
      <c r="K1098" s="91"/>
      <c r="L1098" s="71"/>
      <c r="N1098" s="71"/>
    </row>
    <row r="1099" spans="9:14" ht="18" x14ac:dyDescent="0.45">
      <c r="I1099" s="67"/>
      <c r="K1099" s="91"/>
      <c r="L1099" s="71"/>
      <c r="N1099" s="71"/>
    </row>
    <row r="1100" spans="9:14" ht="18" x14ac:dyDescent="0.45">
      <c r="I1100" s="67"/>
      <c r="K1100" s="91"/>
      <c r="L1100" s="71"/>
      <c r="N1100" s="71"/>
    </row>
    <row r="1101" spans="9:14" ht="18" x14ac:dyDescent="0.45">
      <c r="I1101" s="67"/>
      <c r="K1101" s="91"/>
      <c r="L1101" s="71"/>
      <c r="N1101" s="71"/>
    </row>
    <row r="1102" spans="9:14" ht="18" x14ac:dyDescent="0.45">
      <c r="I1102" s="67"/>
      <c r="K1102" s="91"/>
      <c r="L1102" s="71"/>
      <c r="N1102" s="71"/>
    </row>
    <row r="1103" spans="9:14" ht="18" x14ac:dyDescent="0.45">
      <c r="I1103" s="67"/>
      <c r="K1103" s="91"/>
      <c r="L1103" s="71"/>
      <c r="N1103" s="71"/>
    </row>
    <row r="1104" spans="9:14" ht="18" x14ac:dyDescent="0.45">
      <c r="I1104" s="67"/>
      <c r="K1104" s="91"/>
      <c r="L1104" s="71"/>
      <c r="N1104" s="71"/>
    </row>
    <row r="1105" spans="9:14" ht="18" x14ac:dyDescent="0.45">
      <c r="I1105" s="67"/>
      <c r="K1105" s="91"/>
      <c r="L1105" s="71"/>
      <c r="N1105" s="71"/>
    </row>
    <row r="1106" spans="9:14" ht="18" x14ac:dyDescent="0.45">
      <c r="I1106" s="67"/>
      <c r="K1106" s="91"/>
      <c r="L1106" s="71"/>
      <c r="N1106" s="71"/>
    </row>
    <row r="1107" spans="9:14" ht="18" x14ac:dyDescent="0.45">
      <c r="I1107" s="67"/>
      <c r="K1107" s="91"/>
      <c r="L1107" s="71"/>
      <c r="N1107" s="71"/>
    </row>
    <row r="1108" spans="9:14" ht="18" x14ac:dyDescent="0.45">
      <c r="I1108" s="67"/>
      <c r="K1108" s="91"/>
      <c r="L1108" s="71"/>
      <c r="N1108" s="71"/>
    </row>
    <row r="1109" spans="9:14" ht="18" x14ac:dyDescent="0.45">
      <c r="I1109" s="67"/>
      <c r="K1109" s="91"/>
      <c r="L1109" s="71"/>
      <c r="N1109" s="71"/>
    </row>
    <row r="1110" spans="9:14" ht="18" x14ac:dyDescent="0.45">
      <c r="I1110" s="67"/>
      <c r="K1110" s="91"/>
      <c r="L1110" s="71"/>
      <c r="N1110" s="71"/>
    </row>
    <row r="1111" spans="9:14" ht="18" x14ac:dyDescent="0.45">
      <c r="I1111" s="67"/>
      <c r="K1111" s="91"/>
      <c r="L1111" s="71"/>
      <c r="N1111" s="71"/>
    </row>
    <row r="1112" spans="9:14" ht="18" x14ac:dyDescent="0.45">
      <c r="I1112" s="67"/>
      <c r="K1112" s="91"/>
      <c r="L1112" s="71"/>
      <c r="N1112" s="71"/>
    </row>
    <row r="1113" spans="9:14" ht="18" x14ac:dyDescent="0.45">
      <c r="I1113" s="67"/>
      <c r="K1113" s="91"/>
      <c r="L1113" s="71"/>
      <c r="N1113" s="71"/>
    </row>
    <row r="1114" spans="9:14" ht="18" x14ac:dyDescent="0.45">
      <c r="I1114" s="67"/>
      <c r="K1114" s="91"/>
      <c r="L1114" s="71"/>
      <c r="N1114" s="71"/>
    </row>
    <row r="1115" spans="9:14" ht="18" x14ac:dyDescent="0.45">
      <c r="I1115" s="67"/>
      <c r="K1115" s="91"/>
      <c r="L1115" s="71"/>
      <c r="N1115" s="71"/>
    </row>
    <row r="1116" spans="9:14" ht="18" x14ac:dyDescent="0.45">
      <c r="I1116" s="67"/>
      <c r="K1116" s="91"/>
      <c r="L1116" s="71"/>
      <c r="N1116" s="71"/>
    </row>
    <row r="1117" spans="9:14" ht="18" x14ac:dyDescent="0.45">
      <c r="I1117" s="67"/>
      <c r="K1117" s="91"/>
      <c r="L1117" s="71"/>
      <c r="N1117" s="71"/>
    </row>
    <row r="1118" spans="9:14" ht="18" x14ac:dyDescent="0.45">
      <c r="I1118" s="67"/>
      <c r="K1118" s="91"/>
      <c r="L1118" s="71"/>
      <c r="N1118" s="71"/>
    </row>
    <row r="1119" spans="9:14" ht="18" x14ac:dyDescent="0.45">
      <c r="I1119" s="67"/>
      <c r="K1119" s="91"/>
      <c r="L1119" s="71"/>
      <c r="N1119" s="71"/>
    </row>
    <row r="1120" spans="9:14" ht="18" x14ac:dyDescent="0.45">
      <c r="I1120" s="67"/>
      <c r="K1120" s="91"/>
      <c r="L1120" s="71"/>
      <c r="N1120" s="71"/>
    </row>
    <row r="1121" spans="9:14" ht="18" x14ac:dyDescent="0.45">
      <c r="I1121" s="67"/>
      <c r="K1121" s="91"/>
      <c r="L1121" s="71"/>
      <c r="N1121" s="71"/>
    </row>
    <row r="1122" spans="9:14" ht="18" x14ac:dyDescent="0.45">
      <c r="I1122" s="67"/>
      <c r="K1122" s="91"/>
      <c r="L1122" s="71"/>
      <c r="N1122" s="71"/>
    </row>
    <row r="1123" spans="9:14" ht="18" x14ac:dyDescent="0.45">
      <c r="I1123" s="67"/>
      <c r="K1123" s="91"/>
      <c r="L1123" s="71"/>
      <c r="N1123" s="71"/>
    </row>
    <row r="1124" spans="9:14" ht="18" x14ac:dyDescent="0.45">
      <c r="I1124" s="67"/>
      <c r="K1124" s="91"/>
      <c r="L1124" s="71"/>
      <c r="N1124" s="71"/>
    </row>
    <row r="1125" spans="9:14" ht="18" x14ac:dyDescent="0.45">
      <c r="I1125" s="67"/>
      <c r="K1125" s="91"/>
      <c r="L1125" s="71"/>
      <c r="N1125" s="71"/>
    </row>
    <row r="1126" spans="9:14" ht="18" x14ac:dyDescent="0.45">
      <c r="I1126" s="67"/>
      <c r="K1126" s="91"/>
      <c r="L1126" s="71"/>
      <c r="N1126" s="71"/>
    </row>
    <row r="1127" spans="9:14" ht="18" x14ac:dyDescent="0.45">
      <c r="I1127" s="67"/>
      <c r="K1127" s="91"/>
      <c r="L1127" s="71"/>
      <c r="N1127" s="71"/>
    </row>
    <row r="1128" spans="9:14" ht="18" x14ac:dyDescent="0.45">
      <c r="I1128" s="67"/>
      <c r="K1128" s="91"/>
      <c r="L1128" s="71"/>
      <c r="N1128" s="71"/>
    </row>
    <row r="1129" spans="9:14" ht="18" x14ac:dyDescent="0.45">
      <c r="I1129" s="67"/>
      <c r="K1129" s="91"/>
      <c r="L1129" s="71"/>
      <c r="N1129" s="71"/>
    </row>
    <row r="1130" spans="9:14" ht="18" x14ac:dyDescent="0.45">
      <c r="I1130" s="67"/>
      <c r="K1130" s="91"/>
      <c r="L1130" s="71"/>
      <c r="N1130" s="71"/>
    </row>
    <row r="1131" spans="9:14" ht="18" x14ac:dyDescent="0.45">
      <c r="I1131" s="67"/>
      <c r="K1131" s="91"/>
      <c r="L1131" s="71"/>
      <c r="N1131" s="71"/>
    </row>
    <row r="1132" spans="9:14" ht="18" x14ac:dyDescent="0.45">
      <c r="I1132" s="67"/>
      <c r="K1132" s="91"/>
      <c r="L1132" s="71"/>
      <c r="N1132" s="71"/>
    </row>
    <row r="1133" spans="9:14" ht="18" x14ac:dyDescent="0.45">
      <c r="I1133" s="67"/>
      <c r="K1133" s="91"/>
      <c r="L1133" s="71"/>
      <c r="N1133" s="71"/>
    </row>
    <row r="1134" spans="9:14" ht="18" x14ac:dyDescent="0.45">
      <c r="I1134" s="67"/>
      <c r="K1134" s="91"/>
      <c r="L1134" s="71"/>
      <c r="N1134" s="71"/>
    </row>
    <row r="1135" spans="9:14" ht="18" x14ac:dyDescent="0.45">
      <c r="I1135" s="67"/>
      <c r="K1135" s="91"/>
      <c r="L1135" s="71"/>
      <c r="N1135" s="71"/>
    </row>
    <row r="1136" spans="9:14" ht="18" x14ac:dyDescent="0.45">
      <c r="I1136" s="67"/>
      <c r="K1136" s="91"/>
      <c r="L1136" s="71"/>
      <c r="N1136" s="71"/>
    </row>
    <row r="1137" spans="9:14" ht="18" x14ac:dyDescent="0.45">
      <c r="I1137" s="67"/>
      <c r="K1137" s="91"/>
      <c r="L1137" s="71"/>
      <c r="N1137" s="71"/>
    </row>
    <row r="1138" spans="9:14" ht="18" x14ac:dyDescent="0.45">
      <c r="I1138" s="67"/>
      <c r="K1138" s="91"/>
      <c r="L1138" s="71"/>
      <c r="N1138" s="71"/>
    </row>
    <row r="1139" spans="9:14" ht="18" x14ac:dyDescent="0.45">
      <c r="I1139" s="67"/>
      <c r="K1139" s="91"/>
      <c r="L1139" s="71"/>
      <c r="N1139" s="71"/>
    </row>
    <row r="1140" spans="9:14" ht="18" x14ac:dyDescent="0.45">
      <c r="I1140" s="67"/>
      <c r="K1140" s="91"/>
      <c r="L1140" s="71"/>
      <c r="N1140" s="71"/>
    </row>
    <row r="1141" spans="9:14" ht="18" x14ac:dyDescent="0.45">
      <c r="I1141" s="67"/>
      <c r="K1141" s="91"/>
      <c r="L1141" s="71"/>
      <c r="N1141" s="71"/>
    </row>
    <row r="1142" spans="9:14" ht="18" x14ac:dyDescent="0.45">
      <c r="I1142" s="67"/>
      <c r="K1142" s="91"/>
      <c r="L1142" s="71"/>
      <c r="N1142" s="71"/>
    </row>
    <row r="1143" spans="9:14" ht="18" x14ac:dyDescent="0.45">
      <c r="I1143" s="67"/>
      <c r="K1143" s="91"/>
      <c r="L1143" s="71"/>
      <c r="N1143" s="71"/>
    </row>
    <row r="1144" spans="9:14" ht="18" x14ac:dyDescent="0.45">
      <c r="I1144" s="67"/>
      <c r="K1144" s="91"/>
      <c r="L1144" s="71"/>
      <c r="N1144" s="71"/>
    </row>
    <row r="1145" spans="9:14" ht="18" x14ac:dyDescent="0.45">
      <c r="I1145" s="67"/>
      <c r="K1145" s="91"/>
      <c r="L1145" s="71"/>
      <c r="N1145" s="71"/>
    </row>
    <row r="1146" spans="9:14" ht="18" x14ac:dyDescent="0.45">
      <c r="I1146" s="67"/>
      <c r="K1146" s="91"/>
      <c r="L1146" s="71"/>
      <c r="N1146" s="71"/>
    </row>
    <row r="1147" spans="9:14" ht="18" x14ac:dyDescent="0.45">
      <c r="I1147" s="67"/>
      <c r="K1147" s="91"/>
      <c r="L1147" s="71"/>
      <c r="N1147" s="71"/>
    </row>
    <row r="1148" spans="9:14" ht="18" x14ac:dyDescent="0.45">
      <c r="I1148" s="67"/>
      <c r="K1148" s="91"/>
      <c r="L1148" s="71"/>
      <c r="N1148" s="71"/>
    </row>
    <row r="1149" spans="9:14" ht="18" x14ac:dyDescent="0.45">
      <c r="I1149" s="67"/>
      <c r="K1149" s="91"/>
      <c r="L1149" s="71"/>
      <c r="N1149" s="71"/>
    </row>
    <row r="1150" spans="9:14" ht="18" x14ac:dyDescent="0.45">
      <c r="I1150" s="67"/>
      <c r="K1150" s="91"/>
      <c r="L1150" s="71"/>
      <c r="N1150" s="71"/>
    </row>
    <row r="1151" spans="9:14" ht="18" x14ac:dyDescent="0.45">
      <c r="I1151" s="67"/>
      <c r="K1151" s="91"/>
      <c r="L1151" s="71"/>
      <c r="N1151" s="71"/>
    </row>
    <row r="1152" spans="9:14" ht="18" x14ac:dyDescent="0.45">
      <c r="I1152" s="67"/>
      <c r="K1152" s="91"/>
      <c r="L1152" s="71"/>
      <c r="N1152" s="71"/>
    </row>
    <row r="1153" spans="9:14" ht="18" x14ac:dyDescent="0.45">
      <c r="I1153" s="67"/>
      <c r="L1153" s="71"/>
      <c r="N1153" s="71"/>
    </row>
    <row r="1154" spans="9:14" ht="18" x14ac:dyDescent="0.45">
      <c r="I1154" s="67"/>
      <c r="L1154" s="71"/>
      <c r="N1154" s="71"/>
    </row>
    <row r="1155" spans="9:14" ht="18" x14ac:dyDescent="0.45">
      <c r="I1155" s="67"/>
      <c r="L1155" s="71"/>
      <c r="N1155" s="71"/>
    </row>
    <row r="1156" spans="9:14" ht="18" x14ac:dyDescent="0.45">
      <c r="I1156" s="67"/>
      <c r="L1156" s="71"/>
      <c r="N1156" s="71"/>
    </row>
    <row r="1157" spans="9:14" ht="18" x14ac:dyDescent="0.45">
      <c r="I1157" s="67"/>
      <c r="L1157" s="71"/>
      <c r="N1157" s="71"/>
    </row>
    <row r="1158" spans="9:14" ht="18" x14ac:dyDescent="0.45">
      <c r="I1158" s="67"/>
      <c r="L1158" s="71"/>
      <c r="N1158" s="71"/>
    </row>
    <row r="1159" spans="9:14" ht="18" x14ac:dyDescent="0.45">
      <c r="I1159" s="67"/>
      <c r="L1159" s="71"/>
      <c r="N1159" s="71"/>
    </row>
    <row r="1160" spans="9:14" ht="18" x14ac:dyDescent="0.45">
      <c r="I1160" s="67"/>
      <c r="L1160" s="71"/>
      <c r="N1160" s="71"/>
    </row>
    <row r="1161" spans="9:14" ht="18" x14ac:dyDescent="0.45">
      <c r="I1161" s="67"/>
      <c r="L1161" s="71"/>
      <c r="N1161" s="71"/>
    </row>
    <row r="1162" spans="9:14" ht="18" x14ac:dyDescent="0.45">
      <c r="I1162" s="67"/>
      <c r="L1162" s="71"/>
      <c r="N1162" s="71"/>
    </row>
    <row r="1163" spans="9:14" ht="18" x14ac:dyDescent="0.45">
      <c r="I1163" s="67"/>
      <c r="L1163" s="71"/>
      <c r="N1163" s="71"/>
    </row>
    <row r="1164" spans="9:14" ht="18" x14ac:dyDescent="0.45">
      <c r="I1164" s="67"/>
      <c r="L1164" s="71"/>
      <c r="N1164" s="71"/>
    </row>
    <row r="1165" spans="9:14" ht="18" x14ac:dyDescent="0.45">
      <c r="I1165" s="67"/>
      <c r="L1165" s="71"/>
      <c r="N1165" s="71"/>
    </row>
    <row r="1166" spans="9:14" ht="18" x14ac:dyDescent="0.45">
      <c r="I1166" s="67"/>
      <c r="L1166" s="71"/>
      <c r="N1166" s="71"/>
    </row>
    <row r="1167" spans="9:14" ht="18" x14ac:dyDescent="0.45">
      <c r="I1167" s="67"/>
      <c r="L1167" s="71"/>
      <c r="N1167" s="71"/>
    </row>
    <row r="1168" spans="9:14" ht="18" x14ac:dyDescent="0.45">
      <c r="I1168" s="67"/>
      <c r="L1168" s="71"/>
      <c r="N1168" s="71"/>
    </row>
    <row r="1169" spans="9:14" ht="18" x14ac:dyDescent="0.45">
      <c r="I1169" s="67"/>
      <c r="L1169" s="71"/>
      <c r="N1169" s="71"/>
    </row>
    <row r="1170" spans="9:14" ht="18" x14ac:dyDescent="0.45">
      <c r="I1170" s="67"/>
      <c r="L1170" s="71"/>
      <c r="N1170" s="71"/>
    </row>
    <row r="1171" spans="9:14" ht="18" x14ac:dyDescent="0.45">
      <c r="I1171" s="67"/>
      <c r="L1171" s="71"/>
      <c r="N1171" s="71"/>
    </row>
    <row r="1172" spans="9:14" ht="18" x14ac:dyDescent="0.45">
      <c r="I1172" s="67"/>
      <c r="L1172" s="71"/>
      <c r="N1172" s="71"/>
    </row>
    <row r="1173" spans="9:14" ht="18" x14ac:dyDescent="0.45">
      <c r="I1173" s="67"/>
      <c r="L1173" s="71"/>
      <c r="N1173" s="71"/>
    </row>
    <row r="1174" spans="9:14" ht="18" x14ac:dyDescent="0.45">
      <c r="I1174" s="67"/>
      <c r="L1174" s="71"/>
      <c r="N1174" s="71"/>
    </row>
    <row r="1175" spans="9:14" ht="18" x14ac:dyDescent="0.45">
      <c r="I1175" s="67"/>
      <c r="L1175" s="71"/>
      <c r="N1175" s="71"/>
    </row>
    <row r="1176" spans="9:14" ht="18" x14ac:dyDescent="0.45">
      <c r="I1176" s="67"/>
      <c r="L1176" s="71"/>
      <c r="N1176" s="71"/>
    </row>
    <row r="1177" spans="9:14" ht="18" x14ac:dyDescent="0.45">
      <c r="I1177" s="67"/>
      <c r="L1177" s="71"/>
      <c r="N1177" s="71"/>
    </row>
    <row r="1178" spans="9:14" ht="18" x14ac:dyDescent="0.45">
      <c r="I1178" s="67"/>
      <c r="L1178" s="71"/>
      <c r="N1178" s="71"/>
    </row>
    <row r="1179" spans="9:14" ht="18" x14ac:dyDescent="0.45">
      <c r="I1179" s="67"/>
      <c r="L1179" s="71"/>
      <c r="N1179" s="71"/>
    </row>
    <row r="1180" spans="9:14" ht="18" x14ac:dyDescent="0.45">
      <c r="I1180" s="67"/>
      <c r="L1180" s="71"/>
      <c r="N1180" s="71"/>
    </row>
    <row r="1181" spans="9:14" ht="18" x14ac:dyDescent="0.45">
      <c r="I1181" s="67"/>
      <c r="L1181" s="71"/>
      <c r="N1181" s="71"/>
    </row>
    <row r="1182" spans="9:14" ht="18" x14ac:dyDescent="0.45">
      <c r="I1182" s="67"/>
      <c r="L1182" s="71"/>
      <c r="N1182" s="71"/>
    </row>
    <row r="1183" spans="9:14" ht="18" x14ac:dyDescent="0.45">
      <c r="I1183" s="67"/>
      <c r="L1183" s="71"/>
      <c r="N1183" s="71"/>
    </row>
    <row r="1184" spans="9:14" ht="18" x14ac:dyDescent="0.45">
      <c r="I1184" s="67"/>
      <c r="L1184" s="71"/>
      <c r="N1184" s="71"/>
    </row>
    <row r="1185" spans="9:14" ht="18" x14ac:dyDescent="0.45">
      <c r="I1185" s="67"/>
      <c r="L1185" s="71"/>
      <c r="N1185" s="71"/>
    </row>
    <row r="1186" spans="9:14" ht="18" x14ac:dyDescent="0.45">
      <c r="I1186" s="67"/>
      <c r="L1186" s="71"/>
      <c r="N1186" s="71"/>
    </row>
    <row r="1187" spans="9:14" ht="18" x14ac:dyDescent="0.45">
      <c r="I1187" s="67"/>
      <c r="L1187" s="71"/>
      <c r="N1187" s="71"/>
    </row>
    <row r="1188" spans="9:14" ht="18" x14ac:dyDescent="0.45">
      <c r="I1188" s="67"/>
      <c r="L1188" s="71"/>
      <c r="N1188" s="71"/>
    </row>
    <row r="1189" spans="9:14" ht="18" x14ac:dyDescent="0.45">
      <c r="I1189" s="67"/>
      <c r="L1189" s="71"/>
      <c r="N1189" s="71"/>
    </row>
    <row r="1190" spans="9:14" ht="18" x14ac:dyDescent="0.45">
      <c r="I1190" s="67"/>
      <c r="L1190" s="71"/>
      <c r="N1190" s="71"/>
    </row>
    <row r="1191" spans="9:14" ht="18" x14ac:dyDescent="0.45">
      <c r="I1191" s="67"/>
      <c r="L1191" s="71"/>
      <c r="N1191" s="71"/>
    </row>
    <row r="1192" spans="9:14" ht="18" x14ac:dyDescent="0.45">
      <c r="I1192" s="67"/>
      <c r="L1192" s="71"/>
      <c r="N1192" s="71"/>
    </row>
    <row r="1193" spans="9:14" ht="18" x14ac:dyDescent="0.45">
      <c r="I1193" s="67"/>
      <c r="L1193" s="71"/>
      <c r="N1193" s="71"/>
    </row>
    <row r="1194" spans="9:14" ht="18" x14ac:dyDescent="0.45">
      <c r="I1194" s="67"/>
      <c r="L1194" s="71"/>
      <c r="N1194" s="71"/>
    </row>
    <row r="1195" spans="9:14" ht="18" x14ac:dyDescent="0.45">
      <c r="I1195" s="67"/>
      <c r="L1195" s="71"/>
      <c r="N1195" s="71"/>
    </row>
    <row r="1196" spans="9:14" ht="18" x14ac:dyDescent="0.45">
      <c r="I1196" s="67"/>
      <c r="L1196" s="71"/>
      <c r="N1196" s="71"/>
    </row>
    <row r="1197" spans="9:14" ht="18" x14ac:dyDescent="0.45">
      <c r="I1197" s="67"/>
      <c r="L1197" s="71"/>
      <c r="N1197" s="71"/>
    </row>
    <row r="1198" spans="9:14" ht="18" x14ac:dyDescent="0.45">
      <c r="I1198" s="67"/>
      <c r="L1198" s="71"/>
      <c r="N1198" s="71"/>
    </row>
    <row r="1199" spans="9:14" ht="18" x14ac:dyDescent="0.45">
      <c r="I1199" s="67"/>
      <c r="L1199" s="71"/>
      <c r="N1199" s="71"/>
    </row>
    <row r="1200" spans="9:14" ht="18" x14ac:dyDescent="0.45">
      <c r="I1200" s="67"/>
      <c r="L1200" s="71"/>
      <c r="N1200" s="71"/>
    </row>
    <row r="1201" spans="9:14" ht="18" x14ac:dyDescent="0.45">
      <c r="I1201" s="67"/>
      <c r="L1201" s="71"/>
      <c r="N1201" s="71"/>
    </row>
    <row r="1202" spans="9:14" ht="18" x14ac:dyDescent="0.45">
      <c r="I1202" s="67"/>
      <c r="L1202" s="71"/>
      <c r="N1202" s="71"/>
    </row>
    <row r="1203" spans="9:14" ht="18" x14ac:dyDescent="0.45">
      <c r="I1203" s="67"/>
      <c r="L1203" s="71"/>
      <c r="N1203" s="71"/>
    </row>
    <row r="1204" spans="9:14" ht="18" x14ac:dyDescent="0.45">
      <c r="I1204" s="67"/>
      <c r="L1204" s="71"/>
      <c r="N1204" s="71"/>
    </row>
    <row r="1205" spans="9:14" ht="18" x14ac:dyDescent="0.45">
      <c r="I1205" s="67"/>
      <c r="L1205" s="71"/>
      <c r="N1205" s="71"/>
    </row>
    <row r="1206" spans="9:14" ht="18" x14ac:dyDescent="0.45">
      <c r="I1206" s="67"/>
      <c r="L1206" s="71"/>
      <c r="N1206" s="71"/>
    </row>
    <row r="1207" spans="9:14" ht="18" x14ac:dyDescent="0.45">
      <c r="I1207" s="67"/>
      <c r="L1207" s="71"/>
      <c r="N1207" s="71"/>
    </row>
    <row r="1208" spans="9:14" ht="18" x14ac:dyDescent="0.45">
      <c r="I1208" s="67"/>
      <c r="L1208" s="71"/>
      <c r="N1208" s="71"/>
    </row>
    <row r="1209" spans="9:14" ht="18" x14ac:dyDescent="0.45">
      <c r="I1209" s="67"/>
      <c r="L1209" s="71"/>
      <c r="N1209" s="71"/>
    </row>
    <row r="1210" spans="9:14" ht="18" x14ac:dyDescent="0.45">
      <c r="I1210" s="67"/>
      <c r="L1210" s="71"/>
      <c r="N1210" s="71"/>
    </row>
    <row r="1211" spans="9:14" ht="18" x14ac:dyDescent="0.45">
      <c r="I1211" s="67"/>
      <c r="L1211" s="71"/>
      <c r="N1211" s="71"/>
    </row>
    <row r="1212" spans="9:14" ht="18" x14ac:dyDescent="0.45">
      <c r="I1212" s="67"/>
      <c r="L1212" s="71"/>
      <c r="N1212" s="71"/>
    </row>
    <row r="1213" spans="9:14" ht="18" x14ac:dyDescent="0.45">
      <c r="I1213" s="67"/>
      <c r="L1213" s="71"/>
      <c r="N1213" s="71"/>
    </row>
    <row r="1214" spans="9:14" ht="18" x14ac:dyDescent="0.45">
      <c r="I1214" s="67"/>
      <c r="L1214" s="71"/>
      <c r="N1214" s="71"/>
    </row>
    <row r="1215" spans="9:14" ht="18" x14ac:dyDescent="0.45">
      <c r="I1215" s="67"/>
      <c r="L1215" s="71"/>
      <c r="N1215" s="71"/>
    </row>
    <row r="1216" spans="9:14" ht="18" x14ac:dyDescent="0.45">
      <c r="I1216" s="67"/>
      <c r="L1216" s="71"/>
      <c r="N1216" s="71"/>
    </row>
    <row r="1217" spans="9:14" ht="18" x14ac:dyDescent="0.45">
      <c r="I1217" s="67"/>
      <c r="L1217" s="71"/>
      <c r="N1217" s="71"/>
    </row>
    <row r="1218" spans="9:14" ht="18" x14ac:dyDescent="0.45">
      <c r="I1218" s="67"/>
      <c r="L1218" s="71"/>
      <c r="N1218" s="71"/>
    </row>
    <row r="1219" spans="9:14" ht="18" x14ac:dyDescent="0.45">
      <c r="I1219" s="67"/>
      <c r="L1219" s="71"/>
      <c r="N1219" s="71"/>
    </row>
    <row r="1220" spans="9:14" ht="18" x14ac:dyDescent="0.45">
      <c r="I1220" s="67"/>
      <c r="L1220" s="71"/>
      <c r="N1220" s="71"/>
    </row>
    <row r="1221" spans="9:14" ht="18" x14ac:dyDescent="0.45">
      <c r="I1221" s="67"/>
      <c r="L1221" s="71"/>
      <c r="N1221" s="71"/>
    </row>
    <row r="1222" spans="9:14" ht="18" x14ac:dyDescent="0.45">
      <c r="I1222" s="67"/>
      <c r="L1222" s="71"/>
      <c r="N1222" s="71"/>
    </row>
    <row r="1223" spans="9:14" ht="18" x14ac:dyDescent="0.45">
      <c r="I1223" s="67"/>
      <c r="L1223" s="71"/>
      <c r="N1223" s="71"/>
    </row>
    <row r="1224" spans="9:14" ht="18" x14ac:dyDescent="0.45">
      <c r="I1224" s="67"/>
      <c r="L1224" s="71"/>
      <c r="N1224" s="71"/>
    </row>
    <row r="1225" spans="9:14" ht="18" x14ac:dyDescent="0.45">
      <c r="I1225" s="67"/>
      <c r="L1225" s="71"/>
      <c r="N1225" s="71"/>
    </row>
    <row r="1226" spans="9:14" ht="18" x14ac:dyDescent="0.45">
      <c r="I1226" s="67"/>
      <c r="L1226" s="71"/>
      <c r="N1226" s="71"/>
    </row>
    <row r="1227" spans="9:14" ht="18" x14ac:dyDescent="0.45">
      <c r="I1227" s="67"/>
      <c r="L1227" s="71"/>
      <c r="N1227" s="71"/>
    </row>
    <row r="1228" spans="9:14" ht="18" x14ac:dyDescent="0.45">
      <c r="I1228" s="67"/>
      <c r="L1228" s="71"/>
      <c r="N1228" s="71"/>
    </row>
    <row r="1229" spans="9:14" ht="18" x14ac:dyDescent="0.45">
      <c r="I1229" s="67"/>
      <c r="L1229" s="71"/>
      <c r="N1229" s="71"/>
    </row>
    <row r="1230" spans="9:14" ht="18" x14ac:dyDescent="0.45">
      <c r="I1230" s="67"/>
      <c r="L1230" s="71"/>
      <c r="N1230" s="71"/>
    </row>
    <row r="1231" spans="9:14" ht="18" x14ac:dyDescent="0.45">
      <c r="I1231" s="67"/>
      <c r="L1231" s="71"/>
      <c r="N1231" s="71"/>
    </row>
    <row r="1232" spans="9:14" ht="18" x14ac:dyDescent="0.45">
      <c r="I1232" s="67"/>
      <c r="L1232" s="71"/>
      <c r="N1232" s="71"/>
    </row>
    <row r="1233" spans="9:14" ht="18" x14ac:dyDescent="0.45">
      <c r="I1233" s="67"/>
      <c r="L1233" s="71"/>
      <c r="N1233" s="71"/>
    </row>
    <row r="1234" spans="9:14" ht="18" x14ac:dyDescent="0.45">
      <c r="I1234" s="67"/>
      <c r="L1234" s="71"/>
      <c r="N1234" s="71"/>
    </row>
    <row r="1235" spans="9:14" ht="18" x14ac:dyDescent="0.45">
      <c r="I1235" s="67"/>
      <c r="L1235" s="71"/>
      <c r="N1235" s="71"/>
    </row>
    <row r="1236" spans="9:14" ht="18" x14ac:dyDescent="0.45">
      <c r="I1236" s="67"/>
      <c r="L1236" s="71"/>
      <c r="N1236" s="71"/>
    </row>
    <row r="1237" spans="9:14" ht="18" x14ac:dyDescent="0.45">
      <c r="I1237" s="67"/>
      <c r="L1237" s="71"/>
      <c r="N1237" s="71"/>
    </row>
    <row r="1238" spans="9:14" ht="18" x14ac:dyDescent="0.45">
      <c r="I1238" s="67"/>
      <c r="L1238" s="71"/>
      <c r="N1238" s="71"/>
    </row>
    <row r="1239" spans="9:14" ht="18" x14ac:dyDescent="0.45">
      <c r="I1239" s="67"/>
      <c r="L1239" s="71"/>
      <c r="N1239" s="71"/>
    </row>
    <row r="1240" spans="9:14" ht="18" x14ac:dyDescent="0.45">
      <c r="I1240" s="67"/>
      <c r="L1240" s="71"/>
      <c r="N1240" s="71"/>
    </row>
    <row r="1241" spans="9:14" ht="18" x14ac:dyDescent="0.45">
      <c r="I1241" s="67"/>
      <c r="L1241" s="71"/>
      <c r="N1241" s="71"/>
    </row>
    <row r="1242" spans="9:14" ht="18" x14ac:dyDescent="0.45">
      <c r="I1242" s="67"/>
      <c r="L1242" s="71"/>
      <c r="N1242" s="71"/>
    </row>
    <row r="1243" spans="9:14" ht="18" x14ac:dyDescent="0.45">
      <c r="I1243" s="67"/>
      <c r="L1243" s="71"/>
      <c r="N1243" s="71"/>
    </row>
    <row r="1244" spans="9:14" ht="18" x14ac:dyDescent="0.45">
      <c r="I1244" s="67"/>
      <c r="L1244" s="71"/>
      <c r="N1244" s="71"/>
    </row>
    <row r="1245" spans="9:14" ht="18" x14ac:dyDescent="0.45">
      <c r="I1245" s="67"/>
      <c r="L1245" s="71"/>
      <c r="N1245" s="71"/>
    </row>
    <row r="1246" spans="9:14" ht="18" x14ac:dyDescent="0.45">
      <c r="I1246" s="67"/>
      <c r="L1246" s="71"/>
      <c r="N1246" s="71"/>
    </row>
    <row r="1247" spans="9:14" ht="18" x14ac:dyDescent="0.45">
      <c r="I1247" s="67"/>
      <c r="L1247" s="71"/>
      <c r="N1247" s="71"/>
    </row>
    <row r="1248" spans="9:14" ht="18" x14ac:dyDescent="0.45">
      <c r="I1248" s="67"/>
      <c r="L1248" s="71"/>
      <c r="N1248" s="71"/>
    </row>
    <row r="1249" spans="9:14" ht="18" x14ac:dyDescent="0.45">
      <c r="I1249" s="67"/>
      <c r="L1249" s="71"/>
      <c r="N1249" s="71"/>
    </row>
    <row r="1250" spans="9:14" ht="18" x14ac:dyDescent="0.45">
      <c r="I1250" s="67"/>
      <c r="L1250" s="71"/>
      <c r="N1250" s="71"/>
    </row>
    <row r="1251" spans="9:14" ht="18" x14ac:dyDescent="0.45">
      <c r="I1251" s="67"/>
      <c r="L1251" s="71"/>
      <c r="N1251" s="71"/>
    </row>
    <row r="1252" spans="9:14" ht="18" x14ac:dyDescent="0.45">
      <c r="I1252" s="67"/>
      <c r="L1252" s="71"/>
      <c r="N1252" s="71"/>
    </row>
    <row r="1253" spans="9:14" ht="18" x14ac:dyDescent="0.45">
      <c r="I1253" s="67"/>
      <c r="L1253" s="71"/>
      <c r="N1253" s="71"/>
    </row>
    <row r="1254" spans="9:14" ht="18" x14ac:dyDescent="0.45">
      <c r="I1254" s="67"/>
      <c r="L1254" s="71"/>
      <c r="N1254" s="71"/>
    </row>
    <row r="1255" spans="9:14" ht="18" x14ac:dyDescent="0.45">
      <c r="I1255" s="67"/>
      <c r="L1255" s="71"/>
      <c r="N1255" s="71"/>
    </row>
    <row r="1256" spans="9:14" ht="18" x14ac:dyDescent="0.45">
      <c r="I1256" s="67"/>
      <c r="L1256" s="71"/>
      <c r="N1256" s="71"/>
    </row>
    <row r="1257" spans="9:14" ht="18" x14ac:dyDescent="0.45">
      <c r="I1257" s="67"/>
      <c r="L1257" s="71"/>
      <c r="N1257" s="71"/>
    </row>
    <row r="1258" spans="9:14" ht="18" x14ac:dyDescent="0.45">
      <c r="I1258" s="67"/>
      <c r="L1258" s="71"/>
      <c r="N1258" s="71"/>
    </row>
    <row r="1259" spans="9:14" ht="18" x14ac:dyDescent="0.45">
      <c r="I1259" s="67"/>
      <c r="L1259" s="71"/>
      <c r="N1259" s="71"/>
    </row>
    <row r="1260" spans="9:14" ht="18" x14ac:dyDescent="0.45">
      <c r="I1260" s="67"/>
      <c r="L1260" s="71"/>
      <c r="N1260" s="71"/>
    </row>
    <row r="1261" spans="9:14" ht="18" x14ac:dyDescent="0.45">
      <c r="I1261" s="67"/>
      <c r="L1261" s="71"/>
      <c r="N1261" s="71"/>
    </row>
    <row r="1262" spans="9:14" ht="18" x14ac:dyDescent="0.45">
      <c r="I1262" s="67"/>
      <c r="L1262" s="71"/>
      <c r="N1262" s="71"/>
    </row>
    <row r="1263" spans="9:14" ht="18" x14ac:dyDescent="0.45">
      <c r="I1263" s="67"/>
      <c r="L1263" s="71"/>
      <c r="N1263" s="71"/>
    </row>
    <row r="1264" spans="9:14" ht="18" x14ac:dyDescent="0.45">
      <c r="I1264" s="67"/>
      <c r="L1264" s="71"/>
      <c r="N1264" s="71"/>
    </row>
    <row r="1265" spans="9:14" ht="18" x14ac:dyDescent="0.45">
      <c r="I1265" s="67"/>
      <c r="L1265" s="71"/>
      <c r="N1265" s="71"/>
    </row>
    <row r="1266" spans="9:14" ht="18" x14ac:dyDescent="0.45">
      <c r="I1266" s="67"/>
      <c r="L1266" s="71"/>
      <c r="N1266" s="71"/>
    </row>
    <row r="1267" spans="9:14" ht="18" x14ac:dyDescent="0.45">
      <c r="I1267" s="67"/>
      <c r="L1267" s="71"/>
      <c r="N1267" s="71"/>
    </row>
    <row r="1268" spans="9:14" ht="18" x14ac:dyDescent="0.45">
      <c r="I1268" s="67"/>
      <c r="L1268" s="71"/>
      <c r="N1268" s="71"/>
    </row>
    <row r="1269" spans="9:14" ht="18" x14ac:dyDescent="0.45">
      <c r="I1269" s="67"/>
      <c r="L1269" s="71"/>
      <c r="N1269" s="71"/>
    </row>
    <row r="1270" spans="9:14" ht="18" x14ac:dyDescent="0.45">
      <c r="I1270" s="67"/>
      <c r="L1270" s="71"/>
      <c r="N1270" s="71"/>
    </row>
    <row r="1271" spans="9:14" ht="18" x14ac:dyDescent="0.45">
      <c r="I1271" s="67"/>
      <c r="L1271" s="71"/>
      <c r="N1271" s="71"/>
    </row>
    <row r="1272" spans="9:14" ht="18" x14ac:dyDescent="0.45">
      <c r="I1272" s="67"/>
      <c r="L1272" s="71"/>
      <c r="N1272" s="71"/>
    </row>
    <row r="1273" spans="9:14" ht="18" x14ac:dyDescent="0.45">
      <c r="I1273" s="67"/>
      <c r="L1273" s="71"/>
      <c r="N1273" s="71"/>
    </row>
    <row r="1274" spans="9:14" ht="18" x14ac:dyDescent="0.45">
      <c r="I1274" s="67"/>
      <c r="L1274" s="71"/>
      <c r="N1274" s="71"/>
    </row>
    <row r="1275" spans="9:14" ht="18" x14ac:dyDescent="0.45">
      <c r="I1275" s="67"/>
      <c r="L1275" s="71"/>
      <c r="N1275" s="71"/>
    </row>
    <row r="1276" spans="9:14" ht="18" x14ac:dyDescent="0.45">
      <c r="I1276" s="67"/>
      <c r="L1276" s="71"/>
      <c r="N1276" s="71"/>
    </row>
    <row r="1277" spans="9:14" ht="18" x14ac:dyDescent="0.45">
      <c r="I1277" s="67"/>
      <c r="L1277" s="71"/>
      <c r="N1277" s="71"/>
    </row>
    <row r="1278" spans="9:14" ht="18" x14ac:dyDescent="0.45">
      <c r="I1278" s="67"/>
      <c r="L1278" s="71"/>
      <c r="N1278" s="71"/>
    </row>
    <row r="1279" spans="9:14" ht="18" x14ac:dyDescent="0.45">
      <c r="I1279" s="67"/>
      <c r="L1279" s="71"/>
      <c r="N1279" s="71"/>
    </row>
    <row r="1280" spans="9:14" ht="18" x14ac:dyDescent="0.45">
      <c r="I1280" s="67"/>
      <c r="L1280" s="71"/>
      <c r="N1280" s="71"/>
    </row>
    <row r="1281" spans="9:14" ht="18" x14ac:dyDescent="0.45">
      <c r="I1281" s="67"/>
      <c r="L1281" s="71"/>
      <c r="N1281" s="71"/>
    </row>
    <row r="1282" spans="9:14" ht="18" x14ac:dyDescent="0.45">
      <c r="I1282" s="67"/>
      <c r="L1282" s="71"/>
      <c r="N1282" s="71"/>
    </row>
    <row r="1283" spans="9:14" ht="18" x14ac:dyDescent="0.45">
      <c r="I1283" s="67"/>
      <c r="L1283" s="71"/>
      <c r="N1283" s="71"/>
    </row>
    <row r="1284" spans="9:14" ht="18" x14ac:dyDescent="0.45">
      <c r="I1284" s="67"/>
      <c r="L1284" s="71"/>
      <c r="N1284" s="71"/>
    </row>
    <row r="1285" spans="9:14" ht="18" x14ac:dyDescent="0.45">
      <c r="I1285" s="67"/>
      <c r="L1285" s="71"/>
      <c r="N1285" s="71"/>
    </row>
    <row r="1286" spans="9:14" ht="18" x14ac:dyDescent="0.45">
      <c r="I1286" s="67"/>
      <c r="L1286" s="71"/>
      <c r="N1286" s="71"/>
    </row>
    <row r="1287" spans="9:14" ht="18" x14ac:dyDescent="0.45">
      <c r="I1287" s="67"/>
      <c r="L1287" s="71"/>
      <c r="N1287" s="71"/>
    </row>
    <row r="1288" spans="9:14" ht="18" x14ac:dyDescent="0.45">
      <c r="I1288" s="67"/>
      <c r="L1288" s="71"/>
      <c r="N1288" s="71"/>
    </row>
    <row r="1289" spans="9:14" ht="18" x14ac:dyDescent="0.45">
      <c r="I1289" s="67"/>
      <c r="L1289" s="71"/>
      <c r="N1289" s="71"/>
    </row>
    <row r="1290" spans="9:14" ht="18" x14ac:dyDescent="0.45">
      <c r="I1290" s="67"/>
      <c r="L1290" s="71"/>
      <c r="N1290" s="71"/>
    </row>
    <row r="1291" spans="9:14" ht="18" x14ac:dyDescent="0.45">
      <c r="I1291" s="67"/>
      <c r="L1291" s="71"/>
      <c r="N1291" s="71"/>
    </row>
    <row r="1292" spans="9:14" ht="18" x14ac:dyDescent="0.45">
      <c r="I1292" s="67"/>
      <c r="L1292" s="71"/>
      <c r="N1292" s="71"/>
    </row>
    <row r="1293" spans="9:14" ht="18" x14ac:dyDescent="0.45">
      <c r="I1293" s="67"/>
      <c r="L1293" s="71"/>
      <c r="N1293" s="71"/>
    </row>
    <row r="1294" spans="9:14" ht="18" x14ac:dyDescent="0.45">
      <c r="I1294" s="67"/>
      <c r="L1294" s="71"/>
      <c r="N1294" s="71"/>
    </row>
    <row r="1295" spans="9:14" ht="18" x14ac:dyDescent="0.45">
      <c r="I1295" s="67"/>
      <c r="L1295" s="71"/>
      <c r="N1295" s="71"/>
    </row>
    <row r="1296" spans="9:14" ht="18" x14ac:dyDescent="0.45">
      <c r="I1296" s="67"/>
      <c r="L1296" s="71"/>
      <c r="N1296" s="71"/>
    </row>
    <row r="1297" spans="9:14" ht="18" x14ac:dyDescent="0.45">
      <c r="I1297" s="67"/>
      <c r="L1297" s="71"/>
      <c r="N1297" s="71"/>
    </row>
    <row r="1298" spans="9:14" ht="18" x14ac:dyDescent="0.45">
      <c r="I1298" s="67"/>
      <c r="L1298" s="71"/>
      <c r="N1298" s="71"/>
    </row>
    <row r="1299" spans="9:14" ht="18" x14ac:dyDescent="0.45">
      <c r="I1299" s="67"/>
      <c r="L1299" s="71"/>
      <c r="N1299" s="71"/>
    </row>
    <row r="1300" spans="9:14" ht="18" x14ac:dyDescent="0.45">
      <c r="I1300" s="67"/>
      <c r="L1300" s="71"/>
      <c r="N1300" s="71"/>
    </row>
    <row r="1301" spans="9:14" ht="18" x14ac:dyDescent="0.45">
      <c r="I1301" s="67"/>
      <c r="L1301" s="71"/>
      <c r="N1301" s="71"/>
    </row>
    <row r="1302" spans="9:14" ht="18" x14ac:dyDescent="0.45">
      <c r="I1302" s="67"/>
      <c r="L1302" s="71"/>
      <c r="N1302" s="71"/>
    </row>
    <row r="1303" spans="9:14" ht="18" x14ac:dyDescent="0.45">
      <c r="I1303" s="67"/>
      <c r="L1303" s="71"/>
      <c r="N1303" s="71"/>
    </row>
    <row r="1304" spans="9:14" ht="18" x14ac:dyDescent="0.45">
      <c r="I1304" s="67"/>
      <c r="L1304" s="71"/>
      <c r="N1304" s="71"/>
    </row>
    <row r="1305" spans="9:14" ht="18" x14ac:dyDescent="0.45">
      <c r="I1305" s="67"/>
      <c r="L1305" s="71"/>
      <c r="N1305" s="71"/>
    </row>
    <row r="1306" spans="9:14" ht="18" x14ac:dyDescent="0.45">
      <c r="I1306" s="67"/>
      <c r="L1306" s="71"/>
      <c r="N1306" s="71"/>
    </row>
    <row r="1307" spans="9:14" ht="18" x14ac:dyDescent="0.45">
      <c r="I1307" s="67"/>
      <c r="L1307" s="71"/>
      <c r="N1307" s="71"/>
    </row>
    <row r="1308" spans="9:14" ht="18" x14ac:dyDescent="0.45">
      <c r="I1308" s="67"/>
      <c r="L1308" s="71"/>
      <c r="N1308" s="71"/>
    </row>
    <row r="1309" spans="9:14" ht="18" x14ac:dyDescent="0.45">
      <c r="I1309" s="67"/>
      <c r="L1309" s="71"/>
      <c r="N1309" s="71"/>
    </row>
    <row r="1310" spans="9:14" ht="18" x14ac:dyDescent="0.45">
      <c r="I1310" s="67"/>
      <c r="L1310" s="71"/>
      <c r="N1310" s="71"/>
    </row>
    <row r="1311" spans="9:14" ht="18" x14ac:dyDescent="0.45">
      <c r="I1311" s="67"/>
      <c r="L1311" s="71"/>
      <c r="N1311" s="71"/>
    </row>
    <row r="1312" spans="9:14" ht="18" x14ac:dyDescent="0.45">
      <c r="I1312" s="67"/>
      <c r="L1312" s="71"/>
      <c r="N1312" s="71"/>
    </row>
    <row r="1313" spans="9:14" ht="18" x14ac:dyDescent="0.45">
      <c r="I1313" s="67"/>
      <c r="L1313" s="71"/>
      <c r="N1313" s="71"/>
    </row>
    <row r="1314" spans="9:14" ht="18" x14ac:dyDescent="0.45">
      <c r="I1314" s="67"/>
      <c r="L1314" s="71"/>
      <c r="N1314" s="71"/>
    </row>
    <row r="1315" spans="9:14" ht="18" x14ac:dyDescent="0.45">
      <c r="I1315" s="67"/>
      <c r="L1315" s="71"/>
      <c r="N1315" s="71"/>
    </row>
    <row r="1316" spans="9:14" ht="18" x14ac:dyDescent="0.45">
      <c r="I1316" s="67"/>
      <c r="L1316" s="71"/>
      <c r="N1316" s="71"/>
    </row>
    <row r="1317" spans="9:14" ht="18" x14ac:dyDescent="0.45">
      <c r="I1317" s="67"/>
      <c r="L1317" s="71"/>
      <c r="N1317" s="71"/>
    </row>
    <row r="1318" spans="9:14" ht="18" x14ac:dyDescent="0.45">
      <c r="I1318" s="67"/>
      <c r="L1318" s="71"/>
      <c r="N1318" s="71"/>
    </row>
    <row r="1319" spans="9:14" ht="18" x14ac:dyDescent="0.45">
      <c r="I1319" s="67"/>
      <c r="L1319" s="71"/>
      <c r="N1319" s="71"/>
    </row>
    <row r="1320" spans="9:14" ht="18" x14ac:dyDescent="0.45">
      <c r="I1320" s="67"/>
      <c r="L1320" s="71"/>
      <c r="N1320" s="71"/>
    </row>
    <row r="1321" spans="9:14" ht="18" x14ac:dyDescent="0.45">
      <c r="I1321" s="67"/>
      <c r="L1321" s="71"/>
      <c r="N1321" s="71"/>
    </row>
    <row r="1322" spans="9:14" ht="18" x14ac:dyDescent="0.45">
      <c r="I1322" s="67"/>
      <c r="L1322" s="71"/>
      <c r="N1322" s="71"/>
    </row>
    <row r="1323" spans="9:14" ht="18" x14ac:dyDescent="0.45">
      <c r="I1323" s="67"/>
      <c r="L1323" s="71"/>
      <c r="N1323" s="71"/>
    </row>
    <row r="1324" spans="9:14" ht="18" x14ac:dyDescent="0.45">
      <c r="I1324" s="67"/>
      <c r="L1324" s="71"/>
      <c r="N1324" s="71"/>
    </row>
    <row r="1325" spans="9:14" ht="18" x14ac:dyDescent="0.45">
      <c r="I1325" s="67"/>
      <c r="L1325" s="71"/>
      <c r="N1325" s="71"/>
    </row>
    <row r="1326" spans="9:14" ht="18" x14ac:dyDescent="0.45">
      <c r="I1326" s="67"/>
      <c r="L1326" s="71"/>
      <c r="N1326" s="71"/>
    </row>
    <row r="1327" spans="9:14" ht="18" x14ac:dyDescent="0.45">
      <c r="I1327" s="67"/>
      <c r="L1327" s="71"/>
      <c r="N1327" s="71"/>
    </row>
    <row r="1328" spans="9:14" ht="18" x14ac:dyDescent="0.45">
      <c r="I1328" s="67"/>
      <c r="L1328" s="71"/>
      <c r="N1328" s="71"/>
    </row>
    <row r="1329" spans="9:14" ht="18" x14ac:dyDescent="0.45">
      <c r="I1329" s="67"/>
      <c r="L1329" s="71"/>
      <c r="N1329" s="71"/>
    </row>
    <row r="1330" spans="9:14" ht="18" x14ac:dyDescent="0.45">
      <c r="I1330" s="67"/>
      <c r="L1330" s="71"/>
      <c r="N1330" s="71"/>
    </row>
    <row r="1331" spans="9:14" ht="18" x14ac:dyDescent="0.45">
      <c r="I1331" s="67"/>
      <c r="L1331" s="71"/>
      <c r="N1331" s="71"/>
    </row>
    <row r="1332" spans="9:14" ht="18" x14ac:dyDescent="0.45">
      <c r="I1332" s="67"/>
      <c r="L1332" s="71"/>
      <c r="N1332" s="71"/>
    </row>
    <row r="1333" spans="9:14" ht="18" x14ac:dyDescent="0.45">
      <c r="I1333" s="67"/>
      <c r="L1333" s="71"/>
      <c r="N1333" s="71"/>
    </row>
    <row r="1334" spans="9:14" ht="18" x14ac:dyDescent="0.45">
      <c r="I1334" s="67"/>
      <c r="L1334" s="71"/>
      <c r="N1334" s="71"/>
    </row>
    <row r="1335" spans="9:14" ht="18" x14ac:dyDescent="0.45">
      <c r="I1335" s="67"/>
      <c r="L1335" s="71"/>
      <c r="N1335" s="71"/>
    </row>
    <row r="1336" spans="9:14" ht="18" x14ac:dyDescent="0.45">
      <c r="I1336" s="67"/>
      <c r="L1336" s="71"/>
      <c r="N1336" s="71"/>
    </row>
    <row r="1337" spans="9:14" ht="18" x14ac:dyDescent="0.45">
      <c r="I1337" s="67"/>
      <c r="L1337" s="71"/>
      <c r="N1337" s="71"/>
    </row>
    <row r="1338" spans="9:14" ht="18" x14ac:dyDescent="0.45">
      <c r="I1338" s="67"/>
      <c r="L1338" s="71"/>
      <c r="N1338" s="71"/>
    </row>
    <row r="1339" spans="9:14" ht="18" x14ac:dyDescent="0.45">
      <c r="I1339" s="67"/>
      <c r="L1339" s="71"/>
      <c r="N1339" s="71"/>
    </row>
    <row r="1340" spans="9:14" ht="18" x14ac:dyDescent="0.45">
      <c r="I1340" s="67"/>
      <c r="L1340" s="71"/>
      <c r="N1340" s="71"/>
    </row>
    <row r="1341" spans="9:14" ht="18" x14ac:dyDescent="0.45">
      <c r="I1341" s="67"/>
      <c r="L1341" s="71"/>
      <c r="N1341" s="71"/>
    </row>
    <row r="1342" spans="9:14" ht="18" x14ac:dyDescent="0.45">
      <c r="I1342" s="67"/>
      <c r="L1342" s="71"/>
      <c r="N1342" s="71"/>
    </row>
    <row r="1343" spans="9:14" ht="18" x14ac:dyDescent="0.45">
      <c r="I1343" s="67"/>
      <c r="L1343" s="71"/>
      <c r="N1343" s="71"/>
    </row>
    <row r="1344" spans="9:14" ht="18" x14ac:dyDescent="0.45">
      <c r="I1344" s="67"/>
      <c r="L1344" s="71"/>
      <c r="N1344" s="71"/>
    </row>
    <row r="1345" spans="9:14" ht="18" x14ac:dyDescent="0.45">
      <c r="I1345" s="67"/>
      <c r="L1345" s="71"/>
      <c r="N1345" s="71"/>
    </row>
    <row r="1346" spans="9:14" ht="18" x14ac:dyDescent="0.45">
      <c r="I1346" s="67"/>
      <c r="L1346" s="71"/>
      <c r="N1346" s="71"/>
    </row>
    <row r="1347" spans="9:14" ht="18" x14ac:dyDescent="0.45">
      <c r="I1347" s="67"/>
      <c r="L1347" s="71"/>
      <c r="N1347" s="71"/>
    </row>
    <row r="1348" spans="9:14" ht="18" x14ac:dyDescent="0.45">
      <c r="I1348" s="67"/>
      <c r="L1348" s="71"/>
      <c r="N1348" s="71"/>
    </row>
    <row r="1349" spans="9:14" ht="18" x14ac:dyDescent="0.45">
      <c r="I1349" s="67"/>
      <c r="L1349" s="71"/>
      <c r="N1349" s="71"/>
    </row>
    <row r="1350" spans="9:14" ht="18" x14ac:dyDescent="0.45">
      <c r="I1350" s="67"/>
      <c r="L1350" s="71"/>
      <c r="N1350" s="71"/>
    </row>
    <row r="1351" spans="9:14" ht="18" x14ac:dyDescent="0.45">
      <c r="I1351" s="67"/>
      <c r="L1351" s="71"/>
      <c r="N1351" s="71"/>
    </row>
    <row r="1352" spans="9:14" ht="18" x14ac:dyDescent="0.45">
      <c r="I1352" s="67"/>
      <c r="L1352" s="71"/>
      <c r="N1352" s="71"/>
    </row>
    <row r="1353" spans="9:14" ht="18" x14ac:dyDescent="0.45">
      <c r="I1353" s="67"/>
      <c r="L1353" s="71"/>
      <c r="N1353" s="71"/>
    </row>
    <row r="1354" spans="9:14" ht="18" x14ac:dyDescent="0.45">
      <c r="I1354" s="67"/>
      <c r="L1354" s="71"/>
      <c r="N1354" s="71"/>
    </row>
    <row r="1355" spans="9:14" ht="18" x14ac:dyDescent="0.45">
      <c r="I1355" s="67"/>
      <c r="L1355" s="71"/>
      <c r="N1355" s="71"/>
    </row>
    <row r="1356" spans="9:14" ht="18" x14ac:dyDescent="0.45">
      <c r="I1356" s="67"/>
      <c r="L1356" s="71"/>
      <c r="N1356" s="71"/>
    </row>
    <row r="1357" spans="9:14" ht="18" x14ac:dyDescent="0.45">
      <c r="I1357" s="67"/>
      <c r="L1357" s="71"/>
      <c r="N1357" s="71"/>
    </row>
    <row r="1358" spans="9:14" ht="18" x14ac:dyDescent="0.45">
      <c r="I1358" s="67"/>
      <c r="L1358" s="71"/>
      <c r="N1358" s="71"/>
    </row>
    <row r="1359" spans="9:14" ht="18" x14ac:dyDescent="0.45">
      <c r="I1359" s="67"/>
      <c r="L1359" s="71"/>
      <c r="N1359" s="71"/>
    </row>
    <row r="1360" spans="9:14" ht="18" x14ac:dyDescent="0.45">
      <c r="I1360" s="67"/>
      <c r="L1360" s="71"/>
      <c r="N1360" s="71"/>
    </row>
    <row r="1361" spans="9:14" ht="18" x14ac:dyDescent="0.45">
      <c r="I1361" s="67"/>
      <c r="L1361" s="71"/>
      <c r="N1361" s="71"/>
    </row>
    <row r="1362" spans="9:14" ht="18" x14ac:dyDescent="0.45">
      <c r="I1362" s="67"/>
      <c r="L1362" s="71"/>
      <c r="N1362" s="71"/>
    </row>
    <row r="1363" spans="9:14" ht="18" x14ac:dyDescent="0.45">
      <c r="I1363" s="67"/>
      <c r="L1363" s="71"/>
      <c r="N1363" s="71"/>
    </row>
    <row r="1364" spans="9:14" ht="18" x14ac:dyDescent="0.45">
      <c r="I1364" s="67"/>
      <c r="L1364" s="71"/>
      <c r="N1364" s="71"/>
    </row>
    <row r="1365" spans="9:14" ht="18" x14ac:dyDescent="0.45">
      <c r="I1365" s="67"/>
      <c r="L1365" s="71"/>
      <c r="N1365" s="71"/>
    </row>
    <row r="1366" spans="9:14" ht="18" x14ac:dyDescent="0.45">
      <c r="I1366" s="67"/>
      <c r="L1366" s="71"/>
      <c r="N1366" s="71"/>
    </row>
    <row r="1367" spans="9:14" ht="18" x14ac:dyDescent="0.45">
      <c r="I1367" s="67"/>
      <c r="L1367" s="71"/>
      <c r="N1367" s="71"/>
    </row>
    <row r="1368" spans="9:14" ht="18" x14ac:dyDescent="0.45">
      <c r="I1368" s="67"/>
      <c r="L1368" s="71"/>
      <c r="N1368" s="71"/>
    </row>
    <row r="1369" spans="9:14" ht="18" x14ac:dyDescent="0.45">
      <c r="I1369" s="67"/>
      <c r="L1369" s="71"/>
      <c r="N1369" s="71"/>
    </row>
    <row r="1370" spans="9:14" ht="18" x14ac:dyDescent="0.45">
      <c r="I1370" s="67"/>
      <c r="L1370" s="71"/>
      <c r="N1370" s="71"/>
    </row>
    <row r="1371" spans="9:14" ht="18" x14ac:dyDescent="0.45">
      <c r="I1371" s="67"/>
      <c r="L1371" s="71"/>
      <c r="N1371" s="71"/>
    </row>
    <row r="1372" spans="9:14" ht="18" x14ac:dyDescent="0.45">
      <c r="I1372" s="67"/>
      <c r="L1372" s="71"/>
      <c r="N1372" s="71"/>
    </row>
    <row r="1373" spans="9:14" ht="18" x14ac:dyDescent="0.45">
      <c r="I1373" s="67"/>
      <c r="L1373" s="71"/>
      <c r="N1373" s="71"/>
    </row>
    <row r="1374" spans="9:14" ht="18" x14ac:dyDescent="0.45">
      <c r="I1374" s="67"/>
      <c r="L1374" s="71"/>
      <c r="N1374" s="71"/>
    </row>
    <row r="1375" spans="9:14" ht="18" x14ac:dyDescent="0.45">
      <c r="I1375" s="67"/>
      <c r="L1375" s="71"/>
      <c r="N1375" s="71"/>
    </row>
    <row r="1376" spans="9:14" ht="18" x14ac:dyDescent="0.45">
      <c r="I1376" s="67"/>
      <c r="L1376" s="71"/>
      <c r="N1376" s="71"/>
    </row>
    <row r="1377" spans="9:14" ht="18" x14ac:dyDescent="0.45">
      <c r="I1377" s="67"/>
      <c r="L1377" s="71"/>
      <c r="N1377" s="71"/>
    </row>
    <row r="1378" spans="9:14" ht="18" x14ac:dyDescent="0.45">
      <c r="I1378" s="67"/>
      <c r="L1378" s="71"/>
      <c r="N1378" s="71"/>
    </row>
    <row r="1379" spans="9:14" ht="18" x14ac:dyDescent="0.45">
      <c r="I1379" s="67"/>
      <c r="L1379" s="71"/>
      <c r="N1379" s="71"/>
    </row>
    <row r="1380" spans="9:14" ht="18" x14ac:dyDescent="0.45">
      <c r="I1380" s="67"/>
      <c r="L1380" s="71"/>
      <c r="N1380" s="71"/>
    </row>
    <row r="1381" spans="9:14" ht="18" x14ac:dyDescent="0.45">
      <c r="I1381" s="67"/>
      <c r="L1381" s="71"/>
      <c r="N1381" s="71"/>
    </row>
    <row r="1382" spans="9:14" ht="18" x14ac:dyDescent="0.45">
      <c r="I1382" s="67"/>
      <c r="L1382" s="71"/>
      <c r="N1382" s="71"/>
    </row>
    <row r="1383" spans="9:14" ht="18" x14ac:dyDescent="0.45">
      <c r="I1383" s="67"/>
      <c r="L1383" s="71"/>
      <c r="N1383" s="71"/>
    </row>
    <row r="1384" spans="9:14" ht="18" x14ac:dyDescent="0.45">
      <c r="I1384" s="67"/>
      <c r="L1384" s="71"/>
      <c r="N1384" s="71"/>
    </row>
    <row r="1385" spans="9:14" ht="18" x14ac:dyDescent="0.45">
      <c r="I1385" s="67"/>
      <c r="L1385" s="71"/>
      <c r="N1385" s="71"/>
    </row>
    <row r="1386" spans="9:14" ht="18" x14ac:dyDescent="0.45">
      <c r="I1386" s="67"/>
      <c r="L1386" s="71"/>
      <c r="N1386" s="71"/>
    </row>
    <row r="1387" spans="9:14" ht="18" x14ac:dyDescent="0.45">
      <c r="I1387" s="67"/>
      <c r="L1387" s="71"/>
      <c r="N1387" s="71"/>
    </row>
    <row r="1388" spans="9:14" ht="18" x14ac:dyDescent="0.45">
      <c r="I1388" s="67"/>
      <c r="L1388" s="71"/>
      <c r="N1388" s="71"/>
    </row>
    <row r="1389" spans="9:14" ht="18" x14ac:dyDescent="0.45">
      <c r="I1389" s="67"/>
      <c r="L1389" s="71"/>
      <c r="N1389" s="71"/>
    </row>
    <row r="1390" spans="9:14" ht="18" x14ac:dyDescent="0.45">
      <c r="I1390" s="67"/>
      <c r="L1390" s="71"/>
      <c r="N1390" s="71"/>
    </row>
    <row r="1391" spans="9:14" ht="18" x14ac:dyDescent="0.45">
      <c r="I1391" s="67"/>
      <c r="L1391" s="71"/>
      <c r="N1391" s="71"/>
    </row>
    <row r="1392" spans="9:14" ht="18" x14ac:dyDescent="0.45">
      <c r="I1392" s="67"/>
      <c r="L1392" s="71"/>
      <c r="N1392" s="71"/>
    </row>
    <row r="1393" spans="9:14" ht="18" x14ac:dyDescent="0.45">
      <c r="I1393" s="67"/>
      <c r="L1393" s="71"/>
      <c r="N1393" s="71"/>
    </row>
    <row r="1394" spans="9:14" ht="18" x14ac:dyDescent="0.45">
      <c r="I1394" s="67"/>
      <c r="L1394" s="71"/>
      <c r="N1394" s="71"/>
    </row>
    <row r="1395" spans="9:14" ht="18" x14ac:dyDescent="0.45">
      <c r="I1395" s="67"/>
      <c r="L1395" s="71"/>
      <c r="N1395" s="71"/>
    </row>
    <row r="1396" spans="9:14" ht="18" x14ac:dyDescent="0.45">
      <c r="I1396" s="67"/>
      <c r="L1396" s="71"/>
      <c r="N1396" s="71"/>
    </row>
    <row r="1397" spans="9:14" ht="18" x14ac:dyDescent="0.45">
      <c r="I1397" s="67"/>
      <c r="L1397" s="71"/>
      <c r="N1397" s="71"/>
    </row>
    <row r="1398" spans="9:14" ht="18" x14ac:dyDescent="0.45">
      <c r="I1398" s="67"/>
      <c r="L1398" s="71"/>
      <c r="N1398" s="71"/>
    </row>
    <row r="1399" spans="9:14" ht="18" x14ac:dyDescent="0.45">
      <c r="I1399" s="67"/>
      <c r="L1399" s="71"/>
      <c r="N1399" s="71"/>
    </row>
    <row r="1400" spans="9:14" ht="18" x14ac:dyDescent="0.45">
      <c r="I1400" s="67"/>
      <c r="L1400" s="71"/>
      <c r="N1400" s="71"/>
    </row>
    <row r="1401" spans="9:14" ht="18" x14ac:dyDescent="0.45">
      <c r="I1401" s="67"/>
      <c r="L1401" s="71"/>
      <c r="N1401" s="71"/>
    </row>
    <row r="1402" spans="9:14" ht="18" x14ac:dyDescent="0.45">
      <c r="I1402" s="67"/>
      <c r="L1402" s="71"/>
      <c r="N1402" s="71"/>
    </row>
    <row r="1403" spans="9:14" ht="18" x14ac:dyDescent="0.45">
      <c r="I1403" s="67"/>
      <c r="L1403" s="71"/>
      <c r="N1403" s="71"/>
    </row>
    <row r="1404" spans="9:14" ht="18" x14ac:dyDescent="0.45">
      <c r="I1404" s="67"/>
      <c r="L1404" s="71"/>
      <c r="N1404" s="71"/>
    </row>
    <row r="1405" spans="9:14" ht="18" x14ac:dyDescent="0.45">
      <c r="I1405" s="67"/>
      <c r="L1405" s="71"/>
      <c r="N1405" s="71"/>
    </row>
    <row r="1406" spans="9:14" ht="18" x14ac:dyDescent="0.45">
      <c r="I1406" s="67"/>
      <c r="L1406" s="71"/>
      <c r="N1406" s="71"/>
    </row>
    <row r="1407" spans="9:14" ht="18" x14ac:dyDescent="0.45">
      <c r="I1407" s="67"/>
      <c r="L1407" s="71"/>
      <c r="N1407" s="71"/>
    </row>
    <row r="1408" spans="9:14" ht="18" x14ac:dyDescent="0.45">
      <c r="I1408" s="67"/>
      <c r="L1408" s="71"/>
      <c r="N1408" s="71"/>
    </row>
    <row r="1409" spans="9:14" ht="18" x14ac:dyDescent="0.45">
      <c r="I1409" s="67"/>
      <c r="L1409" s="71"/>
      <c r="N1409" s="71"/>
    </row>
    <row r="1410" spans="9:14" ht="18" x14ac:dyDescent="0.45">
      <c r="I1410" s="67"/>
      <c r="L1410" s="71"/>
      <c r="N1410" s="71"/>
    </row>
    <row r="1411" spans="9:14" ht="18" x14ac:dyDescent="0.45">
      <c r="I1411" s="67"/>
      <c r="L1411" s="71"/>
      <c r="N1411" s="71"/>
    </row>
    <row r="1412" spans="9:14" ht="18" x14ac:dyDescent="0.45">
      <c r="I1412" s="67"/>
      <c r="L1412" s="71"/>
      <c r="N1412" s="71"/>
    </row>
    <row r="1413" spans="9:14" ht="18" x14ac:dyDescent="0.45">
      <c r="I1413" s="67"/>
      <c r="L1413" s="71"/>
      <c r="N1413" s="71"/>
    </row>
    <row r="1414" spans="9:14" ht="18" x14ac:dyDescent="0.45">
      <c r="I1414" s="67"/>
      <c r="L1414" s="71"/>
      <c r="N1414" s="71"/>
    </row>
    <row r="1415" spans="9:14" ht="18" x14ac:dyDescent="0.45">
      <c r="I1415" s="67"/>
      <c r="L1415" s="71"/>
      <c r="N1415" s="71"/>
    </row>
    <row r="1416" spans="9:14" ht="18" x14ac:dyDescent="0.45">
      <c r="I1416" s="67"/>
      <c r="L1416" s="71"/>
      <c r="N1416" s="71"/>
    </row>
    <row r="1417" spans="9:14" ht="18" x14ac:dyDescent="0.45">
      <c r="I1417" s="67"/>
      <c r="L1417" s="71"/>
      <c r="N1417" s="71"/>
    </row>
    <row r="1418" spans="9:14" ht="18" x14ac:dyDescent="0.45">
      <c r="I1418" s="67"/>
      <c r="L1418" s="71"/>
      <c r="N1418" s="71"/>
    </row>
    <row r="1419" spans="9:14" ht="18" x14ac:dyDescent="0.45">
      <c r="I1419" s="67"/>
      <c r="L1419" s="71"/>
      <c r="N1419" s="71"/>
    </row>
    <row r="1420" spans="9:14" ht="18" x14ac:dyDescent="0.45">
      <c r="I1420" s="67"/>
      <c r="L1420" s="71"/>
      <c r="N1420" s="71"/>
    </row>
    <row r="1421" spans="9:14" ht="18" x14ac:dyDescent="0.45">
      <c r="I1421" s="67"/>
      <c r="L1421" s="71"/>
      <c r="N1421" s="71"/>
    </row>
    <row r="1422" spans="9:14" ht="18" x14ac:dyDescent="0.45">
      <c r="I1422" s="67"/>
      <c r="L1422" s="71"/>
      <c r="N1422" s="71"/>
    </row>
    <row r="1423" spans="9:14" ht="18" x14ac:dyDescent="0.45">
      <c r="I1423" s="67"/>
      <c r="L1423" s="71"/>
      <c r="N1423" s="71"/>
    </row>
    <row r="1424" spans="9:14" ht="18" x14ac:dyDescent="0.45">
      <c r="I1424" s="67"/>
      <c r="L1424" s="71"/>
      <c r="N1424" s="71"/>
    </row>
    <row r="1425" spans="9:14" ht="18" x14ac:dyDescent="0.45">
      <c r="I1425" s="67"/>
      <c r="L1425" s="71"/>
      <c r="N1425" s="71"/>
    </row>
    <row r="1426" spans="9:14" ht="18" x14ac:dyDescent="0.45">
      <c r="I1426" s="67"/>
      <c r="L1426" s="71"/>
      <c r="N1426" s="71"/>
    </row>
    <row r="1427" spans="9:14" ht="18" x14ac:dyDescent="0.45">
      <c r="I1427" s="67"/>
      <c r="L1427" s="71"/>
      <c r="N1427" s="71"/>
    </row>
    <row r="1428" spans="9:14" ht="18" x14ac:dyDescent="0.45">
      <c r="I1428" s="67"/>
      <c r="L1428" s="71"/>
      <c r="N1428" s="71"/>
    </row>
    <row r="1429" spans="9:14" ht="18" x14ac:dyDescent="0.45">
      <c r="I1429" s="67"/>
      <c r="L1429" s="71"/>
      <c r="N1429" s="71"/>
    </row>
    <row r="1430" spans="9:14" ht="18" x14ac:dyDescent="0.45">
      <c r="I1430" s="67"/>
      <c r="L1430" s="71"/>
      <c r="N1430" s="71"/>
    </row>
    <row r="1431" spans="9:14" ht="18" x14ac:dyDescent="0.45">
      <c r="I1431" s="67"/>
      <c r="L1431" s="71"/>
      <c r="N1431" s="71"/>
    </row>
    <row r="1432" spans="9:14" ht="18" x14ac:dyDescent="0.45">
      <c r="I1432" s="67"/>
      <c r="L1432" s="71"/>
      <c r="N1432" s="71"/>
    </row>
    <row r="1433" spans="9:14" ht="18" x14ac:dyDescent="0.45">
      <c r="I1433" s="67"/>
      <c r="L1433" s="71"/>
      <c r="N1433" s="71"/>
    </row>
    <row r="1434" spans="9:14" ht="18" x14ac:dyDescent="0.45">
      <c r="I1434" s="67"/>
      <c r="L1434" s="71"/>
      <c r="N1434" s="71"/>
    </row>
    <row r="1435" spans="9:14" ht="18" x14ac:dyDescent="0.45">
      <c r="I1435" s="67"/>
      <c r="L1435" s="71"/>
      <c r="N1435" s="71"/>
    </row>
    <row r="1436" spans="9:14" ht="18" x14ac:dyDescent="0.45">
      <c r="I1436" s="67"/>
      <c r="L1436" s="71"/>
      <c r="N1436" s="71"/>
    </row>
    <row r="1437" spans="9:14" ht="18" x14ac:dyDescent="0.45">
      <c r="I1437" s="67"/>
      <c r="L1437" s="71"/>
      <c r="N1437" s="71"/>
    </row>
    <row r="1438" spans="9:14" ht="18" x14ac:dyDescent="0.45">
      <c r="I1438" s="67"/>
      <c r="L1438" s="71"/>
      <c r="N1438" s="71"/>
    </row>
    <row r="1439" spans="9:14" ht="18" x14ac:dyDescent="0.45">
      <c r="I1439" s="67"/>
      <c r="L1439" s="71"/>
      <c r="N1439" s="71"/>
    </row>
    <row r="1440" spans="9:14" ht="18" x14ac:dyDescent="0.45">
      <c r="I1440" s="67"/>
      <c r="L1440" s="71"/>
      <c r="N1440" s="71"/>
    </row>
    <row r="1441" spans="9:14" ht="18" x14ac:dyDescent="0.45">
      <c r="I1441" s="67"/>
      <c r="L1441" s="71"/>
      <c r="N1441" s="71"/>
    </row>
    <row r="1442" spans="9:14" ht="18" x14ac:dyDescent="0.45">
      <c r="I1442" s="67"/>
      <c r="L1442" s="71"/>
      <c r="N1442" s="71"/>
    </row>
    <row r="1443" spans="9:14" ht="18" x14ac:dyDescent="0.45">
      <c r="I1443" s="67"/>
      <c r="L1443" s="71"/>
      <c r="N1443" s="71"/>
    </row>
    <row r="1444" spans="9:14" ht="18" x14ac:dyDescent="0.45">
      <c r="I1444" s="67"/>
      <c r="L1444" s="71"/>
      <c r="N1444" s="71"/>
    </row>
    <row r="1445" spans="9:14" ht="18" x14ac:dyDescent="0.45">
      <c r="I1445" s="67"/>
      <c r="L1445" s="71"/>
      <c r="N1445" s="71"/>
    </row>
    <row r="1446" spans="9:14" ht="18" x14ac:dyDescent="0.45">
      <c r="I1446" s="67"/>
      <c r="L1446" s="71"/>
      <c r="N1446" s="71"/>
    </row>
    <row r="1447" spans="9:14" ht="18" x14ac:dyDescent="0.45">
      <c r="I1447" s="67"/>
      <c r="L1447" s="71"/>
      <c r="N1447" s="71"/>
    </row>
    <row r="1448" spans="9:14" ht="18" x14ac:dyDescent="0.45">
      <c r="I1448" s="67"/>
      <c r="L1448" s="71"/>
      <c r="N1448" s="71"/>
    </row>
    <row r="1449" spans="9:14" ht="18" x14ac:dyDescent="0.45">
      <c r="I1449" s="67"/>
      <c r="L1449" s="71"/>
      <c r="N1449" s="71"/>
    </row>
    <row r="1450" spans="9:14" ht="18" x14ac:dyDescent="0.45">
      <c r="I1450" s="67"/>
      <c r="L1450" s="71"/>
      <c r="N1450" s="71"/>
    </row>
    <row r="1451" spans="9:14" ht="18" x14ac:dyDescent="0.45">
      <c r="I1451" s="67"/>
      <c r="L1451" s="71"/>
      <c r="N1451" s="71"/>
    </row>
    <row r="1452" spans="9:14" ht="18" x14ac:dyDescent="0.45">
      <c r="I1452" s="67"/>
      <c r="L1452" s="71"/>
      <c r="N1452" s="71"/>
    </row>
    <row r="1453" spans="9:14" ht="18" x14ac:dyDescent="0.45">
      <c r="I1453" s="67"/>
      <c r="L1453" s="71"/>
      <c r="N1453" s="71"/>
    </row>
    <row r="1454" spans="9:14" ht="18" x14ac:dyDescent="0.45">
      <c r="I1454" s="67"/>
      <c r="L1454" s="71"/>
      <c r="N1454" s="71"/>
    </row>
    <row r="1455" spans="9:14" ht="18" x14ac:dyDescent="0.45">
      <c r="I1455" s="67"/>
      <c r="L1455" s="71"/>
      <c r="N1455" s="71"/>
    </row>
    <row r="1456" spans="9:14" ht="18" x14ac:dyDescent="0.45">
      <c r="I1456" s="67"/>
      <c r="L1456" s="71"/>
      <c r="N1456" s="71"/>
    </row>
    <row r="1457" spans="9:14" ht="18" x14ac:dyDescent="0.45">
      <c r="I1457" s="67"/>
      <c r="L1457" s="71"/>
      <c r="N1457" s="71"/>
    </row>
    <row r="1458" spans="9:14" ht="18" x14ac:dyDescent="0.45">
      <c r="I1458" s="67"/>
      <c r="L1458" s="71"/>
      <c r="N1458" s="71"/>
    </row>
    <row r="1459" spans="9:14" ht="18" x14ac:dyDescent="0.45">
      <c r="I1459" s="67"/>
      <c r="L1459" s="71"/>
      <c r="N1459" s="71"/>
    </row>
    <row r="1460" spans="9:14" ht="18" x14ac:dyDescent="0.45">
      <c r="I1460" s="67"/>
      <c r="L1460" s="71"/>
      <c r="N1460" s="71"/>
    </row>
    <row r="1461" spans="9:14" ht="18" x14ac:dyDescent="0.45">
      <c r="I1461" s="67"/>
      <c r="L1461" s="71"/>
      <c r="N1461" s="71"/>
    </row>
    <row r="1462" spans="9:14" ht="18" x14ac:dyDescent="0.45">
      <c r="I1462" s="67"/>
      <c r="L1462" s="71"/>
      <c r="N1462" s="71"/>
    </row>
    <row r="1463" spans="9:14" ht="18" x14ac:dyDescent="0.45">
      <c r="I1463" s="67"/>
      <c r="L1463" s="71"/>
      <c r="N1463" s="71"/>
    </row>
    <row r="1464" spans="9:14" ht="18" x14ac:dyDescent="0.45">
      <c r="I1464" s="67"/>
      <c r="L1464" s="71"/>
      <c r="N1464" s="71"/>
    </row>
    <row r="1465" spans="9:14" ht="18" x14ac:dyDescent="0.45">
      <c r="I1465" s="67"/>
      <c r="L1465" s="71"/>
      <c r="N1465" s="71"/>
    </row>
    <row r="1466" spans="9:14" ht="18" x14ac:dyDescent="0.45">
      <c r="I1466" s="67"/>
      <c r="L1466" s="71"/>
      <c r="N1466" s="71"/>
    </row>
    <row r="1467" spans="9:14" ht="18" x14ac:dyDescent="0.45">
      <c r="I1467" s="67"/>
      <c r="L1467" s="71"/>
      <c r="N1467" s="71"/>
    </row>
    <row r="1468" spans="9:14" ht="18" x14ac:dyDescent="0.45">
      <c r="I1468" s="67"/>
      <c r="L1468" s="71"/>
      <c r="N1468" s="71"/>
    </row>
    <row r="1469" spans="9:14" ht="18" x14ac:dyDescent="0.45">
      <c r="I1469" s="67"/>
      <c r="L1469" s="71"/>
      <c r="N1469" s="71"/>
    </row>
    <row r="1470" spans="9:14" ht="18" x14ac:dyDescent="0.45">
      <c r="I1470" s="67"/>
      <c r="L1470" s="71"/>
      <c r="N1470" s="71"/>
    </row>
    <row r="1471" spans="9:14" ht="18" x14ac:dyDescent="0.45">
      <c r="I1471" s="67"/>
      <c r="L1471" s="71"/>
      <c r="N1471" s="71"/>
    </row>
    <row r="1472" spans="9:14" ht="18" x14ac:dyDescent="0.45">
      <c r="I1472" s="67"/>
      <c r="L1472" s="71"/>
      <c r="N1472" s="71"/>
    </row>
    <row r="1473" spans="9:14" ht="18" x14ac:dyDescent="0.45">
      <c r="I1473" s="67"/>
      <c r="L1473" s="71"/>
      <c r="N1473" s="71"/>
    </row>
    <row r="1474" spans="9:14" ht="18" x14ac:dyDescent="0.45">
      <c r="I1474" s="67"/>
      <c r="L1474" s="71"/>
      <c r="N1474" s="71"/>
    </row>
    <row r="1475" spans="9:14" ht="18" x14ac:dyDescent="0.45">
      <c r="I1475" s="67"/>
      <c r="L1475" s="71"/>
      <c r="N1475" s="71"/>
    </row>
    <row r="1476" spans="9:14" ht="18" x14ac:dyDescent="0.45">
      <c r="I1476" s="67"/>
      <c r="L1476" s="71"/>
      <c r="N1476" s="71"/>
    </row>
    <row r="1477" spans="9:14" ht="18" x14ac:dyDescent="0.45">
      <c r="I1477" s="67"/>
      <c r="L1477" s="71"/>
      <c r="N1477" s="71"/>
    </row>
    <row r="1478" spans="9:14" ht="18" x14ac:dyDescent="0.45">
      <c r="I1478" s="67"/>
      <c r="L1478" s="71"/>
      <c r="N1478" s="71"/>
    </row>
    <row r="1479" spans="9:14" ht="18" x14ac:dyDescent="0.45">
      <c r="I1479" s="67"/>
      <c r="L1479" s="71"/>
      <c r="N1479" s="71"/>
    </row>
    <row r="1480" spans="9:14" ht="18" x14ac:dyDescent="0.45">
      <c r="I1480" s="67"/>
      <c r="L1480" s="71"/>
      <c r="N1480" s="71"/>
    </row>
    <row r="1481" spans="9:14" ht="18" x14ac:dyDescent="0.45">
      <c r="I1481" s="67"/>
      <c r="L1481" s="71"/>
      <c r="N1481" s="71"/>
    </row>
    <row r="1482" spans="9:14" ht="18" x14ac:dyDescent="0.45">
      <c r="I1482" s="67"/>
      <c r="L1482" s="71"/>
      <c r="N1482" s="71"/>
    </row>
    <row r="1483" spans="9:14" ht="18" x14ac:dyDescent="0.45">
      <c r="I1483" s="67"/>
      <c r="L1483" s="71"/>
      <c r="N1483" s="71"/>
    </row>
    <row r="1484" spans="9:14" ht="18" x14ac:dyDescent="0.45">
      <c r="I1484" s="67"/>
      <c r="L1484" s="71"/>
      <c r="N1484" s="71"/>
    </row>
    <row r="1485" spans="9:14" ht="18" x14ac:dyDescent="0.45">
      <c r="I1485" s="67"/>
      <c r="L1485" s="71"/>
      <c r="N1485" s="71"/>
    </row>
    <row r="1486" spans="9:14" ht="18" x14ac:dyDescent="0.45">
      <c r="I1486" s="67"/>
      <c r="L1486" s="71"/>
      <c r="N1486" s="71"/>
    </row>
    <row r="1487" spans="9:14" ht="18" x14ac:dyDescent="0.45">
      <c r="I1487" s="67"/>
      <c r="L1487" s="71"/>
      <c r="N1487" s="71"/>
    </row>
    <row r="1488" spans="9:14" ht="18" x14ac:dyDescent="0.45">
      <c r="I1488" s="67"/>
      <c r="L1488" s="71"/>
      <c r="N1488" s="71"/>
    </row>
    <row r="1489" spans="9:14" ht="18" x14ac:dyDescent="0.45">
      <c r="I1489" s="67"/>
      <c r="L1489" s="71"/>
      <c r="N1489" s="71"/>
    </row>
    <row r="1490" spans="9:14" ht="18" x14ac:dyDescent="0.45">
      <c r="I1490" s="67"/>
      <c r="L1490" s="71"/>
      <c r="N1490" s="71"/>
    </row>
    <row r="1491" spans="9:14" ht="18" x14ac:dyDescent="0.45">
      <c r="I1491" s="67"/>
      <c r="L1491" s="71"/>
      <c r="N1491" s="71"/>
    </row>
    <row r="1492" spans="9:14" ht="18" x14ac:dyDescent="0.45">
      <c r="I1492" s="67"/>
      <c r="L1492" s="71"/>
      <c r="N1492" s="71"/>
    </row>
    <row r="1493" spans="9:14" ht="18" x14ac:dyDescent="0.45">
      <c r="I1493" s="67"/>
      <c r="L1493" s="71"/>
      <c r="N1493" s="71"/>
    </row>
    <row r="1494" spans="9:14" ht="18" x14ac:dyDescent="0.45">
      <c r="I1494" s="67"/>
      <c r="L1494" s="71"/>
      <c r="N1494" s="71"/>
    </row>
    <row r="1495" spans="9:14" ht="18" x14ac:dyDescent="0.45">
      <c r="I1495" s="67"/>
      <c r="L1495" s="71"/>
      <c r="N1495" s="71"/>
    </row>
    <row r="1496" spans="9:14" ht="18" x14ac:dyDescent="0.45">
      <c r="I1496" s="67"/>
      <c r="L1496" s="71"/>
      <c r="N1496" s="71"/>
    </row>
    <row r="1497" spans="9:14" ht="18" x14ac:dyDescent="0.45">
      <c r="I1497" s="67"/>
      <c r="L1497" s="71"/>
      <c r="N1497" s="71"/>
    </row>
    <row r="1498" spans="9:14" ht="18" x14ac:dyDescent="0.45">
      <c r="I1498" s="67"/>
      <c r="L1498" s="71"/>
      <c r="N1498" s="71"/>
    </row>
    <row r="1499" spans="9:14" ht="18" x14ac:dyDescent="0.45">
      <c r="I1499" s="67"/>
      <c r="L1499" s="71"/>
      <c r="N1499" s="71"/>
    </row>
    <row r="1500" spans="9:14" ht="18" x14ac:dyDescent="0.45">
      <c r="I1500" s="67"/>
      <c r="L1500" s="71"/>
      <c r="N1500" s="71"/>
    </row>
    <row r="1501" spans="9:14" ht="18" x14ac:dyDescent="0.45">
      <c r="I1501" s="67"/>
      <c r="L1501" s="71"/>
      <c r="N1501" s="71"/>
    </row>
    <row r="1502" spans="9:14" ht="18" x14ac:dyDescent="0.45">
      <c r="I1502" s="67"/>
      <c r="L1502" s="71"/>
      <c r="N1502" s="71"/>
    </row>
    <row r="1503" spans="9:14" ht="18" x14ac:dyDescent="0.45">
      <c r="I1503" s="67"/>
      <c r="L1503" s="71"/>
      <c r="N1503" s="71"/>
    </row>
    <row r="1504" spans="9:14" ht="18" x14ac:dyDescent="0.45">
      <c r="I1504" s="67"/>
      <c r="L1504" s="71"/>
      <c r="N1504" s="71"/>
    </row>
    <row r="1505" spans="9:14" ht="18" x14ac:dyDescent="0.45">
      <c r="I1505" s="67"/>
      <c r="L1505" s="71"/>
      <c r="N1505" s="71"/>
    </row>
    <row r="1506" spans="9:14" ht="18" x14ac:dyDescent="0.45">
      <c r="I1506" s="67"/>
      <c r="L1506" s="71"/>
      <c r="N1506" s="71"/>
    </row>
    <row r="1507" spans="9:14" ht="18" x14ac:dyDescent="0.45">
      <c r="I1507" s="67"/>
      <c r="L1507" s="71"/>
      <c r="N1507" s="71"/>
    </row>
    <row r="1508" spans="9:14" ht="18" x14ac:dyDescent="0.45">
      <c r="I1508" s="67"/>
      <c r="L1508" s="71"/>
      <c r="N1508" s="71"/>
    </row>
    <row r="1509" spans="9:14" ht="18" x14ac:dyDescent="0.45">
      <c r="I1509" s="67"/>
      <c r="L1509" s="71"/>
      <c r="N1509" s="71"/>
    </row>
    <row r="1510" spans="9:14" ht="18" x14ac:dyDescent="0.45">
      <c r="I1510" s="67"/>
      <c r="L1510" s="71"/>
      <c r="N1510" s="71"/>
    </row>
    <row r="1511" spans="9:14" ht="18" x14ac:dyDescent="0.45">
      <c r="I1511" s="67"/>
      <c r="L1511" s="71"/>
      <c r="N1511" s="71"/>
    </row>
    <row r="1512" spans="9:14" ht="18" x14ac:dyDescent="0.45">
      <c r="I1512" s="67"/>
      <c r="L1512" s="71"/>
      <c r="N1512" s="71"/>
    </row>
    <row r="1513" spans="9:14" ht="18" x14ac:dyDescent="0.45">
      <c r="I1513" s="67"/>
      <c r="L1513" s="71"/>
      <c r="N1513" s="71"/>
    </row>
    <row r="1514" spans="9:14" ht="18" x14ac:dyDescent="0.45">
      <c r="I1514" s="67"/>
      <c r="L1514" s="71"/>
      <c r="N1514" s="71"/>
    </row>
    <row r="1515" spans="9:14" ht="18" x14ac:dyDescent="0.45">
      <c r="I1515" s="67"/>
      <c r="L1515" s="71"/>
      <c r="N1515" s="71"/>
    </row>
    <row r="1516" spans="9:14" ht="18" x14ac:dyDescent="0.45">
      <c r="I1516" s="67"/>
      <c r="L1516" s="71"/>
      <c r="N1516" s="71"/>
    </row>
    <row r="1517" spans="9:14" ht="18" x14ac:dyDescent="0.45">
      <c r="I1517" s="67"/>
      <c r="L1517" s="71"/>
      <c r="N1517" s="71"/>
    </row>
    <row r="1518" spans="9:14" ht="18" x14ac:dyDescent="0.45">
      <c r="I1518" s="67"/>
      <c r="L1518" s="71"/>
      <c r="N1518" s="71"/>
    </row>
    <row r="1519" spans="9:14" ht="18" x14ac:dyDescent="0.45">
      <c r="I1519" s="67"/>
      <c r="L1519" s="71"/>
      <c r="N1519" s="71"/>
    </row>
    <row r="1520" spans="9:14" ht="18" x14ac:dyDescent="0.45">
      <c r="I1520" s="67"/>
      <c r="L1520" s="71"/>
      <c r="N1520" s="71"/>
    </row>
    <row r="1521" spans="9:14" ht="18" x14ac:dyDescent="0.45">
      <c r="I1521" s="67"/>
      <c r="L1521" s="71"/>
      <c r="N1521" s="71"/>
    </row>
    <row r="1522" spans="9:14" ht="18" x14ac:dyDescent="0.45">
      <c r="I1522" s="67"/>
      <c r="L1522" s="71"/>
      <c r="N1522" s="71"/>
    </row>
    <row r="1523" spans="9:14" ht="18" x14ac:dyDescent="0.45">
      <c r="I1523" s="67"/>
      <c r="L1523" s="71"/>
      <c r="N1523" s="71"/>
    </row>
    <row r="1524" spans="9:14" ht="18" x14ac:dyDescent="0.45">
      <c r="I1524" s="67"/>
      <c r="L1524" s="71"/>
      <c r="N1524" s="71"/>
    </row>
    <row r="1525" spans="9:14" ht="18" x14ac:dyDescent="0.45">
      <c r="I1525" s="67"/>
      <c r="L1525" s="71"/>
      <c r="N1525" s="71"/>
    </row>
    <row r="1526" spans="9:14" ht="18" x14ac:dyDescent="0.45">
      <c r="I1526" s="67"/>
      <c r="L1526" s="71"/>
      <c r="N1526" s="71"/>
    </row>
    <row r="1527" spans="9:14" ht="18" x14ac:dyDescent="0.45">
      <c r="I1527" s="67"/>
      <c r="L1527" s="71"/>
      <c r="N1527" s="71"/>
    </row>
    <row r="1528" spans="9:14" ht="18" x14ac:dyDescent="0.45">
      <c r="I1528" s="67"/>
      <c r="L1528" s="71"/>
      <c r="N1528" s="71"/>
    </row>
    <row r="1529" spans="9:14" ht="18" x14ac:dyDescent="0.45">
      <c r="I1529" s="67"/>
      <c r="L1529" s="71"/>
      <c r="N1529" s="71"/>
    </row>
    <row r="1530" spans="9:14" ht="18" x14ac:dyDescent="0.45">
      <c r="I1530" s="67"/>
      <c r="L1530" s="71"/>
      <c r="N1530" s="71"/>
    </row>
    <row r="1531" spans="9:14" ht="18" x14ac:dyDescent="0.45">
      <c r="I1531" s="67"/>
      <c r="L1531" s="71"/>
      <c r="N1531" s="71"/>
    </row>
    <row r="1532" spans="9:14" ht="18" x14ac:dyDescent="0.45">
      <c r="I1532" s="67"/>
      <c r="L1532" s="71"/>
      <c r="N1532" s="71"/>
    </row>
    <row r="1533" spans="9:14" ht="18" x14ac:dyDescent="0.45">
      <c r="I1533" s="67"/>
      <c r="L1533" s="71"/>
      <c r="N1533" s="71"/>
    </row>
    <row r="1534" spans="9:14" ht="18" x14ac:dyDescent="0.45">
      <c r="I1534" s="67"/>
      <c r="L1534" s="71"/>
      <c r="N1534" s="71"/>
    </row>
    <row r="1535" spans="9:14" ht="18" x14ac:dyDescent="0.45">
      <c r="I1535" s="67"/>
      <c r="L1535" s="71"/>
      <c r="N1535" s="71"/>
    </row>
    <row r="1536" spans="9:14" ht="18" x14ac:dyDescent="0.45">
      <c r="I1536" s="67"/>
      <c r="L1536" s="71"/>
      <c r="N1536" s="71"/>
    </row>
    <row r="1537" spans="9:14" ht="18" x14ac:dyDescent="0.45">
      <c r="I1537" s="67"/>
      <c r="L1537" s="71"/>
      <c r="N1537" s="71"/>
    </row>
    <row r="1538" spans="9:14" ht="18" x14ac:dyDescent="0.45">
      <c r="I1538" s="67"/>
      <c r="L1538" s="71"/>
      <c r="N1538" s="71"/>
    </row>
    <row r="1539" spans="9:14" ht="18" x14ac:dyDescent="0.45">
      <c r="I1539" s="67"/>
      <c r="L1539" s="71"/>
      <c r="N1539" s="71"/>
    </row>
    <row r="1540" spans="9:14" ht="18" x14ac:dyDescent="0.45">
      <c r="I1540" s="67"/>
      <c r="L1540" s="71"/>
      <c r="N1540" s="71"/>
    </row>
    <row r="1541" spans="9:14" ht="18" x14ac:dyDescent="0.45">
      <c r="I1541" s="67"/>
      <c r="L1541" s="71"/>
      <c r="N1541" s="71"/>
    </row>
    <row r="1542" spans="9:14" ht="18" x14ac:dyDescent="0.45">
      <c r="I1542" s="67"/>
      <c r="L1542" s="71"/>
      <c r="N1542" s="71"/>
    </row>
    <row r="1543" spans="9:14" ht="18" x14ac:dyDescent="0.45">
      <c r="I1543" s="67"/>
      <c r="L1543" s="71"/>
      <c r="N1543" s="71"/>
    </row>
    <row r="1544" spans="9:14" ht="18" x14ac:dyDescent="0.45">
      <c r="I1544" s="67"/>
      <c r="L1544" s="71"/>
      <c r="N1544" s="71"/>
    </row>
    <row r="1545" spans="9:14" ht="18" x14ac:dyDescent="0.45">
      <c r="I1545" s="67"/>
      <c r="L1545" s="71"/>
      <c r="N1545" s="71"/>
    </row>
    <row r="1546" spans="9:14" ht="18" x14ac:dyDescent="0.45">
      <c r="I1546" s="67"/>
      <c r="L1546" s="71"/>
      <c r="N1546" s="71"/>
    </row>
    <row r="1547" spans="9:14" ht="18" x14ac:dyDescent="0.45">
      <c r="I1547" s="67"/>
      <c r="L1547" s="71"/>
      <c r="N1547" s="71"/>
    </row>
    <row r="1548" spans="9:14" ht="18" x14ac:dyDescent="0.45">
      <c r="I1548" s="67"/>
      <c r="L1548" s="71"/>
      <c r="N1548" s="71"/>
    </row>
    <row r="1549" spans="9:14" ht="18" x14ac:dyDescent="0.45">
      <c r="I1549" s="67"/>
      <c r="L1549" s="71"/>
      <c r="N1549" s="71"/>
    </row>
    <row r="1550" spans="9:14" ht="18" x14ac:dyDescent="0.45">
      <c r="I1550" s="67"/>
      <c r="L1550" s="71"/>
      <c r="N1550" s="71"/>
    </row>
    <row r="1551" spans="9:14" ht="18" x14ac:dyDescent="0.45">
      <c r="I1551" s="67"/>
      <c r="L1551" s="71"/>
      <c r="N1551" s="71"/>
    </row>
    <row r="1552" spans="9:14" ht="18" x14ac:dyDescent="0.45">
      <c r="I1552" s="67"/>
      <c r="L1552" s="71"/>
      <c r="N1552" s="71"/>
    </row>
    <row r="1553" spans="9:14" ht="18" x14ac:dyDescent="0.45">
      <c r="I1553" s="67"/>
      <c r="L1553" s="71"/>
      <c r="N1553" s="71"/>
    </row>
    <row r="1554" spans="9:14" ht="18" x14ac:dyDescent="0.45">
      <c r="I1554" s="67"/>
      <c r="L1554" s="71"/>
      <c r="N1554" s="71"/>
    </row>
    <row r="1555" spans="9:14" ht="18" x14ac:dyDescent="0.45">
      <c r="I1555" s="67"/>
      <c r="L1555" s="71"/>
      <c r="N1555" s="71"/>
    </row>
    <row r="1556" spans="9:14" ht="18" x14ac:dyDescent="0.45">
      <c r="I1556" s="67"/>
      <c r="L1556" s="71"/>
      <c r="N1556" s="71"/>
    </row>
    <row r="1557" spans="9:14" ht="18" x14ac:dyDescent="0.45">
      <c r="I1557" s="67"/>
      <c r="L1557" s="71"/>
      <c r="N1557" s="71"/>
    </row>
    <row r="1558" spans="9:14" ht="18" x14ac:dyDescent="0.45">
      <c r="I1558" s="67"/>
      <c r="L1558" s="71"/>
      <c r="N1558" s="71"/>
    </row>
    <row r="1559" spans="9:14" ht="18" x14ac:dyDescent="0.45">
      <c r="I1559" s="67"/>
      <c r="L1559" s="71"/>
      <c r="N1559" s="71"/>
    </row>
    <row r="1560" spans="9:14" ht="18" x14ac:dyDescent="0.45">
      <c r="I1560" s="67"/>
      <c r="L1560" s="71"/>
      <c r="N1560" s="71"/>
    </row>
    <row r="1561" spans="9:14" ht="18" x14ac:dyDescent="0.45">
      <c r="I1561" s="67"/>
      <c r="L1561" s="71"/>
      <c r="N1561" s="71"/>
    </row>
    <row r="1562" spans="9:14" ht="18" x14ac:dyDescent="0.45">
      <c r="I1562" s="67"/>
      <c r="L1562" s="71"/>
      <c r="N1562" s="71"/>
    </row>
    <row r="1563" spans="9:14" ht="18" x14ac:dyDescent="0.45">
      <c r="I1563" s="67"/>
      <c r="L1563" s="71"/>
      <c r="N1563" s="71"/>
    </row>
    <row r="1564" spans="9:14" ht="18" x14ac:dyDescent="0.45">
      <c r="I1564" s="67"/>
      <c r="L1564" s="71"/>
      <c r="N1564" s="71"/>
    </row>
    <row r="1565" spans="9:14" ht="18" x14ac:dyDescent="0.45">
      <c r="I1565" s="67"/>
      <c r="L1565" s="71"/>
      <c r="N1565" s="71"/>
    </row>
    <row r="1566" spans="9:14" ht="18" x14ac:dyDescent="0.45">
      <c r="I1566" s="67"/>
      <c r="L1566" s="71"/>
      <c r="N1566" s="71"/>
    </row>
    <row r="1567" spans="9:14" ht="18" x14ac:dyDescent="0.45">
      <c r="I1567" s="67"/>
      <c r="L1567" s="71"/>
      <c r="N1567" s="71"/>
    </row>
    <row r="1568" spans="9:14" ht="18" x14ac:dyDescent="0.45">
      <c r="I1568" s="67"/>
      <c r="L1568" s="71"/>
      <c r="N1568" s="71"/>
    </row>
    <row r="1569" spans="9:14" ht="18" x14ac:dyDescent="0.45">
      <c r="I1569" s="67"/>
      <c r="L1569" s="71"/>
      <c r="N1569" s="71"/>
    </row>
    <row r="1570" spans="9:14" ht="18" x14ac:dyDescent="0.45">
      <c r="I1570" s="67"/>
      <c r="L1570" s="71"/>
      <c r="N1570" s="71"/>
    </row>
    <row r="1571" spans="9:14" ht="18" x14ac:dyDescent="0.45">
      <c r="I1571" s="67"/>
      <c r="L1571" s="71"/>
      <c r="N1571" s="71"/>
    </row>
    <row r="1572" spans="9:14" ht="18" x14ac:dyDescent="0.45">
      <c r="I1572" s="67"/>
      <c r="L1572" s="71"/>
      <c r="N1572" s="71"/>
    </row>
    <row r="1573" spans="9:14" ht="18" x14ac:dyDescent="0.45">
      <c r="I1573" s="67"/>
      <c r="L1573" s="71"/>
      <c r="N1573" s="71"/>
    </row>
    <row r="1574" spans="9:14" ht="18" x14ac:dyDescent="0.45">
      <c r="I1574" s="67"/>
      <c r="L1574" s="71"/>
      <c r="N1574" s="71"/>
    </row>
    <row r="1575" spans="9:14" ht="18" x14ac:dyDescent="0.45">
      <c r="I1575" s="67"/>
      <c r="L1575" s="71"/>
      <c r="N1575" s="71"/>
    </row>
    <row r="1576" spans="9:14" ht="18" x14ac:dyDescent="0.45">
      <c r="I1576" s="67"/>
      <c r="L1576" s="71"/>
      <c r="N1576" s="71"/>
    </row>
    <row r="1577" spans="9:14" ht="18" x14ac:dyDescent="0.45">
      <c r="I1577" s="67"/>
      <c r="L1577" s="71"/>
      <c r="N1577" s="71"/>
    </row>
    <row r="1578" spans="9:14" ht="18" x14ac:dyDescent="0.45">
      <c r="I1578" s="67"/>
      <c r="L1578" s="71"/>
      <c r="N1578" s="71"/>
    </row>
    <row r="1579" spans="9:14" ht="18" x14ac:dyDescent="0.45">
      <c r="I1579" s="67"/>
      <c r="L1579" s="71"/>
      <c r="N1579" s="71"/>
    </row>
    <row r="1580" spans="9:14" ht="18" x14ac:dyDescent="0.45">
      <c r="I1580" s="67"/>
      <c r="L1580" s="71"/>
      <c r="N1580" s="71"/>
    </row>
    <row r="1581" spans="9:14" ht="18" x14ac:dyDescent="0.45">
      <c r="I1581" s="67"/>
      <c r="L1581" s="71"/>
      <c r="N1581" s="71"/>
    </row>
    <row r="1582" spans="9:14" ht="18" x14ac:dyDescent="0.45">
      <c r="I1582" s="67"/>
      <c r="L1582" s="71"/>
      <c r="N1582" s="71"/>
    </row>
    <row r="1583" spans="9:14" ht="18" x14ac:dyDescent="0.45">
      <c r="I1583" s="67"/>
      <c r="L1583" s="71"/>
      <c r="N1583" s="71"/>
    </row>
    <row r="1584" spans="9:14" ht="18" x14ac:dyDescent="0.45">
      <c r="I1584" s="67"/>
      <c r="L1584" s="71"/>
      <c r="N1584" s="71"/>
    </row>
    <row r="1585" spans="9:14" ht="18" x14ac:dyDescent="0.45">
      <c r="I1585" s="67"/>
      <c r="L1585" s="71"/>
      <c r="N1585" s="71"/>
    </row>
    <row r="1586" spans="9:14" ht="18" x14ac:dyDescent="0.45">
      <c r="I1586" s="67"/>
      <c r="L1586" s="71"/>
      <c r="N1586" s="71"/>
    </row>
    <row r="1587" spans="9:14" ht="18" x14ac:dyDescent="0.45">
      <c r="I1587" s="67"/>
      <c r="L1587" s="71"/>
    </row>
    <row r="1588" spans="9:14" ht="18" x14ac:dyDescent="0.45">
      <c r="I1588" s="67"/>
      <c r="L1588" s="71"/>
    </row>
    <row r="1589" spans="9:14" ht="18" x14ac:dyDescent="0.45">
      <c r="I1589" s="67"/>
      <c r="L1589" s="71"/>
    </row>
    <row r="1590" spans="9:14" ht="18" x14ac:dyDescent="0.45">
      <c r="I1590" s="67"/>
      <c r="L1590" s="71"/>
    </row>
    <row r="1591" spans="9:14" ht="18" x14ac:dyDescent="0.45">
      <c r="I1591" s="67"/>
      <c r="L1591" s="71"/>
    </row>
    <row r="1592" spans="9:14" ht="18" x14ac:dyDescent="0.45">
      <c r="I1592" s="67"/>
      <c r="L1592" s="71"/>
    </row>
    <row r="1593" spans="9:14" ht="18" x14ac:dyDescent="0.45">
      <c r="I1593" s="67"/>
      <c r="L1593" s="71"/>
    </row>
    <row r="1594" spans="9:14" ht="18" x14ac:dyDescent="0.45">
      <c r="I1594" s="67"/>
      <c r="L1594" s="71"/>
    </row>
    <row r="1595" spans="9:14" ht="18" x14ac:dyDescent="0.45">
      <c r="I1595" s="67"/>
      <c r="L1595" s="71"/>
    </row>
    <row r="1596" spans="9:14" ht="18" x14ac:dyDescent="0.45">
      <c r="I1596" s="67"/>
      <c r="L1596" s="71"/>
    </row>
    <row r="1597" spans="9:14" ht="18" x14ac:dyDescent="0.45">
      <c r="I1597" s="67"/>
      <c r="L1597" s="71"/>
    </row>
    <row r="1598" spans="9:14" ht="18" x14ac:dyDescent="0.45">
      <c r="I1598" s="67"/>
      <c r="L1598" s="71"/>
    </row>
    <row r="1599" spans="9:14" ht="18" x14ac:dyDescent="0.45">
      <c r="I1599" s="67"/>
      <c r="L1599" s="71"/>
    </row>
    <row r="1600" spans="9:14" ht="18" x14ac:dyDescent="0.45">
      <c r="I1600" s="67"/>
      <c r="L1600" s="71"/>
    </row>
    <row r="1601" spans="9:12" ht="18" x14ac:dyDescent="0.45">
      <c r="I1601" s="67"/>
      <c r="L1601" s="71"/>
    </row>
    <row r="1602" spans="9:12" ht="18" x14ac:dyDescent="0.45">
      <c r="I1602" s="67"/>
      <c r="L1602" s="71"/>
    </row>
    <row r="1603" spans="9:12" ht="18" x14ac:dyDescent="0.45">
      <c r="I1603" s="67"/>
      <c r="L1603" s="71"/>
    </row>
    <row r="1604" spans="9:12" ht="18" x14ac:dyDescent="0.45">
      <c r="I1604" s="67"/>
      <c r="L1604" s="71"/>
    </row>
    <row r="1605" spans="9:12" ht="18" x14ac:dyDescent="0.45">
      <c r="I1605" s="67"/>
      <c r="L1605" s="71"/>
    </row>
    <row r="1606" spans="9:12" ht="18" x14ac:dyDescent="0.45">
      <c r="I1606" s="67"/>
      <c r="L1606" s="71"/>
    </row>
    <row r="1607" spans="9:12" ht="18" x14ac:dyDescent="0.45">
      <c r="I1607" s="67"/>
      <c r="L1607" s="71"/>
    </row>
    <row r="1608" spans="9:12" ht="18" x14ac:dyDescent="0.45">
      <c r="I1608" s="67"/>
      <c r="L1608" s="71"/>
    </row>
    <row r="1609" spans="9:12" ht="18" x14ac:dyDescent="0.45">
      <c r="I1609" s="67"/>
      <c r="L1609" s="71"/>
    </row>
    <row r="1610" spans="9:12" ht="18" x14ac:dyDescent="0.45">
      <c r="I1610" s="67"/>
      <c r="L1610" s="71"/>
    </row>
    <row r="1611" spans="9:12" ht="18" x14ac:dyDescent="0.45">
      <c r="I1611" s="67"/>
      <c r="L1611" s="71"/>
    </row>
    <row r="1612" spans="9:12" ht="18" x14ac:dyDescent="0.45">
      <c r="I1612" s="67"/>
      <c r="L1612" s="71"/>
    </row>
    <row r="1613" spans="9:12" ht="18" x14ac:dyDescent="0.45">
      <c r="I1613" s="67"/>
      <c r="L1613" s="71"/>
    </row>
    <row r="1614" spans="9:12" ht="18" x14ac:dyDescent="0.45">
      <c r="I1614" s="67"/>
      <c r="L1614" s="71"/>
    </row>
    <row r="1615" spans="9:12" ht="18" x14ac:dyDescent="0.45">
      <c r="I1615" s="67"/>
      <c r="L1615" s="71"/>
    </row>
    <row r="1616" spans="9:12" ht="18" x14ac:dyDescent="0.45">
      <c r="I1616" s="67"/>
      <c r="L1616" s="71"/>
    </row>
    <row r="1617" spans="9:12" ht="18" x14ac:dyDescent="0.45">
      <c r="I1617" s="67"/>
      <c r="L1617" s="71"/>
    </row>
    <row r="1618" spans="9:12" ht="18" x14ac:dyDescent="0.45">
      <c r="I1618" s="67"/>
      <c r="L1618" s="71"/>
    </row>
    <row r="1619" spans="9:12" ht="18" x14ac:dyDescent="0.45">
      <c r="I1619" s="67"/>
      <c r="L1619" s="71"/>
    </row>
    <row r="1620" spans="9:12" ht="18" x14ac:dyDescent="0.45">
      <c r="I1620" s="67"/>
      <c r="L1620" s="71"/>
    </row>
    <row r="1621" spans="9:12" ht="18" x14ac:dyDescent="0.45">
      <c r="I1621" s="67"/>
      <c r="L1621" s="71"/>
    </row>
    <row r="1622" spans="9:12" ht="18" x14ac:dyDescent="0.45">
      <c r="I1622" s="67"/>
      <c r="L1622" s="71"/>
    </row>
    <row r="1623" spans="9:12" ht="18" x14ac:dyDescent="0.45">
      <c r="I1623" s="67"/>
      <c r="L1623" s="71"/>
    </row>
    <row r="1624" spans="9:12" ht="18" x14ac:dyDescent="0.45">
      <c r="I1624" s="67"/>
      <c r="L1624" s="71"/>
    </row>
    <row r="1625" spans="9:12" ht="18" x14ac:dyDescent="0.45">
      <c r="I1625" s="67"/>
      <c r="L1625" s="71"/>
    </row>
    <row r="1626" spans="9:12" ht="18" x14ac:dyDescent="0.45">
      <c r="I1626" s="67"/>
      <c r="L1626" s="71"/>
    </row>
    <row r="1627" spans="9:12" ht="18" x14ac:dyDescent="0.45">
      <c r="I1627" s="67"/>
      <c r="L1627" s="71"/>
    </row>
    <row r="1628" spans="9:12" ht="18" x14ac:dyDescent="0.45">
      <c r="I1628" s="67"/>
      <c r="L1628" s="71"/>
    </row>
    <row r="1629" spans="9:12" ht="18" x14ac:dyDescent="0.45">
      <c r="I1629" s="67"/>
      <c r="L1629" s="71"/>
    </row>
    <row r="1630" spans="9:12" ht="18" x14ac:dyDescent="0.45">
      <c r="I1630" s="67"/>
      <c r="L1630" s="71"/>
    </row>
    <row r="1631" spans="9:12" ht="18" x14ac:dyDescent="0.45">
      <c r="I1631" s="67"/>
      <c r="L1631" s="71"/>
    </row>
    <row r="1632" spans="9:12" ht="18" x14ac:dyDescent="0.45">
      <c r="I1632" s="67"/>
      <c r="L1632" s="71"/>
    </row>
    <row r="1633" spans="9:12" ht="18" x14ac:dyDescent="0.45">
      <c r="I1633" s="67"/>
      <c r="L1633" s="71"/>
    </row>
    <row r="1634" spans="9:12" ht="18" x14ac:dyDescent="0.45">
      <c r="I1634" s="67"/>
      <c r="L1634" s="71"/>
    </row>
    <row r="1635" spans="9:12" ht="18" x14ac:dyDescent="0.45">
      <c r="I1635" s="67"/>
      <c r="L1635" s="71"/>
    </row>
    <row r="1636" spans="9:12" ht="18" x14ac:dyDescent="0.45">
      <c r="I1636" s="67"/>
      <c r="L1636" s="71"/>
    </row>
    <row r="1637" spans="9:12" ht="18" x14ac:dyDescent="0.45">
      <c r="I1637" s="67"/>
      <c r="L1637" s="71"/>
    </row>
    <row r="1638" spans="9:12" ht="18" x14ac:dyDescent="0.45">
      <c r="I1638" s="67"/>
      <c r="L1638" s="71"/>
    </row>
    <row r="1639" spans="9:12" ht="18" x14ac:dyDescent="0.45">
      <c r="I1639" s="67"/>
      <c r="L1639" s="71"/>
    </row>
    <row r="1640" spans="9:12" ht="18" x14ac:dyDescent="0.45">
      <c r="I1640" s="67"/>
      <c r="L1640" s="71"/>
    </row>
    <row r="1641" spans="9:12" ht="18" x14ac:dyDescent="0.45">
      <c r="I1641" s="67"/>
      <c r="L1641" s="71"/>
    </row>
    <row r="1642" spans="9:12" ht="18" x14ac:dyDescent="0.45">
      <c r="I1642" s="67"/>
      <c r="L1642" s="71"/>
    </row>
    <row r="1643" spans="9:12" ht="18" x14ac:dyDescent="0.45">
      <c r="I1643" s="67"/>
      <c r="L1643" s="71"/>
    </row>
    <row r="1644" spans="9:12" ht="18" x14ac:dyDescent="0.45">
      <c r="I1644" s="67"/>
      <c r="L1644" s="71"/>
    </row>
    <row r="1645" spans="9:12" ht="18" x14ac:dyDescent="0.45">
      <c r="I1645" s="67"/>
      <c r="L1645" s="71"/>
    </row>
    <row r="1646" spans="9:12" ht="18" x14ac:dyDescent="0.45">
      <c r="L1646" s="71"/>
    </row>
    <row r="1647" spans="9:12" ht="18" x14ac:dyDescent="0.45">
      <c r="L1647" s="71"/>
    </row>
    <row r="1648" spans="9:12" ht="18" x14ac:dyDescent="0.45">
      <c r="L1648" s="71"/>
    </row>
    <row r="1649" spans="12:12" ht="18" x14ac:dyDescent="0.45">
      <c r="L1649" s="71"/>
    </row>
    <row r="1650" spans="12:12" ht="18" x14ac:dyDescent="0.45">
      <c r="L1650" s="71"/>
    </row>
    <row r="1651" spans="12:12" ht="18" x14ac:dyDescent="0.45">
      <c r="L1651" s="71"/>
    </row>
    <row r="1652" spans="12:12" ht="18" x14ac:dyDescent="0.45">
      <c r="L1652" s="71"/>
    </row>
    <row r="1653" spans="12:12" ht="18" x14ac:dyDescent="0.45">
      <c r="L1653" s="71"/>
    </row>
    <row r="1654" spans="12:12" ht="18" x14ac:dyDescent="0.45">
      <c r="L1654" s="71"/>
    </row>
    <row r="1655" spans="12:12" ht="18" x14ac:dyDescent="0.45">
      <c r="L1655" s="71"/>
    </row>
    <row r="1656" spans="12:12" ht="18" x14ac:dyDescent="0.45">
      <c r="L1656" s="71"/>
    </row>
    <row r="1657" spans="12:12" ht="18" x14ac:dyDescent="0.45">
      <c r="L1657" s="71"/>
    </row>
    <row r="1658" spans="12:12" ht="18" x14ac:dyDescent="0.45">
      <c r="L1658" s="71"/>
    </row>
    <row r="1659" spans="12:12" ht="18" x14ac:dyDescent="0.45">
      <c r="L1659" s="71"/>
    </row>
    <row r="1660" spans="12:12" ht="18" x14ac:dyDescent="0.45">
      <c r="L1660" s="71"/>
    </row>
    <row r="1661" spans="12:12" ht="18" x14ac:dyDescent="0.45">
      <c r="L1661" s="71"/>
    </row>
    <row r="1662" spans="12:12" ht="18" x14ac:dyDescent="0.45">
      <c r="L1662" s="71"/>
    </row>
    <row r="1663" spans="12:12" ht="18" x14ac:dyDescent="0.45">
      <c r="L1663" s="71"/>
    </row>
    <row r="1664" spans="12:12" ht="18" x14ac:dyDescent="0.45">
      <c r="L1664" s="71"/>
    </row>
    <row r="1665" spans="12:12" ht="18" x14ac:dyDescent="0.45">
      <c r="L1665" s="71"/>
    </row>
    <row r="1666" spans="12:12" ht="18" x14ac:dyDescent="0.45">
      <c r="L1666" s="71"/>
    </row>
    <row r="1667" spans="12:12" ht="18" x14ac:dyDescent="0.45">
      <c r="L1667" s="71"/>
    </row>
    <row r="1668" spans="12:12" ht="18" x14ac:dyDescent="0.45">
      <c r="L1668" s="71"/>
    </row>
    <row r="1669" spans="12:12" ht="18" x14ac:dyDescent="0.45">
      <c r="L1669" s="71"/>
    </row>
    <row r="1670" spans="12:12" ht="18" x14ac:dyDescent="0.45">
      <c r="L1670" s="71"/>
    </row>
    <row r="1671" spans="12:12" ht="18" x14ac:dyDescent="0.45">
      <c r="L1671" s="71"/>
    </row>
    <row r="1672" spans="12:12" ht="18" x14ac:dyDescent="0.45">
      <c r="L1672" s="71"/>
    </row>
    <row r="1673" spans="12:12" ht="18" x14ac:dyDescent="0.45">
      <c r="L1673" s="71"/>
    </row>
    <row r="1674" spans="12:12" ht="18" x14ac:dyDescent="0.45">
      <c r="L1674" s="71"/>
    </row>
    <row r="1675" spans="12:12" ht="18" x14ac:dyDescent="0.45">
      <c r="L1675" s="71"/>
    </row>
    <row r="1676" spans="12:12" ht="18" x14ac:dyDescent="0.45">
      <c r="L1676" s="71"/>
    </row>
    <row r="1677" spans="12:12" ht="18" x14ac:dyDescent="0.45">
      <c r="L1677" s="71"/>
    </row>
    <row r="1678" spans="12:12" ht="18" x14ac:dyDescent="0.45">
      <c r="L1678" s="71"/>
    </row>
    <row r="1679" spans="12:12" ht="18" x14ac:dyDescent="0.45">
      <c r="L1679" s="71"/>
    </row>
    <row r="1680" spans="12:12" ht="18" x14ac:dyDescent="0.45">
      <c r="L1680" s="71"/>
    </row>
    <row r="1681" spans="12:12" ht="18" x14ac:dyDescent="0.45">
      <c r="L1681" s="71"/>
    </row>
    <row r="1682" spans="12:12" ht="18" x14ac:dyDescent="0.45">
      <c r="L1682" s="71"/>
    </row>
    <row r="1683" spans="12:12" ht="18" x14ac:dyDescent="0.45">
      <c r="L1683" s="71"/>
    </row>
    <row r="1684" spans="12:12" ht="18" x14ac:dyDescent="0.45">
      <c r="L1684" s="71"/>
    </row>
    <row r="1685" spans="12:12" ht="18" x14ac:dyDescent="0.45">
      <c r="L1685" s="71"/>
    </row>
    <row r="1686" spans="12:12" ht="18" x14ac:dyDescent="0.45">
      <c r="L1686" s="71"/>
    </row>
    <row r="1687" spans="12:12" ht="18" x14ac:dyDescent="0.45">
      <c r="L1687" s="71"/>
    </row>
    <row r="1688" spans="12:12" ht="18" x14ac:dyDescent="0.45">
      <c r="L1688" s="71"/>
    </row>
    <row r="1689" spans="12:12" ht="18" x14ac:dyDescent="0.45">
      <c r="L1689" s="71"/>
    </row>
    <row r="1690" spans="12:12" ht="18" x14ac:dyDescent="0.45">
      <c r="L1690" s="71"/>
    </row>
    <row r="1691" spans="12:12" ht="18" x14ac:dyDescent="0.45">
      <c r="L1691" s="71"/>
    </row>
    <row r="1692" spans="12:12" ht="18" x14ac:dyDescent="0.45">
      <c r="L1692" s="71"/>
    </row>
    <row r="1693" spans="12:12" ht="18" x14ac:dyDescent="0.45">
      <c r="L1693" s="71"/>
    </row>
    <row r="1694" spans="12:12" ht="18" x14ac:dyDescent="0.45">
      <c r="L1694" s="71"/>
    </row>
    <row r="1695" spans="12:12" ht="18" x14ac:dyDescent="0.45">
      <c r="L1695" s="71"/>
    </row>
    <row r="1696" spans="12:12" ht="18" x14ac:dyDescent="0.45">
      <c r="L1696" s="71"/>
    </row>
    <row r="1697" spans="12:12" ht="18" x14ac:dyDescent="0.45">
      <c r="L1697" s="71"/>
    </row>
    <row r="1698" spans="12:12" ht="18" x14ac:dyDescent="0.45">
      <c r="L1698" s="71"/>
    </row>
    <row r="1699" spans="12:12" ht="18" x14ac:dyDescent="0.45">
      <c r="L1699" s="71"/>
    </row>
    <row r="1700" spans="12:12" ht="18" x14ac:dyDescent="0.45">
      <c r="L1700" s="71"/>
    </row>
    <row r="1701" spans="12:12" ht="18" x14ac:dyDescent="0.45">
      <c r="L1701" s="71"/>
    </row>
    <row r="1702" spans="12:12" ht="18" x14ac:dyDescent="0.45">
      <c r="L1702" s="71"/>
    </row>
    <row r="1703" spans="12:12" ht="18" x14ac:dyDescent="0.45">
      <c r="L1703" s="71"/>
    </row>
    <row r="1704" spans="12:12" ht="18" x14ac:dyDescent="0.45">
      <c r="L1704" s="71"/>
    </row>
    <row r="1705" spans="12:12" ht="18" x14ac:dyDescent="0.45">
      <c r="L1705" s="71"/>
    </row>
    <row r="1706" spans="12:12" ht="18" x14ac:dyDescent="0.45">
      <c r="L1706" s="71"/>
    </row>
    <row r="1707" spans="12:12" ht="18" x14ac:dyDescent="0.45">
      <c r="L1707" s="71"/>
    </row>
    <row r="1708" spans="12:12" ht="18" x14ac:dyDescent="0.45">
      <c r="L1708" s="71"/>
    </row>
    <row r="1709" spans="12:12" ht="18" x14ac:dyDescent="0.45">
      <c r="L1709" s="71"/>
    </row>
    <row r="1710" spans="12:12" ht="18" x14ac:dyDescent="0.45">
      <c r="L1710" s="71"/>
    </row>
    <row r="1711" spans="12:12" ht="18" x14ac:dyDescent="0.45">
      <c r="L1711" s="71"/>
    </row>
    <row r="1712" spans="12:12" ht="18" x14ac:dyDescent="0.45">
      <c r="L1712" s="71"/>
    </row>
    <row r="1713" spans="12:12" ht="18" x14ac:dyDescent="0.45">
      <c r="L1713" s="71"/>
    </row>
    <row r="1714" spans="12:12" ht="18" x14ac:dyDescent="0.45">
      <c r="L1714" s="71"/>
    </row>
    <row r="1715" spans="12:12" ht="18" x14ac:dyDescent="0.45">
      <c r="L1715" s="71"/>
    </row>
    <row r="1716" spans="12:12" ht="18" x14ac:dyDescent="0.45">
      <c r="L1716" s="71"/>
    </row>
    <row r="1717" spans="12:12" ht="18" x14ac:dyDescent="0.45">
      <c r="L1717" s="71"/>
    </row>
    <row r="1718" spans="12:12" ht="18" x14ac:dyDescent="0.45">
      <c r="L1718" s="71"/>
    </row>
    <row r="1719" spans="12:12" ht="18" x14ac:dyDescent="0.45">
      <c r="L1719" s="71"/>
    </row>
    <row r="1720" spans="12:12" ht="18" x14ac:dyDescent="0.45">
      <c r="L1720" s="71"/>
    </row>
    <row r="1721" spans="12:12" ht="18" x14ac:dyDescent="0.45">
      <c r="L1721" s="71"/>
    </row>
    <row r="1722" spans="12:12" ht="18" x14ac:dyDescent="0.45">
      <c r="L1722" s="71"/>
    </row>
    <row r="1723" spans="12:12" ht="18" x14ac:dyDescent="0.45">
      <c r="L1723" s="71"/>
    </row>
    <row r="1724" spans="12:12" ht="18" x14ac:dyDescent="0.45">
      <c r="L1724" s="71"/>
    </row>
    <row r="1725" spans="12:12" ht="18" x14ac:dyDescent="0.45">
      <c r="L1725" s="71"/>
    </row>
    <row r="1726" spans="12:12" ht="18" x14ac:dyDescent="0.45">
      <c r="L1726" s="71"/>
    </row>
    <row r="1727" spans="12:12" ht="18" x14ac:dyDescent="0.45">
      <c r="L1727" s="71"/>
    </row>
    <row r="1728" spans="12:12" ht="18" x14ac:dyDescent="0.45">
      <c r="L1728" s="71"/>
    </row>
    <row r="1729" spans="12:12" ht="18" x14ac:dyDescent="0.45">
      <c r="L1729" s="71"/>
    </row>
    <row r="1730" spans="12:12" ht="18" x14ac:dyDescent="0.45">
      <c r="L1730" s="71"/>
    </row>
    <row r="1731" spans="12:12" ht="18" x14ac:dyDescent="0.45">
      <c r="L1731" s="71"/>
    </row>
    <row r="1732" spans="12:12" ht="18" x14ac:dyDescent="0.45">
      <c r="L1732" s="71"/>
    </row>
    <row r="1733" spans="12:12" ht="18" x14ac:dyDescent="0.45">
      <c r="L1733" s="71"/>
    </row>
    <row r="1734" spans="12:12" ht="18" x14ac:dyDescent="0.45">
      <c r="L1734" s="71"/>
    </row>
    <row r="1735" spans="12:12" ht="18" x14ac:dyDescent="0.45">
      <c r="L1735" s="71"/>
    </row>
    <row r="1736" spans="12:12" ht="18" x14ac:dyDescent="0.45">
      <c r="L1736" s="71"/>
    </row>
    <row r="1737" spans="12:12" ht="18" x14ac:dyDescent="0.45">
      <c r="L1737" s="71"/>
    </row>
    <row r="1738" spans="12:12" ht="18" x14ac:dyDescent="0.45">
      <c r="L1738" s="71"/>
    </row>
    <row r="1739" spans="12:12" ht="18" x14ac:dyDescent="0.45">
      <c r="L1739" s="71"/>
    </row>
    <row r="1740" spans="12:12" ht="18" x14ac:dyDescent="0.45">
      <c r="L1740" s="71"/>
    </row>
    <row r="1741" spans="12:12" ht="18" x14ac:dyDescent="0.45">
      <c r="L1741" s="71"/>
    </row>
    <row r="1742" spans="12:12" ht="18" x14ac:dyDescent="0.45">
      <c r="L1742" s="71"/>
    </row>
    <row r="1743" spans="12:12" ht="18" x14ac:dyDescent="0.45">
      <c r="L1743" s="71"/>
    </row>
    <row r="1744" spans="12:12" ht="18" x14ac:dyDescent="0.45">
      <c r="L1744" s="71"/>
    </row>
    <row r="1745" spans="12:12" ht="18" x14ac:dyDescent="0.45">
      <c r="L1745" s="71"/>
    </row>
    <row r="1746" spans="12:12" ht="18" x14ac:dyDescent="0.45">
      <c r="L1746" s="71"/>
    </row>
    <row r="1747" spans="12:12" ht="18" x14ac:dyDescent="0.45">
      <c r="L1747" s="71"/>
    </row>
    <row r="1748" spans="12:12" ht="18" x14ac:dyDescent="0.45">
      <c r="L1748" s="71"/>
    </row>
    <row r="1749" spans="12:12" ht="18" x14ac:dyDescent="0.45">
      <c r="L1749" s="71"/>
    </row>
    <row r="1750" spans="12:12" ht="18" x14ac:dyDescent="0.45">
      <c r="L1750" s="71"/>
    </row>
    <row r="1751" spans="12:12" ht="18" x14ac:dyDescent="0.45">
      <c r="L1751" s="71"/>
    </row>
    <row r="1752" spans="12:12" ht="18" x14ac:dyDescent="0.45">
      <c r="L1752" s="71"/>
    </row>
    <row r="1753" spans="12:12" ht="18" x14ac:dyDescent="0.45">
      <c r="L1753" s="71"/>
    </row>
    <row r="1754" spans="12:12" ht="18" x14ac:dyDescent="0.45">
      <c r="L1754" s="71"/>
    </row>
    <row r="1755" spans="12:12" ht="18" x14ac:dyDescent="0.45">
      <c r="L1755" s="71"/>
    </row>
    <row r="1756" spans="12:12" ht="18" x14ac:dyDescent="0.45">
      <c r="L1756" s="71"/>
    </row>
    <row r="1757" spans="12:12" ht="18" x14ac:dyDescent="0.45">
      <c r="L1757" s="71"/>
    </row>
    <row r="1758" spans="12:12" ht="18" x14ac:dyDescent="0.45">
      <c r="L1758" s="71"/>
    </row>
    <row r="1759" spans="12:12" ht="18" x14ac:dyDescent="0.45">
      <c r="L1759" s="71"/>
    </row>
    <row r="1760" spans="12:12" ht="18" x14ac:dyDescent="0.45">
      <c r="L1760" s="71"/>
    </row>
    <row r="1761" spans="12:12" ht="18" x14ac:dyDescent="0.45">
      <c r="L1761" s="71"/>
    </row>
    <row r="1762" spans="12:12" ht="18" x14ac:dyDescent="0.45">
      <c r="L1762" s="71"/>
    </row>
    <row r="1763" spans="12:12" ht="18" x14ac:dyDescent="0.45">
      <c r="L1763" s="71"/>
    </row>
    <row r="1764" spans="12:12" ht="18" x14ac:dyDescent="0.45">
      <c r="L1764" s="71"/>
    </row>
    <row r="1765" spans="12:12" ht="18" x14ac:dyDescent="0.45">
      <c r="L1765" s="71"/>
    </row>
    <row r="1766" spans="12:12" ht="18" x14ac:dyDescent="0.45">
      <c r="L1766" s="71"/>
    </row>
    <row r="1767" spans="12:12" ht="18" x14ac:dyDescent="0.45">
      <c r="L1767" s="71"/>
    </row>
    <row r="1768" spans="12:12" ht="18" x14ac:dyDescent="0.45">
      <c r="L1768" s="71"/>
    </row>
    <row r="1769" spans="12:12" ht="18" x14ac:dyDescent="0.45">
      <c r="L1769" s="71"/>
    </row>
    <row r="1770" spans="12:12" ht="18" x14ac:dyDescent="0.45">
      <c r="L1770" s="71"/>
    </row>
    <row r="1771" spans="12:12" ht="18" x14ac:dyDescent="0.45">
      <c r="L1771" s="71"/>
    </row>
    <row r="1772" spans="12:12" ht="18" x14ac:dyDescent="0.45">
      <c r="L1772" s="71"/>
    </row>
    <row r="1773" spans="12:12" ht="18" x14ac:dyDescent="0.45">
      <c r="L1773" s="71"/>
    </row>
    <row r="1774" spans="12:12" ht="18" x14ac:dyDescent="0.45">
      <c r="L1774" s="71"/>
    </row>
    <row r="1775" spans="12:12" ht="18" x14ac:dyDescent="0.45">
      <c r="L1775" s="71"/>
    </row>
    <row r="1776" spans="12:12" ht="18" x14ac:dyDescent="0.45">
      <c r="L1776" s="71"/>
    </row>
    <row r="1777" spans="12:12" ht="18" x14ac:dyDescent="0.45">
      <c r="L1777" s="71"/>
    </row>
    <row r="1778" spans="12:12" ht="18" x14ac:dyDescent="0.45">
      <c r="L1778" s="71"/>
    </row>
    <row r="1779" spans="12:12" ht="18" x14ac:dyDescent="0.45">
      <c r="L1779" s="71"/>
    </row>
    <row r="1780" spans="12:12" ht="18" x14ac:dyDescent="0.45">
      <c r="L1780" s="71"/>
    </row>
    <row r="1781" spans="12:12" ht="18" x14ac:dyDescent="0.45">
      <c r="L1781" s="71"/>
    </row>
    <row r="1782" spans="12:12" ht="18" x14ac:dyDescent="0.45">
      <c r="L1782" s="71"/>
    </row>
    <row r="1783" spans="12:12" ht="18" x14ac:dyDescent="0.45">
      <c r="L1783" s="71"/>
    </row>
    <row r="1784" spans="12:12" ht="18" x14ac:dyDescent="0.45">
      <c r="L1784" s="71"/>
    </row>
    <row r="1785" spans="12:12" ht="18" x14ac:dyDescent="0.45">
      <c r="L1785" s="71"/>
    </row>
    <row r="1786" spans="12:12" ht="18" x14ac:dyDescent="0.45">
      <c r="L1786" s="71"/>
    </row>
    <row r="1787" spans="12:12" ht="18" x14ac:dyDescent="0.45">
      <c r="L1787" s="71"/>
    </row>
    <row r="1788" spans="12:12" ht="18" x14ac:dyDescent="0.45">
      <c r="L1788" s="71"/>
    </row>
    <row r="1789" spans="12:12" ht="18" x14ac:dyDescent="0.45">
      <c r="L1789" s="71"/>
    </row>
    <row r="1790" spans="12:12" ht="18" x14ac:dyDescent="0.45">
      <c r="L1790" s="71"/>
    </row>
    <row r="1791" spans="12:12" ht="18" x14ac:dyDescent="0.45">
      <c r="L1791" s="71"/>
    </row>
    <row r="1792" spans="12:12" ht="18" x14ac:dyDescent="0.45">
      <c r="L1792" s="71"/>
    </row>
    <row r="1793" spans="12:12" ht="18" x14ac:dyDescent="0.45">
      <c r="L1793" s="71"/>
    </row>
    <row r="1794" spans="12:12" ht="18" x14ac:dyDescent="0.45">
      <c r="L1794" s="71"/>
    </row>
    <row r="1795" spans="12:12" ht="18" x14ac:dyDescent="0.45">
      <c r="L1795" s="71"/>
    </row>
    <row r="1796" spans="12:12" ht="18" x14ac:dyDescent="0.45">
      <c r="L1796" s="71"/>
    </row>
    <row r="1797" spans="12:12" ht="18" x14ac:dyDescent="0.45">
      <c r="L1797" s="71"/>
    </row>
    <row r="1798" spans="12:12" ht="18" x14ac:dyDescent="0.45">
      <c r="L1798" s="71"/>
    </row>
    <row r="1799" spans="12:12" ht="18" x14ac:dyDescent="0.45">
      <c r="L1799" s="71"/>
    </row>
    <row r="1800" spans="12:12" ht="18" x14ac:dyDescent="0.45">
      <c r="L1800" s="71"/>
    </row>
    <row r="1801" spans="12:12" ht="18" x14ac:dyDescent="0.45">
      <c r="L1801" s="71"/>
    </row>
    <row r="1802" spans="12:12" ht="18" x14ac:dyDescent="0.45">
      <c r="L1802" s="71"/>
    </row>
    <row r="1803" spans="12:12" ht="18" x14ac:dyDescent="0.45">
      <c r="L1803" s="71"/>
    </row>
    <row r="1804" spans="12:12" ht="18" x14ac:dyDescent="0.45">
      <c r="L1804" s="71"/>
    </row>
    <row r="1805" spans="12:12" ht="18" x14ac:dyDescent="0.45">
      <c r="L1805" s="71"/>
    </row>
    <row r="1806" spans="12:12" ht="18" x14ac:dyDescent="0.45">
      <c r="L1806" s="71"/>
    </row>
    <row r="1807" spans="12:12" ht="18" x14ac:dyDescent="0.45">
      <c r="L1807" s="71"/>
    </row>
    <row r="1808" spans="12:12" ht="18" x14ac:dyDescent="0.45">
      <c r="L1808" s="71"/>
    </row>
    <row r="1809" spans="12:12" ht="18" x14ac:dyDescent="0.45">
      <c r="L1809" s="71"/>
    </row>
    <row r="1810" spans="12:12" ht="18" x14ac:dyDescent="0.45">
      <c r="L1810" s="71"/>
    </row>
    <row r="1811" spans="12:12" ht="18" x14ac:dyDescent="0.45">
      <c r="L1811" s="71"/>
    </row>
    <row r="1812" spans="12:12" ht="18" x14ac:dyDescent="0.45">
      <c r="L1812" s="71"/>
    </row>
    <row r="1813" spans="12:12" ht="18" x14ac:dyDescent="0.45">
      <c r="L1813" s="71"/>
    </row>
    <row r="1814" spans="12:12" ht="18" x14ac:dyDescent="0.45">
      <c r="L1814" s="71"/>
    </row>
    <row r="1815" spans="12:12" ht="18" x14ac:dyDescent="0.45">
      <c r="L1815" s="71"/>
    </row>
    <row r="1816" spans="12:12" ht="18" x14ac:dyDescent="0.45">
      <c r="L1816" s="71"/>
    </row>
    <row r="1817" spans="12:12" ht="18" x14ac:dyDescent="0.45">
      <c r="L1817" s="71"/>
    </row>
    <row r="1818" spans="12:12" ht="18" x14ac:dyDescent="0.45">
      <c r="L1818" s="71"/>
    </row>
    <row r="1819" spans="12:12" ht="18" x14ac:dyDescent="0.45">
      <c r="L1819" s="71"/>
    </row>
    <row r="1820" spans="12:12" ht="18" x14ac:dyDescent="0.45">
      <c r="L1820" s="71"/>
    </row>
    <row r="1821" spans="12:12" ht="18" x14ac:dyDescent="0.45">
      <c r="L1821" s="71"/>
    </row>
    <row r="1822" spans="12:12" ht="18" x14ac:dyDescent="0.45">
      <c r="L1822" s="71"/>
    </row>
    <row r="1823" spans="12:12" ht="18" x14ac:dyDescent="0.45">
      <c r="L1823" s="71"/>
    </row>
    <row r="1824" spans="12:12" ht="18" x14ac:dyDescent="0.45">
      <c r="L1824" s="71"/>
    </row>
    <row r="1825" spans="12:12" ht="18" x14ac:dyDescent="0.45">
      <c r="L1825" s="71"/>
    </row>
    <row r="1826" spans="12:12" ht="18" x14ac:dyDescent="0.45">
      <c r="L1826" s="71"/>
    </row>
    <row r="1827" spans="12:12" ht="18" x14ac:dyDescent="0.45">
      <c r="L1827" s="71"/>
    </row>
    <row r="1828" spans="12:12" ht="18" x14ac:dyDescent="0.45">
      <c r="L1828" s="71"/>
    </row>
    <row r="1829" spans="12:12" ht="18" x14ac:dyDescent="0.45">
      <c r="L1829" s="71"/>
    </row>
    <row r="1830" spans="12:12" ht="18" x14ac:dyDescent="0.45">
      <c r="L1830" s="71"/>
    </row>
    <row r="1831" spans="12:12" ht="18" x14ac:dyDescent="0.45">
      <c r="L1831" s="71"/>
    </row>
    <row r="1832" spans="12:12" ht="18" x14ac:dyDescent="0.45">
      <c r="L1832" s="71"/>
    </row>
    <row r="1833" spans="12:12" ht="18" x14ac:dyDescent="0.45">
      <c r="L1833" s="71"/>
    </row>
    <row r="1834" spans="12:12" ht="18" x14ac:dyDescent="0.45">
      <c r="L1834" s="71"/>
    </row>
    <row r="1835" spans="12:12" ht="18" x14ac:dyDescent="0.45">
      <c r="L1835" s="71"/>
    </row>
    <row r="1836" spans="12:12" ht="18" x14ac:dyDescent="0.45">
      <c r="L1836" s="71"/>
    </row>
    <row r="1837" spans="12:12" ht="18" x14ac:dyDescent="0.45">
      <c r="L1837" s="71"/>
    </row>
    <row r="1838" spans="12:12" ht="18" x14ac:dyDescent="0.45">
      <c r="L1838" s="71"/>
    </row>
    <row r="1839" spans="12:12" ht="18" x14ac:dyDescent="0.45">
      <c r="L1839" s="71"/>
    </row>
    <row r="1840" spans="12:12" ht="18" x14ac:dyDescent="0.45">
      <c r="L1840" s="71"/>
    </row>
    <row r="1841" spans="12:12" ht="18" x14ac:dyDescent="0.45">
      <c r="L1841" s="71"/>
    </row>
    <row r="1842" spans="12:12" ht="18" x14ac:dyDescent="0.45">
      <c r="L1842" s="71"/>
    </row>
    <row r="1843" spans="12:12" ht="18" x14ac:dyDescent="0.45">
      <c r="L1843" s="71"/>
    </row>
    <row r="1844" spans="12:12" ht="18" x14ac:dyDescent="0.45">
      <c r="L1844" s="71"/>
    </row>
    <row r="1845" spans="12:12" ht="18" x14ac:dyDescent="0.45">
      <c r="L1845" s="71"/>
    </row>
    <row r="1846" spans="12:12" ht="18" x14ac:dyDescent="0.45">
      <c r="L1846" s="71"/>
    </row>
    <row r="1847" spans="12:12" ht="18" x14ac:dyDescent="0.45">
      <c r="L1847" s="71"/>
    </row>
    <row r="1848" spans="12:12" ht="18" x14ac:dyDescent="0.45">
      <c r="L1848" s="71"/>
    </row>
    <row r="1849" spans="12:12" ht="18" x14ac:dyDescent="0.45">
      <c r="L1849" s="71"/>
    </row>
    <row r="1850" spans="12:12" ht="18" x14ac:dyDescent="0.45">
      <c r="L1850" s="71"/>
    </row>
    <row r="1851" spans="12:12" ht="18" x14ac:dyDescent="0.45">
      <c r="L1851" s="71"/>
    </row>
    <row r="1852" spans="12:12" ht="18" x14ac:dyDescent="0.45">
      <c r="L1852" s="71"/>
    </row>
  </sheetData>
  <mergeCells count="6">
    <mergeCell ref="D3:F3"/>
    <mergeCell ref="P5:P6"/>
    <mergeCell ref="O3:P3"/>
    <mergeCell ref="L3:M3"/>
    <mergeCell ref="N4:O4"/>
    <mergeCell ref="L4:M4"/>
  </mergeCells>
  <conditionalFormatting sqref="I7:O999">
    <cfRule type="expression" dxfId="9" priority="10">
      <formula>$B$6=ROW()</formula>
    </cfRule>
    <cfRule type="expression" dxfId="8" priority="11">
      <formula>$I6=""</formula>
    </cfRule>
    <cfRule type="expression" dxfId="7" priority="12">
      <formula>AND($I6&lt;&gt;"",MOD(ROW(),2)=0)</formula>
    </cfRule>
    <cfRule type="expression" dxfId="6" priority="13">
      <formula>AND($I6&lt;&gt;"",MOD(ROW(),2)=1)</formula>
    </cfRule>
  </conditionalFormatting>
  <conditionalFormatting sqref="I3:J3">
    <cfRule type="containsText" dxfId="5" priority="9" operator="containsText" text="Enter">
      <formula>NOT(ISERROR(SEARCH("Enter",I3)))</formula>
    </cfRule>
  </conditionalFormatting>
  <conditionalFormatting sqref="D5:F999">
    <cfRule type="expression" dxfId="4" priority="5">
      <formula>$B$8=ROW()</formula>
    </cfRule>
    <cfRule type="expression" dxfId="3" priority="7">
      <formula>AND($D5&lt;&gt;"",MOD(ROW(),2)=0)</formula>
    </cfRule>
    <cfRule type="expression" dxfId="2" priority="8">
      <formula>AND($D5&lt;&gt;"",MOD(ROW(),2)=1)</formula>
    </cfRule>
  </conditionalFormatting>
  <conditionalFormatting sqref="P7:P999">
    <cfRule type="expression" dxfId="1" priority="3">
      <formula>AND($I6&lt;&gt;"",MOD(ROW(),2)=0)</formula>
    </cfRule>
    <cfRule type="expression" dxfId="0" priority="4">
      <formula>AND($I6&lt;&gt;"",MOD(ROW(),2)=1)</formula>
    </cfRule>
  </conditionalFormatting>
  <dataValidations count="2">
    <dataValidation type="list" errorStyle="information" allowBlank="1" showInputMessage="1" showErrorMessage="1" sqref="J4">
      <formula1>Customer_NamesSorted</formula1>
    </dataValidation>
    <dataValidation errorStyle="information" allowBlank="1" showInputMessage="1" showErrorMessage="1" sqref="J5"/>
  </dataValidations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rders"/>
  <dimension ref="A1:Q2052"/>
  <sheetViews>
    <sheetView topLeftCell="A214" workbookViewId="0">
      <selection activeCell="D238" sqref="D238"/>
    </sheetView>
  </sheetViews>
  <sheetFormatPr defaultRowHeight="15" x14ac:dyDescent="0.25"/>
  <cols>
    <col min="1" max="1" width="8.42578125" bestFit="1" customWidth="1"/>
    <col min="2" max="2" width="14.85546875" bestFit="1" customWidth="1"/>
    <col min="5" max="5" width="17.28515625" bestFit="1" customWidth="1"/>
    <col min="6" max="6" width="13.42578125" bestFit="1" customWidth="1"/>
    <col min="7" max="7" width="11.5703125" bestFit="1" customWidth="1"/>
    <col min="11" max="11" width="10.28515625" bestFit="1" customWidth="1"/>
    <col min="12" max="12" width="17.28515625" bestFit="1" customWidth="1"/>
    <col min="15" max="15" width="14.85546875" bestFit="1" customWidth="1"/>
  </cols>
  <sheetData>
    <row r="1" spans="1:17" x14ac:dyDescent="0.25">
      <c r="A1" s="116" t="s">
        <v>21</v>
      </c>
      <c r="B1" s="116"/>
      <c r="C1" s="116"/>
      <c r="D1" s="116"/>
      <c r="E1" s="116"/>
      <c r="F1" s="116"/>
      <c r="G1" s="116"/>
      <c r="K1" s="117" t="s">
        <v>90</v>
      </c>
      <c r="L1" s="117"/>
      <c r="O1" s="116" t="s">
        <v>91</v>
      </c>
      <c r="P1" s="116"/>
      <c r="Q1" s="116"/>
    </row>
    <row r="2" spans="1:17" x14ac:dyDescent="0.25">
      <c r="A2" s="34" t="s">
        <v>11</v>
      </c>
      <c r="B2" s="34" t="s">
        <v>51</v>
      </c>
      <c r="C2" s="34" t="s">
        <v>20</v>
      </c>
      <c r="D2" s="34" t="s">
        <v>23</v>
      </c>
      <c r="E2" s="34" t="s">
        <v>88</v>
      </c>
      <c r="F2" s="34" t="s">
        <v>0</v>
      </c>
      <c r="G2" s="34" t="s">
        <v>17</v>
      </c>
      <c r="K2" s="16" t="s">
        <v>20</v>
      </c>
      <c r="L2" s="16" t="s">
        <v>88</v>
      </c>
      <c r="O2" s="15" t="s">
        <v>51</v>
      </c>
      <c r="P2" s="15" t="s">
        <v>88</v>
      </c>
      <c r="Q2" s="15" t="s">
        <v>11</v>
      </c>
    </row>
    <row r="3" spans="1:17" x14ac:dyDescent="0.25">
      <c r="A3" s="6">
        <v>10000</v>
      </c>
      <c r="B3" s="17">
        <v>45740.568298611113</v>
      </c>
      <c r="C3" t="s">
        <v>1299</v>
      </c>
      <c r="D3" t="s">
        <v>25</v>
      </c>
      <c r="E3" t="s">
        <v>1086</v>
      </c>
      <c r="F3" t="s">
        <v>151</v>
      </c>
      <c r="G3" s="99">
        <v>52191.5</v>
      </c>
      <c r="K3" s="4" t="str">
        <f>POS!B1</f>
        <v>SALE</v>
      </c>
      <c r="L3" t="s">
        <v>1518</v>
      </c>
      <c r="O3" s="17">
        <v>45739.660185185188</v>
      </c>
      <c r="P3" t="s">
        <v>1086</v>
      </c>
      <c r="Q3" s="6">
        <v>10000</v>
      </c>
    </row>
    <row r="4" spans="1:17" x14ac:dyDescent="0.25">
      <c r="A4" s="6">
        <v>10001</v>
      </c>
      <c r="B4" s="17">
        <v>45740.568645833337</v>
      </c>
      <c r="C4" t="s">
        <v>1299</v>
      </c>
      <c r="D4" t="s">
        <v>25</v>
      </c>
      <c r="E4" t="s">
        <v>1086</v>
      </c>
      <c r="F4" t="s">
        <v>151</v>
      </c>
      <c r="G4" s="99">
        <v>16567.8</v>
      </c>
      <c r="O4" s="17">
        <v>45739.735046296293</v>
      </c>
      <c r="P4" t="s">
        <v>1086</v>
      </c>
      <c r="Q4" s="6">
        <v>10001</v>
      </c>
    </row>
    <row r="5" spans="1:17" x14ac:dyDescent="0.25">
      <c r="A5" s="6">
        <v>10002</v>
      </c>
      <c r="B5" s="17">
        <v>45740.568842592591</v>
      </c>
      <c r="C5" t="s">
        <v>1458</v>
      </c>
      <c r="D5" t="s">
        <v>25</v>
      </c>
      <c r="F5" t="s">
        <v>151</v>
      </c>
      <c r="G5" s="99">
        <v>10</v>
      </c>
      <c r="O5" s="17">
        <v>45739.774618055555</v>
      </c>
      <c r="P5" t="s">
        <v>1086</v>
      </c>
      <c r="Q5" s="6">
        <v>10003</v>
      </c>
    </row>
    <row r="6" spans="1:17" x14ac:dyDescent="0.25">
      <c r="A6" s="6">
        <v>10003</v>
      </c>
      <c r="B6" s="17">
        <v>45740.569398148145</v>
      </c>
      <c r="C6" t="s">
        <v>1299</v>
      </c>
      <c r="D6" t="s">
        <v>25</v>
      </c>
      <c r="E6" t="s">
        <v>1086</v>
      </c>
      <c r="F6" t="s">
        <v>151</v>
      </c>
      <c r="G6" s="99">
        <v>8301.7000000000007</v>
      </c>
      <c r="O6" s="17">
        <v>45739.783946759257</v>
      </c>
      <c r="P6" t="s">
        <v>1086</v>
      </c>
      <c r="Q6" s="6">
        <v>10005</v>
      </c>
    </row>
    <row r="7" spans="1:17" x14ac:dyDescent="0.25">
      <c r="A7" s="6">
        <v>10004</v>
      </c>
      <c r="B7" s="17">
        <v>45740.569780092592</v>
      </c>
      <c r="C7" t="s">
        <v>1458</v>
      </c>
      <c r="D7" t="s">
        <v>25</v>
      </c>
      <c r="F7" t="s">
        <v>151</v>
      </c>
      <c r="G7" s="99">
        <v>16</v>
      </c>
      <c r="O7" s="17">
        <v>45739.813611111109</v>
      </c>
      <c r="P7" t="s">
        <v>1086</v>
      </c>
      <c r="Q7" s="6">
        <v>10006</v>
      </c>
    </row>
    <row r="8" spans="1:17" x14ac:dyDescent="0.25">
      <c r="A8" s="6">
        <v>10005</v>
      </c>
      <c r="B8" s="17">
        <v>45740.56994212963</v>
      </c>
      <c r="C8" t="s">
        <v>1299</v>
      </c>
      <c r="D8" t="s">
        <v>25</v>
      </c>
      <c r="E8" t="s">
        <v>1086</v>
      </c>
      <c r="F8" t="s">
        <v>151</v>
      </c>
      <c r="G8" s="99">
        <v>670</v>
      </c>
      <c r="O8" s="17">
        <v>45739.819097222222</v>
      </c>
      <c r="P8" t="s">
        <v>1086</v>
      </c>
      <c r="Q8" s="6">
        <v>10009</v>
      </c>
    </row>
    <row r="9" spans="1:17" x14ac:dyDescent="0.25">
      <c r="A9" s="6">
        <v>10006</v>
      </c>
      <c r="B9" s="17">
        <v>45740.570115740738</v>
      </c>
      <c r="C9" t="s">
        <v>1299</v>
      </c>
      <c r="D9" t="s">
        <v>25</v>
      </c>
      <c r="E9" t="s">
        <v>1086</v>
      </c>
      <c r="F9" t="s">
        <v>151</v>
      </c>
      <c r="G9" s="99">
        <v>3417.5</v>
      </c>
    </row>
    <row r="10" spans="1:17" x14ac:dyDescent="0.25">
      <c r="A10" s="6">
        <v>10007</v>
      </c>
      <c r="B10" s="17">
        <v>45740.570381944446</v>
      </c>
      <c r="C10" t="s">
        <v>1458</v>
      </c>
      <c r="D10" t="s">
        <v>25</v>
      </c>
      <c r="F10" t="s">
        <v>151</v>
      </c>
      <c r="G10" s="99">
        <v>60</v>
      </c>
    </row>
    <row r="11" spans="1:17" x14ac:dyDescent="0.25">
      <c r="A11" s="6">
        <v>10008</v>
      </c>
      <c r="B11" s="17">
        <v>45740.570625</v>
      </c>
      <c r="C11" t="s">
        <v>1458</v>
      </c>
      <c r="D11" t="s">
        <v>25</v>
      </c>
      <c r="F11" t="s">
        <v>151</v>
      </c>
      <c r="G11" s="99">
        <v>30</v>
      </c>
    </row>
    <row r="12" spans="1:17" x14ac:dyDescent="0.25">
      <c r="A12" s="6">
        <v>10009</v>
      </c>
      <c r="B12" s="17">
        <v>45740.570868055554</v>
      </c>
      <c r="C12" t="s">
        <v>1299</v>
      </c>
      <c r="D12" t="s">
        <v>25</v>
      </c>
      <c r="E12" t="s">
        <v>1086</v>
      </c>
      <c r="F12" t="s">
        <v>151</v>
      </c>
      <c r="G12" s="99">
        <v>245</v>
      </c>
    </row>
    <row r="13" spans="1:17" x14ac:dyDescent="0.25">
      <c r="A13" s="6">
        <v>10010</v>
      </c>
      <c r="B13" s="17">
        <v>45739.820381944446</v>
      </c>
      <c r="C13" t="s">
        <v>1458</v>
      </c>
      <c r="D13" t="s">
        <v>25</v>
      </c>
      <c r="F13" t="s">
        <v>151</v>
      </c>
      <c r="G13" s="99">
        <v>730</v>
      </c>
    </row>
    <row r="14" spans="1:17" x14ac:dyDescent="0.25">
      <c r="A14" s="6">
        <v>10011</v>
      </c>
      <c r="B14" s="17">
        <v>45739.82644675926</v>
      </c>
      <c r="C14" t="s">
        <v>1458</v>
      </c>
      <c r="D14" t="s">
        <v>25</v>
      </c>
      <c r="F14" t="s">
        <v>151</v>
      </c>
      <c r="G14" s="99">
        <v>35</v>
      </c>
    </row>
    <row r="15" spans="1:17" x14ac:dyDescent="0.25">
      <c r="A15" s="6">
        <v>10012</v>
      </c>
      <c r="B15" s="17">
        <v>45739.892777777779</v>
      </c>
      <c r="C15" t="s">
        <v>1458</v>
      </c>
      <c r="D15" t="s">
        <v>25</v>
      </c>
      <c r="F15" t="s">
        <v>151</v>
      </c>
      <c r="G15" s="99">
        <v>87</v>
      </c>
    </row>
    <row r="16" spans="1:17" x14ac:dyDescent="0.25">
      <c r="A16" s="6">
        <v>10013</v>
      </c>
      <c r="B16" s="17">
        <v>45739.901712962965</v>
      </c>
      <c r="C16" t="s">
        <v>1458</v>
      </c>
      <c r="D16" t="s">
        <v>25</v>
      </c>
      <c r="F16" t="s">
        <v>151</v>
      </c>
      <c r="G16" s="99">
        <v>8</v>
      </c>
    </row>
    <row r="17" spans="1:7" x14ac:dyDescent="0.25">
      <c r="A17" s="6">
        <v>10014</v>
      </c>
      <c r="B17" s="17">
        <v>45739.904606481483</v>
      </c>
      <c r="C17" t="s">
        <v>1458</v>
      </c>
      <c r="D17" t="s">
        <v>25</v>
      </c>
      <c r="F17" t="s">
        <v>151</v>
      </c>
      <c r="G17" s="99">
        <v>20</v>
      </c>
    </row>
    <row r="18" spans="1:7" x14ac:dyDescent="0.25">
      <c r="A18" s="6">
        <v>10015</v>
      </c>
      <c r="B18" s="17">
        <v>45739.912638888891</v>
      </c>
      <c r="C18" t="s">
        <v>1458</v>
      </c>
      <c r="D18" t="s">
        <v>25</v>
      </c>
      <c r="F18" t="s">
        <v>151</v>
      </c>
      <c r="G18" s="99">
        <v>10</v>
      </c>
    </row>
    <row r="19" spans="1:7" x14ac:dyDescent="0.25">
      <c r="A19" s="6">
        <v>10016</v>
      </c>
      <c r="B19" s="17">
        <v>45739.91951388889</v>
      </c>
      <c r="C19" t="s">
        <v>1458</v>
      </c>
      <c r="D19" t="s">
        <v>25</v>
      </c>
      <c r="F19" t="s">
        <v>151</v>
      </c>
      <c r="G19" s="99">
        <v>48</v>
      </c>
    </row>
    <row r="20" spans="1:7" x14ac:dyDescent="0.25">
      <c r="A20" s="6">
        <v>10017</v>
      </c>
      <c r="B20" s="17">
        <v>45739.932303240741</v>
      </c>
      <c r="C20" t="s">
        <v>1458</v>
      </c>
      <c r="D20" t="s">
        <v>25</v>
      </c>
      <c r="F20" t="s">
        <v>151</v>
      </c>
      <c r="G20" s="99">
        <v>60</v>
      </c>
    </row>
    <row r="21" spans="1:7" x14ac:dyDescent="0.25">
      <c r="A21" s="6">
        <v>10018</v>
      </c>
      <c r="B21" s="17">
        <v>45739.948680555557</v>
      </c>
      <c r="C21" t="s">
        <v>1458</v>
      </c>
      <c r="D21" t="s">
        <v>25</v>
      </c>
      <c r="F21" t="s">
        <v>151</v>
      </c>
      <c r="G21" s="99">
        <v>33</v>
      </c>
    </row>
    <row r="22" spans="1:7" x14ac:dyDescent="0.25">
      <c r="A22" s="6">
        <v>10019</v>
      </c>
      <c r="B22" s="17">
        <v>45739.954826388886</v>
      </c>
      <c r="C22" t="s">
        <v>1458</v>
      </c>
      <c r="D22" t="s">
        <v>25</v>
      </c>
      <c r="F22" t="s">
        <v>151</v>
      </c>
      <c r="G22" s="99">
        <v>25</v>
      </c>
    </row>
    <row r="23" spans="1:7" x14ac:dyDescent="0.25">
      <c r="A23" s="6">
        <v>10020</v>
      </c>
      <c r="B23" s="17">
        <v>45740.573865740742</v>
      </c>
      <c r="C23" t="s">
        <v>1299</v>
      </c>
      <c r="D23" t="s">
        <v>25</v>
      </c>
      <c r="E23" t="s">
        <v>1086</v>
      </c>
      <c r="F23" t="s">
        <v>151</v>
      </c>
      <c r="G23" s="99">
        <v>8065.6</v>
      </c>
    </row>
    <row r="24" spans="1:7" x14ac:dyDescent="0.25">
      <c r="A24" s="6">
        <v>10021</v>
      </c>
      <c r="B24" s="17">
        <v>45739.973182870373</v>
      </c>
      <c r="C24" t="s">
        <v>1458</v>
      </c>
      <c r="D24" t="s">
        <v>25</v>
      </c>
      <c r="F24" t="s">
        <v>151</v>
      </c>
      <c r="G24" s="99">
        <v>60</v>
      </c>
    </row>
    <row r="25" spans="1:7" x14ac:dyDescent="0.25">
      <c r="A25" s="6">
        <v>10022</v>
      </c>
      <c r="B25" s="17">
        <v>45740.574212962965</v>
      </c>
      <c r="C25" t="s">
        <v>1299</v>
      </c>
      <c r="D25" t="s">
        <v>25</v>
      </c>
      <c r="E25" t="s">
        <v>1086</v>
      </c>
      <c r="F25" t="s">
        <v>151</v>
      </c>
      <c r="G25" s="99">
        <v>696</v>
      </c>
    </row>
    <row r="26" spans="1:7" x14ac:dyDescent="0.25">
      <c r="A26" s="6">
        <v>10023</v>
      </c>
      <c r="B26" s="17">
        <v>45740.56653935185</v>
      </c>
      <c r="C26" t="s">
        <v>1299</v>
      </c>
      <c r="D26" t="s">
        <v>25</v>
      </c>
      <c r="E26" t="s">
        <v>1086</v>
      </c>
      <c r="F26" t="s">
        <v>151</v>
      </c>
      <c r="G26" s="99">
        <v>4812.5</v>
      </c>
    </row>
    <row r="27" spans="1:7" x14ac:dyDescent="0.25">
      <c r="A27" s="6">
        <v>10024</v>
      </c>
      <c r="B27" s="17">
        <v>45740.574374999997</v>
      </c>
      <c r="C27" t="s">
        <v>1458</v>
      </c>
      <c r="D27" t="s">
        <v>25</v>
      </c>
      <c r="F27" t="s">
        <v>151</v>
      </c>
      <c r="G27" s="99">
        <v>75</v>
      </c>
    </row>
    <row r="28" spans="1:7" x14ac:dyDescent="0.25">
      <c r="A28" s="6">
        <v>10025</v>
      </c>
      <c r="B28" s="17">
        <v>45740.53292824074</v>
      </c>
      <c r="C28" t="s">
        <v>1458</v>
      </c>
      <c r="D28" t="s">
        <v>25</v>
      </c>
      <c r="F28" t="s">
        <v>151</v>
      </c>
      <c r="G28" s="99">
        <v>73</v>
      </c>
    </row>
    <row r="29" spans="1:7" x14ac:dyDescent="0.25">
      <c r="A29" s="6">
        <v>10026</v>
      </c>
      <c r="B29" s="17">
        <v>45740.550011574072</v>
      </c>
      <c r="C29" t="s">
        <v>1458</v>
      </c>
      <c r="D29" t="s">
        <v>25</v>
      </c>
      <c r="F29" t="s">
        <v>151</v>
      </c>
      <c r="G29" s="99">
        <v>67</v>
      </c>
    </row>
    <row r="30" spans="1:7" x14ac:dyDescent="0.25">
      <c r="A30" s="6">
        <v>10027</v>
      </c>
      <c r="B30" s="17">
        <v>45740.574629629627</v>
      </c>
      <c r="C30" t="s">
        <v>1458</v>
      </c>
      <c r="D30" t="s">
        <v>25</v>
      </c>
      <c r="F30" t="s">
        <v>151</v>
      </c>
      <c r="G30" s="99">
        <v>328</v>
      </c>
    </row>
    <row r="31" spans="1:7" x14ac:dyDescent="0.25">
      <c r="A31" s="6">
        <v>10028</v>
      </c>
      <c r="B31" s="17">
        <v>45740.575844907406</v>
      </c>
      <c r="C31" t="s">
        <v>1458</v>
      </c>
      <c r="D31" t="s">
        <v>25</v>
      </c>
      <c r="F31" t="s">
        <v>151</v>
      </c>
      <c r="G31" s="99">
        <v>30</v>
      </c>
    </row>
    <row r="32" spans="1:7" x14ac:dyDescent="0.25">
      <c r="A32" s="6">
        <v>10029</v>
      </c>
      <c r="B32" s="17">
        <v>45740.586018518516</v>
      </c>
      <c r="C32" t="s">
        <v>1458</v>
      </c>
      <c r="D32" t="s">
        <v>25</v>
      </c>
      <c r="F32" t="s">
        <v>151</v>
      </c>
      <c r="G32" s="99">
        <v>45</v>
      </c>
    </row>
    <row r="33" spans="1:7" x14ac:dyDescent="0.25">
      <c r="A33" s="6">
        <v>10030</v>
      </c>
      <c r="B33" s="17">
        <v>45740.585879629631</v>
      </c>
      <c r="C33" t="s">
        <v>1299</v>
      </c>
      <c r="D33" t="s">
        <v>25</v>
      </c>
      <c r="F33" t="s">
        <v>151</v>
      </c>
      <c r="G33" s="99">
        <v>1194</v>
      </c>
    </row>
    <row r="34" spans="1:7" x14ac:dyDescent="0.25">
      <c r="A34" s="6">
        <v>10031</v>
      </c>
      <c r="B34" s="17">
        <v>45741.580555555556</v>
      </c>
      <c r="C34" t="s">
        <v>1458</v>
      </c>
      <c r="D34" t="s">
        <v>24</v>
      </c>
      <c r="E34" t="s">
        <v>1489</v>
      </c>
      <c r="F34" t="s">
        <v>151</v>
      </c>
      <c r="G34" s="99"/>
    </row>
    <row r="35" spans="1:7" x14ac:dyDescent="0.25">
      <c r="A35">
        <v>10032</v>
      </c>
      <c r="B35" s="17">
        <v>45740.623703703706</v>
      </c>
      <c r="C35" t="s">
        <v>1299</v>
      </c>
      <c r="D35" t="s">
        <v>25</v>
      </c>
      <c r="E35" t="s">
        <v>1086</v>
      </c>
      <c r="F35" t="s">
        <v>151</v>
      </c>
      <c r="G35" s="99">
        <v>3515.8850000000002</v>
      </c>
    </row>
    <row r="36" spans="1:7" x14ac:dyDescent="0.25">
      <c r="A36">
        <v>10033</v>
      </c>
      <c r="B36" s="17">
        <v>45740.61886574074</v>
      </c>
      <c r="C36" t="s">
        <v>1458</v>
      </c>
      <c r="D36" t="s">
        <v>25</v>
      </c>
      <c r="F36" t="s">
        <v>151</v>
      </c>
      <c r="G36" s="99">
        <v>117</v>
      </c>
    </row>
    <row r="37" spans="1:7" x14ac:dyDescent="0.25">
      <c r="A37">
        <v>10034</v>
      </c>
      <c r="B37" s="17">
        <v>45740.62059027778</v>
      </c>
      <c r="C37" t="s">
        <v>1458</v>
      </c>
      <c r="D37" t="s">
        <v>25</v>
      </c>
      <c r="F37" t="s">
        <v>151</v>
      </c>
      <c r="G37" s="99">
        <v>72</v>
      </c>
    </row>
    <row r="38" spans="1:7" x14ac:dyDescent="0.25">
      <c r="A38">
        <v>10035</v>
      </c>
      <c r="B38" s="17">
        <v>45741.580150462964</v>
      </c>
      <c r="C38" t="s">
        <v>1458</v>
      </c>
      <c r="D38" t="s">
        <v>24</v>
      </c>
      <c r="E38" t="s">
        <v>1488</v>
      </c>
      <c r="F38" t="s">
        <v>151</v>
      </c>
      <c r="G38" s="99"/>
    </row>
    <row r="39" spans="1:7" x14ac:dyDescent="0.25">
      <c r="A39">
        <v>10036</v>
      </c>
      <c r="B39" s="17">
        <v>45741.813831018517</v>
      </c>
      <c r="C39" t="s">
        <v>1458</v>
      </c>
      <c r="D39" t="s">
        <v>25</v>
      </c>
      <c r="E39" t="s">
        <v>1487</v>
      </c>
      <c r="F39" t="s">
        <v>151</v>
      </c>
      <c r="G39" s="99">
        <v>385</v>
      </c>
    </row>
    <row r="40" spans="1:7" x14ac:dyDescent="0.25">
      <c r="A40">
        <v>10037</v>
      </c>
      <c r="B40" s="17">
        <v>45740.748124999998</v>
      </c>
      <c r="C40" t="s">
        <v>1458</v>
      </c>
      <c r="D40" t="s">
        <v>25</v>
      </c>
      <c r="F40" t="s">
        <v>151</v>
      </c>
      <c r="G40" s="99">
        <v>60</v>
      </c>
    </row>
    <row r="41" spans="1:7" x14ac:dyDescent="0.25">
      <c r="A41">
        <v>10038</v>
      </c>
      <c r="B41" s="17">
        <v>45740.750324074077</v>
      </c>
      <c r="C41" t="s">
        <v>1458</v>
      </c>
      <c r="D41" t="s">
        <v>25</v>
      </c>
      <c r="F41" t="s">
        <v>151</v>
      </c>
      <c r="G41" s="99">
        <v>85</v>
      </c>
    </row>
    <row r="42" spans="1:7" x14ac:dyDescent="0.25">
      <c r="A42">
        <v>10039</v>
      </c>
      <c r="B42" s="17">
        <v>45741.580810185187</v>
      </c>
      <c r="C42" t="s">
        <v>1458</v>
      </c>
      <c r="D42" t="s">
        <v>24</v>
      </c>
      <c r="E42">
        <v>2145</v>
      </c>
      <c r="F42" t="s">
        <v>151</v>
      </c>
      <c r="G42" s="99"/>
    </row>
    <row r="43" spans="1:7" x14ac:dyDescent="0.25">
      <c r="A43">
        <v>10040</v>
      </c>
      <c r="B43" s="17">
        <v>45740.841666666667</v>
      </c>
      <c r="C43" t="s">
        <v>1458</v>
      </c>
      <c r="D43" t="s">
        <v>25</v>
      </c>
      <c r="F43" t="s">
        <v>151</v>
      </c>
      <c r="G43" s="99">
        <v>298.5</v>
      </c>
    </row>
    <row r="44" spans="1:7" x14ac:dyDescent="0.25">
      <c r="A44">
        <v>10041</v>
      </c>
      <c r="B44" s="17">
        <v>45740.865474537037</v>
      </c>
      <c r="C44" t="s">
        <v>1458</v>
      </c>
      <c r="D44" t="s">
        <v>25</v>
      </c>
      <c r="F44" t="s">
        <v>151</v>
      </c>
      <c r="G44" s="99">
        <v>136</v>
      </c>
    </row>
    <row r="45" spans="1:7" x14ac:dyDescent="0.25">
      <c r="A45">
        <v>10042</v>
      </c>
      <c r="B45" s="17">
        <v>45741.580937500003</v>
      </c>
      <c r="C45" t="s">
        <v>1299</v>
      </c>
      <c r="D45" t="s">
        <v>25</v>
      </c>
      <c r="F45" t="s">
        <v>151</v>
      </c>
      <c r="G45" s="99">
        <v>2240</v>
      </c>
    </row>
    <row r="46" spans="1:7" x14ac:dyDescent="0.25">
      <c r="A46">
        <v>10043</v>
      </c>
      <c r="B46" s="17">
        <v>45740.823240740741</v>
      </c>
      <c r="C46" t="s">
        <v>1458</v>
      </c>
      <c r="D46" t="s">
        <v>25</v>
      </c>
      <c r="F46" t="s">
        <v>151</v>
      </c>
      <c r="G46" s="99">
        <v>60</v>
      </c>
    </row>
    <row r="47" spans="1:7" x14ac:dyDescent="0.25">
      <c r="A47">
        <v>10044</v>
      </c>
      <c r="B47" s="17">
        <v>45740.865636574075</v>
      </c>
      <c r="C47" t="s">
        <v>1299</v>
      </c>
      <c r="D47" t="s">
        <v>25</v>
      </c>
      <c r="F47" t="s">
        <v>151</v>
      </c>
      <c r="G47" s="99">
        <v>1270</v>
      </c>
    </row>
    <row r="48" spans="1:7" x14ac:dyDescent="0.25">
      <c r="A48">
        <v>10045</v>
      </c>
      <c r="B48" s="17">
        <v>45740.84951388889</v>
      </c>
      <c r="C48" t="s">
        <v>1458</v>
      </c>
      <c r="D48" t="s">
        <v>25</v>
      </c>
      <c r="F48" t="s">
        <v>151</v>
      </c>
      <c r="G48" s="99">
        <v>20</v>
      </c>
    </row>
    <row r="49" spans="1:7" x14ac:dyDescent="0.25">
      <c r="A49">
        <v>10046</v>
      </c>
      <c r="B49" s="17">
        <v>45741.579004629632</v>
      </c>
      <c r="C49" t="s">
        <v>1299</v>
      </c>
      <c r="D49" t="s">
        <v>25</v>
      </c>
      <c r="F49" t="s">
        <v>151</v>
      </c>
      <c r="G49" s="99">
        <v>346</v>
      </c>
    </row>
    <row r="50" spans="1:7" x14ac:dyDescent="0.25">
      <c r="A50">
        <v>10047</v>
      </c>
      <c r="B50" s="17">
        <v>45741.577581018515</v>
      </c>
      <c r="C50" t="s">
        <v>1458</v>
      </c>
      <c r="D50" t="s">
        <v>24</v>
      </c>
      <c r="E50" t="s">
        <v>1484</v>
      </c>
      <c r="F50" t="s">
        <v>151</v>
      </c>
      <c r="G50" s="99"/>
    </row>
    <row r="51" spans="1:7" x14ac:dyDescent="0.25">
      <c r="A51">
        <v>10048</v>
      </c>
      <c r="B51" s="17">
        <v>45741.874583333331</v>
      </c>
      <c r="C51" t="s">
        <v>1458</v>
      </c>
      <c r="D51" t="s">
        <v>25</v>
      </c>
      <c r="E51" t="s">
        <v>1485</v>
      </c>
      <c r="F51" t="s">
        <v>151</v>
      </c>
      <c r="G51" s="99">
        <v>35</v>
      </c>
    </row>
    <row r="52" spans="1:7" x14ac:dyDescent="0.25">
      <c r="A52">
        <v>10049</v>
      </c>
      <c r="B52" s="17">
        <v>45740.861446759256</v>
      </c>
      <c r="C52" t="s">
        <v>1458</v>
      </c>
      <c r="D52" t="s">
        <v>25</v>
      </c>
      <c r="F52" t="s">
        <v>151</v>
      </c>
      <c r="G52" s="99">
        <v>42</v>
      </c>
    </row>
    <row r="53" spans="1:7" x14ac:dyDescent="0.25">
      <c r="A53">
        <v>10050</v>
      </c>
      <c r="B53" s="17">
        <v>45740.864699074074</v>
      </c>
      <c r="C53" t="s">
        <v>1458</v>
      </c>
      <c r="D53" t="s">
        <v>25</v>
      </c>
      <c r="F53" t="s">
        <v>151</v>
      </c>
      <c r="G53" s="99">
        <v>100</v>
      </c>
    </row>
    <row r="54" spans="1:7" x14ac:dyDescent="0.25">
      <c r="A54">
        <v>10051</v>
      </c>
      <c r="B54" s="17">
        <v>45740.891608796293</v>
      </c>
      <c r="C54" t="s">
        <v>1458</v>
      </c>
      <c r="D54" t="s">
        <v>25</v>
      </c>
      <c r="F54" t="s">
        <v>151</v>
      </c>
      <c r="G54" s="99">
        <v>171</v>
      </c>
    </row>
    <row r="55" spans="1:7" x14ac:dyDescent="0.25">
      <c r="A55">
        <v>10052</v>
      </c>
      <c r="B55" s="17">
        <v>45740.885277777779</v>
      </c>
      <c r="C55" t="s">
        <v>1458</v>
      </c>
      <c r="D55" t="s">
        <v>25</v>
      </c>
      <c r="F55" t="s">
        <v>151</v>
      </c>
      <c r="G55" s="99">
        <v>30</v>
      </c>
    </row>
    <row r="56" spans="1:7" x14ac:dyDescent="0.25">
      <c r="A56">
        <v>10053</v>
      </c>
      <c r="B56" s="17">
        <v>45740.88621527778</v>
      </c>
      <c r="C56" t="s">
        <v>1458</v>
      </c>
      <c r="D56" t="s">
        <v>1486</v>
      </c>
      <c r="F56" t="s">
        <v>151</v>
      </c>
      <c r="G56" s="99">
        <v>0</v>
      </c>
    </row>
    <row r="57" spans="1:7" x14ac:dyDescent="0.25">
      <c r="A57">
        <v>10054</v>
      </c>
      <c r="B57" s="17">
        <v>45740.890092592592</v>
      </c>
      <c r="C57" t="s">
        <v>1458</v>
      </c>
      <c r="D57" t="s">
        <v>25</v>
      </c>
      <c r="F57" t="s">
        <v>151</v>
      </c>
      <c r="G57" s="99">
        <v>85</v>
      </c>
    </row>
    <row r="58" spans="1:7" x14ac:dyDescent="0.25">
      <c r="A58">
        <v>10055</v>
      </c>
      <c r="B58" s="17">
        <v>45740.890347222223</v>
      </c>
      <c r="C58" t="s">
        <v>1299</v>
      </c>
      <c r="D58" t="s">
        <v>25</v>
      </c>
      <c r="F58" t="s">
        <v>151</v>
      </c>
      <c r="G58" s="99">
        <v>90</v>
      </c>
    </row>
    <row r="59" spans="1:7" x14ac:dyDescent="0.25">
      <c r="A59">
        <v>10056</v>
      </c>
      <c r="B59" s="17">
        <v>45741.578692129631</v>
      </c>
      <c r="C59" t="s">
        <v>1458</v>
      </c>
      <c r="D59" t="s">
        <v>24</v>
      </c>
      <c r="E59">
        <v>2145</v>
      </c>
      <c r="F59" t="s">
        <v>151</v>
      </c>
      <c r="G59" s="99"/>
    </row>
    <row r="60" spans="1:7" x14ac:dyDescent="0.25">
      <c r="A60">
        <v>10057</v>
      </c>
      <c r="B60" s="17">
        <v>45741.581620370373</v>
      </c>
      <c r="C60" t="s">
        <v>1458</v>
      </c>
      <c r="D60" t="s">
        <v>25</v>
      </c>
      <c r="F60" t="s">
        <v>151</v>
      </c>
      <c r="G60" s="99">
        <v>36</v>
      </c>
    </row>
    <row r="61" spans="1:7" x14ac:dyDescent="0.25">
      <c r="A61">
        <v>10058</v>
      </c>
      <c r="B61" s="17">
        <v>45744.577708333331</v>
      </c>
      <c r="C61" t="s">
        <v>1458</v>
      </c>
      <c r="D61" t="s">
        <v>25</v>
      </c>
      <c r="E61" t="s">
        <v>1490</v>
      </c>
      <c r="F61" t="s">
        <v>151</v>
      </c>
      <c r="G61" s="99">
        <v>9</v>
      </c>
    </row>
    <row r="62" spans="1:7" x14ac:dyDescent="0.25">
      <c r="A62">
        <v>10059</v>
      </c>
      <c r="B62" s="17">
        <v>45740.921365740738</v>
      </c>
      <c r="C62" t="s">
        <v>1299</v>
      </c>
      <c r="D62" t="s">
        <v>24</v>
      </c>
      <c r="F62" t="s">
        <v>151</v>
      </c>
      <c r="G62" s="99"/>
    </row>
    <row r="63" spans="1:7" x14ac:dyDescent="0.25">
      <c r="A63">
        <v>10060</v>
      </c>
      <c r="B63" s="17">
        <v>45740.923298611109</v>
      </c>
      <c r="C63" t="s">
        <v>1458</v>
      </c>
      <c r="D63" t="s">
        <v>25</v>
      </c>
      <c r="F63" t="s">
        <v>151</v>
      </c>
      <c r="G63" s="99">
        <v>165</v>
      </c>
    </row>
    <row r="64" spans="1:7" x14ac:dyDescent="0.25">
      <c r="A64">
        <v>10061</v>
      </c>
      <c r="B64" s="17">
        <v>45740.923506944448</v>
      </c>
      <c r="C64" t="s">
        <v>1458</v>
      </c>
      <c r="D64" t="s">
        <v>24</v>
      </c>
      <c r="F64" t="s">
        <v>151</v>
      </c>
      <c r="G64" s="99"/>
    </row>
    <row r="65" spans="1:7" x14ac:dyDescent="0.25">
      <c r="A65">
        <v>10062</v>
      </c>
      <c r="B65" s="17">
        <v>45740.93246527778</v>
      </c>
      <c r="C65" t="s">
        <v>1458</v>
      </c>
      <c r="D65" t="s">
        <v>25</v>
      </c>
      <c r="F65" t="s">
        <v>151</v>
      </c>
      <c r="G65" s="99">
        <v>70</v>
      </c>
    </row>
    <row r="66" spans="1:7" x14ac:dyDescent="0.25">
      <c r="A66">
        <v>10063</v>
      </c>
      <c r="B66" s="17">
        <v>45740.955833333333</v>
      </c>
      <c r="C66" t="s">
        <v>1458</v>
      </c>
      <c r="D66" t="s">
        <v>25</v>
      </c>
      <c r="F66" t="s">
        <v>151</v>
      </c>
      <c r="G66" s="99">
        <v>48</v>
      </c>
    </row>
    <row r="67" spans="1:7" x14ac:dyDescent="0.25">
      <c r="A67">
        <v>10064</v>
      </c>
      <c r="B67" s="17">
        <v>45741.55028935185</v>
      </c>
      <c r="C67" t="s">
        <v>1458</v>
      </c>
      <c r="D67" t="s">
        <v>24</v>
      </c>
      <c r="F67" t="s">
        <v>178</v>
      </c>
      <c r="G67" s="99"/>
    </row>
    <row r="68" spans="1:7" x14ac:dyDescent="0.25">
      <c r="A68">
        <v>10065</v>
      </c>
      <c r="B68" s="17">
        <v>45741.577152777776</v>
      </c>
      <c r="C68" t="s">
        <v>1458</v>
      </c>
      <c r="D68" t="s">
        <v>25</v>
      </c>
      <c r="F68" t="s">
        <v>178</v>
      </c>
      <c r="G68" s="99">
        <v>134</v>
      </c>
    </row>
    <row r="69" spans="1:7" x14ac:dyDescent="0.25">
      <c r="A69">
        <v>10066</v>
      </c>
      <c r="B69" s="17">
        <v>45741.559976851851</v>
      </c>
      <c r="C69" t="s">
        <v>1458</v>
      </c>
      <c r="D69" t="s">
        <v>25</v>
      </c>
      <c r="F69" t="s">
        <v>178</v>
      </c>
      <c r="G69" s="99">
        <v>25</v>
      </c>
    </row>
    <row r="70" spans="1:7" x14ac:dyDescent="0.25">
      <c r="A70">
        <v>10067</v>
      </c>
      <c r="B70" s="17">
        <v>45741.582106481481</v>
      </c>
      <c r="C70" t="s">
        <v>1458</v>
      </c>
      <c r="D70" t="s">
        <v>25</v>
      </c>
      <c r="F70" t="s">
        <v>178</v>
      </c>
      <c r="G70" s="99">
        <v>20</v>
      </c>
    </row>
    <row r="71" spans="1:7" x14ac:dyDescent="0.25">
      <c r="A71">
        <v>10068</v>
      </c>
      <c r="B71" s="17">
        <v>45741.582708333335</v>
      </c>
      <c r="C71" t="s">
        <v>1458</v>
      </c>
      <c r="D71" t="s">
        <v>25</v>
      </c>
      <c r="F71" t="s">
        <v>178</v>
      </c>
      <c r="G71" s="99">
        <v>40</v>
      </c>
    </row>
    <row r="72" spans="1:7" x14ac:dyDescent="0.25">
      <c r="A72">
        <v>10069</v>
      </c>
      <c r="B72" s="17">
        <v>45741.564074074071</v>
      </c>
      <c r="C72" t="s">
        <v>1458</v>
      </c>
      <c r="D72" t="s">
        <v>25</v>
      </c>
      <c r="F72" t="s">
        <v>178</v>
      </c>
      <c r="G72" s="99">
        <v>200</v>
      </c>
    </row>
    <row r="73" spans="1:7" x14ac:dyDescent="0.25">
      <c r="A73">
        <v>10070</v>
      </c>
      <c r="B73" s="17">
        <v>45741.570196759261</v>
      </c>
      <c r="C73" t="s">
        <v>1458</v>
      </c>
      <c r="D73" t="s">
        <v>24</v>
      </c>
      <c r="E73">
        <v>2145</v>
      </c>
      <c r="F73" t="s">
        <v>178</v>
      </c>
      <c r="G73" s="99"/>
    </row>
    <row r="74" spans="1:7" x14ac:dyDescent="0.25">
      <c r="A74">
        <v>10071</v>
      </c>
      <c r="B74" s="17">
        <v>45741.57267361111</v>
      </c>
      <c r="C74" t="s">
        <v>1458</v>
      </c>
      <c r="D74" t="s">
        <v>25</v>
      </c>
      <c r="F74" t="s">
        <v>178</v>
      </c>
      <c r="G74" s="99">
        <v>70</v>
      </c>
    </row>
    <row r="75" spans="1:7" x14ac:dyDescent="0.25">
      <c r="A75">
        <v>10072</v>
      </c>
      <c r="B75" s="17">
        <v>45741.576180555552</v>
      </c>
      <c r="C75" t="s">
        <v>1299</v>
      </c>
      <c r="D75" t="s">
        <v>25</v>
      </c>
      <c r="F75" t="s">
        <v>178</v>
      </c>
      <c r="G75" s="99">
        <v>840</v>
      </c>
    </row>
    <row r="76" spans="1:7" x14ac:dyDescent="0.25">
      <c r="A76">
        <v>10073</v>
      </c>
      <c r="B76" s="17">
        <v>45741.59579861111</v>
      </c>
      <c r="C76" t="s">
        <v>1458</v>
      </c>
      <c r="D76" t="s">
        <v>25</v>
      </c>
      <c r="F76" t="s">
        <v>151</v>
      </c>
      <c r="G76" s="99">
        <v>52</v>
      </c>
    </row>
    <row r="77" spans="1:7" x14ac:dyDescent="0.25">
      <c r="A77">
        <v>10074</v>
      </c>
      <c r="B77" s="17">
        <v>45741.606527777774</v>
      </c>
      <c r="C77" t="s">
        <v>1458</v>
      </c>
      <c r="D77" t="s">
        <v>25</v>
      </c>
      <c r="F77" t="s">
        <v>151</v>
      </c>
      <c r="G77" s="99">
        <v>12</v>
      </c>
    </row>
    <row r="78" spans="1:7" x14ac:dyDescent="0.25">
      <c r="A78">
        <v>10075</v>
      </c>
      <c r="B78" s="17">
        <v>45741.729571759257</v>
      </c>
      <c r="C78" t="s">
        <v>1458</v>
      </c>
      <c r="D78" t="s">
        <v>25</v>
      </c>
      <c r="F78" t="s">
        <v>151</v>
      </c>
      <c r="G78" s="99">
        <v>59</v>
      </c>
    </row>
    <row r="79" spans="1:7" x14ac:dyDescent="0.25">
      <c r="A79">
        <v>10076</v>
      </c>
      <c r="B79" s="17">
        <v>45741.737812500003</v>
      </c>
      <c r="C79" t="s">
        <v>1458</v>
      </c>
      <c r="D79" t="s">
        <v>25</v>
      </c>
      <c r="F79" t="s">
        <v>151</v>
      </c>
      <c r="G79" s="99">
        <v>45</v>
      </c>
    </row>
    <row r="80" spans="1:7" x14ac:dyDescent="0.25">
      <c r="A80">
        <v>10077</v>
      </c>
      <c r="B80" s="17">
        <v>45741.741030092591</v>
      </c>
      <c r="C80" t="s">
        <v>1458</v>
      </c>
      <c r="D80" t="s">
        <v>25</v>
      </c>
      <c r="F80" t="s">
        <v>151</v>
      </c>
      <c r="G80" s="99">
        <v>8</v>
      </c>
    </row>
    <row r="81" spans="1:7" x14ac:dyDescent="0.25">
      <c r="A81">
        <v>10078</v>
      </c>
      <c r="B81" s="17">
        <v>45741.742372685185</v>
      </c>
      <c r="C81" t="s">
        <v>1458</v>
      </c>
      <c r="D81" t="s">
        <v>25</v>
      </c>
      <c r="F81" t="s">
        <v>151</v>
      </c>
      <c r="G81" s="99">
        <v>50</v>
      </c>
    </row>
    <row r="82" spans="1:7" x14ac:dyDescent="0.25">
      <c r="A82">
        <v>10079</v>
      </c>
      <c r="B82" s="17">
        <v>45741.743506944447</v>
      </c>
      <c r="C82" t="s">
        <v>1458</v>
      </c>
      <c r="D82" t="s">
        <v>25</v>
      </c>
      <c r="F82" t="s">
        <v>151</v>
      </c>
      <c r="G82" s="99">
        <v>30</v>
      </c>
    </row>
    <row r="83" spans="1:7" x14ac:dyDescent="0.25">
      <c r="A83">
        <v>10080</v>
      </c>
      <c r="B83" s="17">
        <v>45741.744074074071</v>
      </c>
      <c r="C83" t="s">
        <v>1458</v>
      </c>
      <c r="D83" t="s">
        <v>25</v>
      </c>
      <c r="F83" t="s">
        <v>151</v>
      </c>
      <c r="G83" s="99">
        <v>20</v>
      </c>
    </row>
    <row r="84" spans="1:7" x14ac:dyDescent="0.25">
      <c r="A84">
        <v>10081</v>
      </c>
      <c r="B84" s="17">
        <v>45741.745972222219</v>
      </c>
      <c r="C84" t="s">
        <v>1458</v>
      </c>
      <c r="D84" t="s">
        <v>25</v>
      </c>
      <c r="F84" t="s">
        <v>151</v>
      </c>
      <c r="G84" s="99">
        <v>20</v>
      </c>
    </row>
    <row r="85" spans="1:7" x14ac:dyDescent="0.25">
      <c r="A85">
        <v>10082</v>
      </c>
      <c r="B85" s="17">
        <v>45741.74628472222</v>
      </c>
      <c r="C85" t="s">
        <v>1458</v>
      </c>
      <c r="D85" t="s">
        <v>25</v>
      </c>
      <c r="F85" t="s">
        <v>151</v>
      </c>
      <c r="G85" s="99">
        <v>38</v>
      </c>
    </row>
    <row r="86" spans="1:7" x14ac:dyDescent="0.25">
      <c r="A86">
        <v>10083</v>
      </c>
      <c r="B86" s="17">
        <v>45741.757291666669</v>
      </c>
      <c r="C86" t="s">
        <v>1458</v>
      </c>
      <c r="D86" t="s">
        <v>25</v>
      </c>
      <c r="F86" t="s">
        <v>151</v>
      </c>
      <c r="G86" s="99">
        <v>30</v>
      </c>
    </row>
    <row r="87" spans="1:7" x14ac:dyDescent="0.25">
      <c r="A87">
        <v>10084</v>
      </c>
      <c r="B87" s="17">
        <v>45741.758055555554</v>
      </c>
      <c r="C87" t="s">
        <v>1458</v>
      </c>
      <c r="D87" t="s">
        <v>25</v>
      </c>
      <c r="F87" t="s">
        <v>151</v>
      </c>
      <c r="G87" s="99">
        <v>40</v>
      </c>
    </row>
    <row r="88" spans="1:7" x14ac:dyDescent="0.25">
      <c r="A88">
        <v>10085</v>
      </c>
      <c r="B88" s="17">
        <v>45741.760729166665</v>
      </c>
      <c r="C88" t="s">
        <v>1458</v>
      </c>
      <c r="D88" t="s">
        <v>25</v>
      </c>
      <c r="F88" t="s">
        <v>151</v>
      </c>
      <c r="G88" s="99">
        <v>56</v>
      </c>
    </row>
    <row r="89" spans="1:7" x14ac:dyDescent="0.25">
      <c r="A89">
        <v>10086</v>
      </c>
      <c r="B89" s="17">
        <v>45741.764166666668</v>
      </c>
      <c r="C89" t="s">
        <v>1458</v>
      </c>
      <c r="D89" t="s">
        <v>25</v>
      </c>
      <c r="F89" t="s">
        <v>151</v>
      </c>
      <c r="G89" s="99">
        <v>162</v>
      </c>
    </row>
    <row r="90" spans="1:7" x14ac:dyDescent="0.25">
      <c r="A90">
        <v>10087</v>
      </c>
      <c r="B90" s="17">
        <v>45741.764386574076</v>
      </c>
      <c r="C90" t="s">
        <v>1458</v>
      </c>
      <c r="D90" t="s">
        <v>24</v>
      </c>
      <c r="E90">
        <v>2145</v>
      </c>
      <c r="F90" t="s">
        <v>151</v>
      </c>
      <c r="G90" s="99"/>
    </row>
    <row r="91" spans="1:7" x14ac:dyDescent="0.25">
      <c r="A91">
        <v>10088</v>
      </c>
      <c r="B91" s="17">
        <v>45741.872812499998</v>
      </c>
      <c r="C91" t="s">
        <v>1299</v>
      </c>
      <c r="D91" t="s">
        <v>25</v>
      </c>
      <c r="E91" t="s">
        <v>1506</v>
      </c>
      <c r="F91" t="s">
        <v>151</v>
      </c>
      <c r="G91" s="99">
        <v>9335.7999999999993</v>
      </c>
    </row>
    <row r="92" spans="1:7" x14ac:dyDescent="0.25">
      <c r="A92">
        <v>10089</v>
      </c>
      <c r="B92" s="17">
        <v>45741.776145833333</v>
      </c>
      <c r="C92" t="s">
        <v>1458</v>
      </c>
      <c r="D92" t="s">
        <v>25</v>
      </c>
      <c r="F92" t="s">
        <v>151</v>
      </c>
      <c r="G92" s="99">
        <v>20</v>
      </c>
    </row>
    <row r="93" spans="1:7" x14ac:dyDescent="0.25">
      <c r="A93">
        <v>10090</v>
      </c>
      <c r="B93" s="17">
        <v>45741.782060185185</v>
      </c>
      <c r="C93" t="s">
        <v>1458</v>
      </c>
      <c r="D93" t="s">
        <v>24</v>
      </c>
      <c r="F93" t="s">
        <v>151</v>
      </c>
      <c r="G93" s="99"/>
    </row>
    <row r="94" spans="1:7" x14ac:dyDescent="0.25">
      <c r="A94">
        <v>10091</v>
      </c>
      <c r="B94" s="17">
        <v>45741.784513888888</v>
      </c>
      <c r="C94" t="s">
        <v>1458</v>
      </c>
      <c r="D94" t="s">
        <v>24</v>
      </c>
      <c r="F94" t="s">
        <v>151</v>
      </c>
      <c r="G94" s="99"/>
    </row>
    <row r="95" spans="1:7" x14ac:dyDescent="0.25">
      <c r="A95">
        <v>10092</v>
      </c>
      <c r="B95" s="17">
        <v>45741.78496527778</v>
      </c>
      <c r="C95" t="s">
        <v>1458</v>
      </c>
      <c r="D95" t="s">
        <v>25</v>
      </c>
      <c r="E95" t="s">
        <v>1502</v>
      </c>
      <c r="F95" t="s">
        <v>151</v>
      </c>
      <c r="G95" s="99">
        <v>30</v>
      </c>
    </row>
    <row r="96" spans="1:7" x14ac:dyDescent="0.25">
      <c r="A96">
        <v>10093</v>
      </c>
      <c r="B96" s="17">
        <v>45741.786504629628</v>
      </c>
      <c r="C96" t="s">
        <v>1458</v>
      </c>
      <c r="D96" t="s">
        <v>25</v>
      </c>
      <c r="F96" t="s">
        <v>151</v>
      </c>
      <c r="G96" s="99">
        <v>50</v>
      </c>
    </row>
    <row r="97" spans="1:7" x14ac:dyDescent="0.25">
      <c r="A97">
        <v>10094</v>
      </c>
      <c r="B97" s="17">
        <v>45741.792754629627</v>
      </c>
      <c r="C97" t="s">
        <v>1458</v>
      </c>
      <c r="D97" t="s">
        <v>25</v>
      </c>
      <c r="F97" t="s">
        <v>151</v>
      </c>
      <c r="G97" s="99">
        <v>80</v>
      </c>
    </row>
    <row r="98" spans="1:7" x14ac:dyDescent="0.25">
      <c r="A98">
        <v>10095</v>
      </c>
      <c r="B98" s="17">
        <v>45741.799629629626</v>
      </c>
      <c r="C98" t="s">
        <v>1458</v>
      </c>
      <c r="D98" t="s">
        <v>24</v>
      </c>
      <c r="E98" t="s">
        <v>1484</v>
      </c>
      <c r="F98" t="s">
        <v>151</v>
      </c>
      <c r="G98" s="99"/>
    </row>
    <row r="99" spans="1:7" x14ac:dyDescent="0.25">
      <c r="A99">
        <v>10096</v>
      </c>
      <c r="B99" s="17">
        <v>45741.804745370369</v>
      </c>
      <c r="C99" t="s">
        <v>1458</v>
      </c>
      <c r="D99" t="s">
        <v>25</v>
      </c>
      <c r="F99" t="s">
        <v>151</v>
      </c>
      <c r="G99" s="99">
        <v>80</v>
      </c>
    </row>
    <row r="100" spans="1:7" x14ac:dyDescent="0.25">
      <c r="A100">
        <v>10097</v>
      </c>
      <c r="B100" s="17">
        <v>45741.810069444444</v>
      </c>
      <c r="C100" t="s">
        <v>1458</v>
      </c>
      <c r="D100" t="s">
        <v>24</v>
      </c>
      <c r="E100" t="s">
        <v>1489</v>
      </c>
      <c r="F100" t="s">
        <v>151</v>
      </c>
      <c r="G100" s="99"/>
    </row>
    <row r="101" spans="1:7" x14ac:dyDescent="0.25">
      <c r="A101">
        <v>10098</v>
      </c>
      <c r="B101" s="17">
        <v>45741.813576388886</v>
      </c>
      <c r="C101" t="s">
        <v>1458</v>
      </c>
      <c r="D101" t="s">
        <v>25</v>
      </c>
      <c r="F101" t="s">
        <v>151</v>
      </c>
      <c r="G101" s="99">
        <v>55</v>
      </c>
    </row>
    <row r="102" spans="1:7" x14ac:dyDescent="0.25">
      <c r="A102">
        <v>10099</v>
      </c>
      <c r="B102" s="17">
        <v>45741.818877314814</v>
      </c>
      <c r="C102" t="s">
        <v>1458</v>
      </c>
      <c r="D102" t="s">
        <v>25</v>
      </c>
      <c r="F102" t="s">
        <v>151</v>
      </c>
      <c r="G102" s="99">
        <v>30</v>
      </c>
    </row>
    <row r="103" spans="1:7" x14ac:dyDescent="0.25">
      <c r="A103">
        <v>10100</v>
      </c>
      <c r="B103" s="17">
        <v>45741.819953703707</v>
      </c>
      <c r="C103" t="s">
        <v>1458</v>
      </c>
      <c r="D103" t="s">
        <v>25</v>
      </c>
      <c r="F103" t="s">
        <v>151</v>
      </c>
      <c r="G103" s="99">
        <v>61</v>
      </c>
    </row>
    <row r="104" spans="1:7" x14ac:dyDescent="0.25">
      <c r="A104">
        <v>10101</v>
      </c>
      <c r="B104" s="17">
        <v>45741.859224537038</v>
      </c>
      <c r="C104" t="s">
        <v>1458</v>
      </c>
      <c r="D104" t="s">
        <v>25</v>
      </c>
      <c r="F104" t="s">
        <v>151</v>
      </c>
      <c r="G104" s="99">
        <v>30</v>
      </c>
    </row>
    <row r="105" spans="1:7" x14ac:dyDescent="0.25">
      <c r="A105">
        <v>10102</v>
      </c>
      <c r="B105" s="17">
        <v>45741.874212962961</v>
      </c>
      <c r="C105" t="s">
        <v>1458</v>
      </c>
      <c r="D105" t="s">
        <v>25</v>
      </c>
      <c r="F105" t="s">
        <v>151</v>
      </c>
      <c r="G105" s="99">
        <v>289</v>
      </c>
    </row>
    <row r="106" spans="1:7" x14ac:dyDescent="0.25">
      <c r="A106">
        <v>10103</v>
      </c>
      <c r="B106" s="17">
        <v>45741.875173611108</v>
      </c>
      <c r="C106" t="s">
        <v>1458</v>
      </c>
      <c r="D106" t="s">
        <v>24</v>
      </c>
      <c r="E106">
        <v>2145</v>
      </c>
      <c r="F106" t="s">
        <v>151</v>
      </c>
      <c r="G106" s="99"/>
    </row>
    <row r="107" spans="1:7" x14ac:dyDescent="0.25">
      <c r="A107">
        <v>10104</v>
      </c>
      <c r="B107" s="17">
        <v>45741.878217592595</v>
      </c>
      <c r="C107" t="s">
        <v>1458</v>
      </c>
      <c r="D107" t="s">
        <v>24</v>
      </c>
      <c r="E107">
        <v>2145</v>
      </c>
      <c r="F107" t="s">
        <v>151</v>
      </c>
      <c r="G107" s="99"/>
    </row>
    <row r="108" spans="1:7" x14ac:dyDescent="0.25">
      <c r="A108">
        <v>10105</v>
      </c>
      <c r="B108" s="17">
        <v>45741.893194444441</v>
      </c>
      <c r="C108" t="s">
        <v>1458</v>
      </c>
      <c r="D108" t="s">
        <v>25</v>
      </c>
      <c r="F108" t="s">
        <v>151</v>
      </c>
      <c r="G108" s="99">
        <v>42</v>
      </c>
    </row>
    <row r="109" spans="1:7" x14ac:dyDescent="0.25">
      <c r="A109">
        <v>10106</v>
      </c>
      <c r="B109" s="17">
        <v>45741.895219907405</v>
      </c>
      <c r="C109" t="s">
        <v>1299</v>
      </c>
      <c r="D109" t="s">
        <v>24</v>
      </c>
      <c r="F109" t="s">
        <v>151</v>
      </c>
      <c r="G109" s="99"/>
    </row>
    <row r="110" spans="1:7" x14ac:dyDescent="0.25">
      <c r="A110">
        <v>10107</v>
      </c>
      <c r="B110" s="17">
        <v>45741.909328703703</v>
      </c>
      <c r="C110" t="s">
        <v>1458</v>
      </c>
      <c r="D110" t="s">
        <v>24</v>
      </c>
      <c r="E110" t="s">
        <v>1488</v>
      </c>
      <c r="F110" t="s">
        <v>151</v>
      </c>
      <c r="G110" s="99"/>
    </row>
    <row r="111" spans="1:7" x14ac:dyDescent="0.25">
      <c r="A111">
        <v>10108</v>
      </c>
      <c r="B111" s="17">
        <v>45741.914641203701</v>
      </c>
      <c r="C111" t="s">
        <v>1458</v>
      </c>
      <c r="D111" t="s">
        <v>25</v>
      </c>
      <c r="F111" t="s">
        <v>151</v>
      </c>
      <c r="G111" s="99">
        <v>20</v>
      </c>
    </row>
    <row r="112" spans="1:7" x14ac:dyDescent="0.25">
      <c r="A112">
        <v>10109</v>
      </c>
      <c r="B112" s="17">
        <v>45741.914189814815</v>
      </c>
      <c r="C112" t="s">
        <v>1458</v>
      </c>
      <c r="D112" t="s">
        <v>24</v>
      </c>
      <c r="F112" t="s">
        <v>151</v>
      </c>
      <c r="G112" s="99"/>
    </row>
    <row r="113" spans="1:7" x14ac:dyDescent="0.25">
      <c r="A113">
        <v>10110</v>
      </c>
      <c r="B113" s="17">
        <v>45741.916458333333</v>
      </c>
      <c r="C113" t="s">
        <v>1458</v>
      </c>
      <c r="D113" t="s">
        <v>25</v>
      </c>
      <c r="F113" t="s">
        <v>151</v>
      </c>
      <c r="G113" s="99">
        <v>39</v>
      </c>
    </row>
    <row r="114" spans="1:7" x14ac:dyDescent="0.25">
      <c r="A114">
        <v>10111</v>
      </c>
      <c r="B114" s="17">
        <v>45741.920787037037</v>
      </c>
      <c r="C114" t="s">
        <v>1458</v>
      </c>
      <c r="D114" t="s">
        <v>25</v>
      </c>
      <c r="F114" t="s">
        <v>151</v>
      </c>
      <c r="G114" s="99">
        <v>60</v>
      </c>
    </row>
    <row r="115" spans="1:7" x14ac:dyDescent="0.25">
      <c r="A115">
        <v>10112</v>
      </c>
      <c r="B115" s="17">
        <v>45742.518368055556</v>
      </c>
      <c r="C115" t="s">
        <v>1299</v>
      </c>
      <c r="D115" t="s">
        <v>25</v>
      </c>
      <c r="F115" t="s">
        <v>151</v>
      </c>
      <c r="G115" s="99">
        <v>670</v>
      </c>
    </row>
    <row r="116" spans="1:7" x14ac:dyDescent="0.25">
      <c r="A116">
        <v>10113</v>
      </c>
      <c r="B116" s="17">
        <v>45742.526250000003</v>
      </c>
      <c r="C116" t="s">
        <v>1458</v>
      </c>
      <c r="D116" t="s">
        <v>25</v>
      </c>
      <c r="F116" t="s">
        <v>151</v>
      </c>
      <c r="G116" s="99">
        <v>40</v>
      </c>
    </row>
    <row r="117" spans="1:7" x14ac:dyDescent="0.25">
      <c r="A117">
        <v>10114</v>
      </c>
      <c r="B117" s="17">
        <v>45742.527592592596</v>
      </c>
      <c r="C117" t="s">
        <v>1458</v>
      </c>
      <c r="D117" t="s">
        <v>25</v>
      </c>
      <c r="F117" t="s">
        <v>151</v>
      </c>
      <c r="G117" s="99">
        <v>10</v>
      </c>
    </row>
    <row r="118" spans="1:7" x14ac:dyDescent="0.25">
      <c r="A118">
        <v>10115</v>
      </c>
      <c r="B118" s="17">
        <v>45742.5309375</v>
      </c>
      <c r="C118" t="s">
        <v>1299</v>
      </c>
      <c r="D118" t="s">
        <v>25</v>
      </c>
      <c r="F118" t="s">
        <v>151</v>
      </c>
      <c r="G118" s="99">
        <v>360</v>
      </c>
    </row>
    <row r="119" spans="1:7" x14ac:dyDescent="0.25">
      <c r="A119">
        <v>10116</v>
      </c>
      <c r="B119" s="17">
        <v>45742.548090277778</v>
      </c>
      <c r="C119" t="s">
        <v>1458</v>
      </c>
      <c r="D119" t="s">
        <v>25</v>
      </c>
      <c r="F119" t="s">
        <v>151</v>
      </c>
      <c r="G119" s="99">
        <v>1</v>
      </c>
    </row>
    <row r="120" spans="1:7" x14ac:dyDescent="0.25">
      <c r="A120">
        <v>10117</v>
      </c>
      <c r="B120" s="17">
        <v>45742.551435185182</v>
      </c>
      <c r="C120" t="s">
        <v>1458</v>
      </c>
      <c r="D120" t="s">
        <v>25</v>
      </c>
      <c r="F120" t="s">
        <v>151</v>
      </c>
      <c r="G120" s="99">
        <v>20</v>
      </c>
    </row>
    <row r="121" spans="1:7" x14ac:dyDescent="0.25">
      <c r="A121">
        <v>10118</v>
      </c>
      <c r="B121" s="17">
        <v>45742.567824074074</v>
      </c>
      <c r="C121" t="s">
        <v>1458</v>
      </c>
      <c r="D121" t="s">
        <v>24</v>
      </c>
      <c r="E121" t="s">
        <v>1513</v>
      </c>
      <c r="F121" t="s">
        <v>151</v>
      </c>
      <c r="G121" s="99"/>
    </row>
    <row r="122" spans="1:7" x14ac:dyDescent="0.25">
      <c r="A122">
        <v>10119</v>
      </c>
      <c r="B122" s="17">
        <v>45742.689305555556</v>
      </c>
      <c r="C122" t="s">
        <v>1458</v>
      </c>
      <c r="D122" t="s">
        <v>24</v>
      </c>
      <c r="E122" t="s">
        <v>1514</v>
      </c>
      <c r="F122" t="s">
        <v>151</v>
      </c>
      <c r="G122" s="99"/>
    </row>
    <row r="123" spans="1:7" x14ac:dyDescent="0.25">
      <c r="A123">
        <v>10120</v>
      </c>
      <c r="B123" s="17">
        <v>45742.689710648148</v>
      </c>
      <c r="C123" t="s">
        <v>1458</v>
      </c>
      <c r="D123" t="s">
        <v>25</v>
      </c>
      <c r="F123" t="s">
        <v>151</v>
      </c>
      <c r="G123" s="99">
        <v>20</v>
      </c>
    </row>
    <row r="124" spans="1:7" x14ac:dyDescent="0.25">
      <c r="A124">
        <v>10121</v>
      </c>
      <c r="B124" s="17">
        <v>45742.690601851849</v>
      </c>
      <c r="C124" t="s">
        <v>1458</v>
      </c>
      <c r="D124" t="s">
        <v>25</v>
      </c>
      <c r="F124" t="s">
        <v>151</v>
      </c>
      <c r="G124" s="99">
        <v>10</v>
      </c>
    </row>
    <row r="125" spans="1:7" x14ac:dyDescent="0.25">
      <c r="A125">
        <v>10122</v>
      </c>
      <c r="B125" s="17">
        <v>45742.708020833335</v>
      </c>
      <c r="C125" t="s">
        <v>1458</v>
      </c>
      <c r="D125" t="s">
        <v>24</v>
      </c>
      <c r="E125">
        <v>2145</v>
      </c>
      <c r="F125" t="s">
        <v>151</v>
      </c>
      <c r="G125" s="99"/>
    </row>
    <row r="126" spans="1:7" x14ac:dyDescent="0.25">
      <c r="A126">
        <v>10123</v>
      </c>
      <c r="B126" s="17">
        <v>45742.710289351853</v>
      </c>
      <c r="C126" t="s">
        <v>1458</v>
      </c>
      <c r="D126" t="s">
        <v>25</v>
      </c>
      <c r="F126" t="s">
        <v>151</v>
      </c>
      <c r="G126" s="99">
        <v>10</v>
      </c>
    </row>
    <row r="127" spans="1:7" x14ac:dyDescent="0.25">
      <c r="A127">
        <v>10124</v>
      </c>
      <c r="B127" s="17">
        <v>45742.710474537038</v>
      </c>
      <c r="C127" t="s">
        <v>1458</v>
      </c>
      <c r="D127" t="s">
        <v>25</v>
      </c>
      <c r="F127" t="s">
        <v>151</v>
      </c>
      <c r="G127" s="99">
        <v>3</v>
      </c>
    </row>
    <row r="128" spans="1:7" x14ac:dyDescent="0.25">
      <c r="A128">
        <v>10125</v>
      </c>
      <c r="B128" s="17">
        <v>45742.736840277779</v>
      </c>
      <c r="C128" t="s">
        <v>1458</v>
      </c>
      <c r="D128" t="s">
        <v>25</v>
      </c>
      <c r="F128" t="s">
        <v>151</v>
      </c>
      <c r="G128" s="99">
        <v>150</v>
      </c>
    </row>
    <row r="129" spans="1:7" x14ac:dyDescent="0.25">
      <c r="A129">
        <v>10126</v>
      </c>
      <c r="B129" s="17">
        <v>45742.73704861111</v>
      </c>
      <c r="C129" t="s">
        <v>1458</v>
      </c>
      <c r="D129" t="s">
        <v>25</v>
      </c>
      <c r="F129" t="s">
        <v>151</v>
      </c>
      <c r="G129" s="99">
        <v>15</v>
      </c>
    </row>
    <row r="130" spans="1:7" x14ac:dyDescent="0.25">
      <c r="A130">
        <v>10127</v>
      </c>
      <c r="B130" s="17">
        <v>45742.741226851853</v>
      </c>
      <c r="C130" t="s">
        <v>1458</v>
      </c>
      <c r="D130" t="s">
        <v>25</v>
      </c>
      <c r="F130" t="s">
        <v>151</v>
      </c>
      <c r="G130" s="99">
        <v>105</v>
      </c>
    </row>
    <row r="131" spans="1:7" x14ac:dyDescent="0.25">
      <c r="A131">
        <v>10128</v>
      </c>
      <c r="B131" s="17">
        <v>45742.743541666663</v>
      </c>
      <c r="C131" t="s">
        <v>1458</v>
      </c>
      <c r="D131" t="s">
        <v>25</v>
      </c>
      <c r="F131" t="s">
        <v>151</v>
      </c>
      <c r="G131" s="99">
        <v>5</v>
      </c>
    </row>
    <row r="132" spans="1:7" x14ac:dyDescent="0.25">
      <c r="A132">
        <v>10129</v>
      </c>
      <c r="B132" s="17">
        <v>45742.755428240744</v>
      </c>
      <c r="C132" t="s">
        <v>1458</v>
      </c>
      <c r="D132" t="s">
        <v>25</v>
      </c>
      <c r="F132" t="s">
        <v>151</v>
      </c>
      <c r="G132" s="99">
        <v>70</v>
      </c>
    </row>
    <row r="133" spans="1:7" x14ac:dyDescent="0.25">
      <c r="A133">
        <v>10130</v>
      </c>
      <c r="B133" s="17">
        <v>45742.759039351855</v>
      </c>
      <c r="C133" t="s">
        <v>1458</v>
      </c>
      <c r="D133" t="s">
        <v>25</v>
      </c>
      <c r="F133" t="s">
        <v>151</v>
      </c>
      <c r="G133" s="99">
        <v>48</v>
      </c>
    </row>
    <row r="134" spans="1:7" x14ac:dyDescent="0.25">
      <c r="A134">
        <v>10131</v>
      </c>
      <c r="B134" s="17">
        <v>45742.762731481482</v>
      </c>
      <c r="C134" t="s">
        <v>1458</v>
      </c>
      <c r="D134" t="s">
        <v>25</v>
      </c>
      <c r="F134" t="s">
        <v>151</v>
      </c>
      <c r="G134" s="99">
        <v>55</v>
      </c>
    </row>
    <row r="135" spans="1:7" x14ac:dyDescent="0.25">
      <c r="A135">
        <v>10132</v>
      </c>
      <c r="B135" s="17">
        <v>45742.764340277776</v>
      </c>
      <c r="C135" t="s">
        <v>1458</v>
      </c>
      <c r="D135" t="s">
        <v>25</v>
      </c>
      <c r="F135" t="s">
        <v>151</v>
      </c>
      <c r="G135" s="99">
        <v>5</v>
      </c>
    </row>
    <row r="136" spans="1:7" x14ac:dyDescent="0.25">
      <c r="A136">
        <v>10133</v>
      </c>
      <c r="B136" s="17">
        <v>45742.766840277778</v>
      </c>
      <c r="C136" t="s">
        <v>1458</v>
      </c>
      <c r="D136" t="s">
        <v>25</v>
      </c>
      <c r="F136" t="s">
        <v>151</v>
      </c>
      <c r="G136" s="99">
        <v>50</v>
      </c>
    </row>
    <row r="137" spans="1:7" x14ac:dyDescent="0.25">
      <c r="A137">
        <v>10134</v>
      </c>
      <c r="B137" s="17">
        <v>45742.784756944442</v>
      </c>
      <c r="C137" t="s">
        <v>1458</v>
      </c>
      <c r="D137" t="s">
        <v>24</v>
      </c>
      <c r="E137" t="s">
        <v>1488</v>
      </c>
      <c r="F137" t="s">
        <v>151</v>
      </c>
      <c r="G137" s="99"/>
    </row>
    <row r="138" spans="1:7" x14ac:dyDescent="0.25">
      <c r="A138">
        <v>10135</v>
      </c>
      <c r="B138" s="17">
        <v>45742.784444444442</v>
      </c>
      <c r="C138" t="s">
        <v>1458</v>
      </c>
      <c r="D138" t="s">
        <v>24</v>
      </c>
      <c r="E138" t="s">
        <v>1515</v>
      </c>
      <c r="F138" t="s">
        <v>151</v>
      </c>
      <c r="G138" s="99"/>
    </row>
    <row r="139" spans="1:7" x14ac:dyDescent="0.25">
      <c r="A139">
        <v>10136</v>
      </c>
      <c r="B139" s="17">
        <v>45742.785729166666</v>
      </c>
      <c r="C139" t="s">
        <v>1458</v>
      </c>
      <c r="D139" t="s">
        <v>24</v>
      </c>
      <c r="E139">
        <v>2145</v>
      </c>
      <c r="F139" t="s">
        <v>151</v>
      </c>
      <c r="G139" s="99"/>
    </row>
    <row r="140" spans="1:7" x14ac:dyDescent="0.25">
      <c r="A140">
        <v>10137</v>
      </c>
      <c r="B140" s="17">
        <v>45742.78628472222</v>
      </c>
      <c r="C140" t="s">
        <v>1458</v>
      </c>
      <c r="D140" t="s">
        <v>24</v>
      </c>
      <c r="E140" t="s">
        <v>1516</v>
      </c>
      <c r="F140" t="s">
        <v>151</v>
      </c>
      <c r="G140" s="99"/>
    </row>
    <row r="141" spans="1:7" x14ac:dyDescent="0.25">
      <c r="A141">
        <v>10138</v>
      </c>
      <c r="B141" s="17">
        <v>45742.796296296299</v>
      </c>
      <c r="C141" t="s">
        <v>1458</v>
      </c>
      <c r="D141" t="s">
        <v>25</v>
      </c>
      <c r="F141" t="s">
        <v>151</v>
      </c>
      <c r="G141" s="99">
        <v>150</v>
      </c>
    </row>
    <row r="142" spans="1:7" x14ac:dyDescent="0.25">
      <c r="A142">
        <v>10139</v>
      </c>
      <c r="B142" s="17">
        <v>45742.799293981479</v>
      </c>
      <c r="C142" t="s">
        <v>1458</v>
      </c>
      <c r="D142" t="s">
        <v>25</v>
      </c>
      <c r="F142" t="s">
        <v>151</v>
      </c>
      <c r="G142" s="99">
        <v>25</v>
      </c>
    </row>
    <row r="143" spans="1:7" x14ac:dyDescent="0.25">
      <c r="A143">
        <v>10140</v>
      </c>
      <c r="B143" s="17">
        <v>45742.803182870368</v>
      </c>
      <c r="C143" t="s">
        <v>1458</v>
      </c>
      <c r="D143" t="s">
        <v>25</v>
      </c>
      <c r="F143" t="s">
        <v>151</v>
      </c>
      <c r="G143" s="99">
        <v>45</v>
      </c>
    </row>
    <row r="144" spans="1:7" x14ac:dyDescent="0.25">
      <c r="A144">
        <v>10141</v>
      </c>
      <c r="B144" s="17">
        <v>45742.804270833331</v>
      </c>
      <c r="C144" t="s">
        <v>1458</v>
      </c>
      <c r="D144" t="s">
        <v>25</v>
      </c>
      <c r="F144" t="s">
        <v>151</v>
      </c>
      <c r="G144" s="99">
        <v>46</v>
      </c>
    </row>
    <row r="145" spans="1:7" x14ac:dyDescent="0.25">
      <c r="A145">
        <v>10142</v>
      </c>
      <c r="B145" s="17">
        <v>45742.810902777775</v>
      </c>
      <c r="C145" t="s">
        <v>1458</v>
      </c>
      <c r="D145" t="s">
        <v>25</v>
      </c>
      <c r="F145" t="s">
        <v>151</v>
      </c>
      <c r="G145" s="99">
        <v>110</v>
      </c>
    </row>
    <row r="146" spans="1:7" x14ac:dyDescent="0.25">
      <c r="A146">
        <v>10143</v>
      </c>
      <c r="B146" s="17">
        <v>45742.815787037034</v>
      </c>
      <c r="C146" t="s">
        <v>1458</v>
      </c>
      <c r="D146" t="s">
        <v>25</v>
      </c>
      <c r="F146" t="s">
        <v>151</v>
      </c>
      <c r="G146" s="99">
        <v>21</v>
      </c>
    </row>
    <row r="147" spans="1:7" x14ac:dyDescent="0.25">
      <c r="A147">
        <v>10144</v>
      </c>
      <c r="B147" s="17">
        <v>45742.894212962965</v>
      </c>
      <c r="C147" t="s">
        <v>1458</v>
      </c>
      <c r="D147" t="s">
        <v>25</v>
      </c>
      <c r="F147" t="s">
        <v>151</v>
      </c>
      <c r="G147" s="99">
        <v>20</v>
      </c>
    </row>
    <row r="148" spans="1:7" x14ac:dyDescent="0.25">
      <c r="A148">
        <v>10145</v>
      </c>
      <c r="B148" s="17">
        <v>45742.896643518521</v>
      </c>
      <c r="C148" t="s">
        <v>1458</v>
      </c>
      <c r="D148" t="s">
        <v>24</v>
      </c>
      <c r="E148">
        <v>2145</v>
      </c>
      <c r="F148" t="s">
        <v>151</v>
      </c>
      <c r="G148" s="99"/>
    </row>
    <row r="149" spans="1:7" x14ac:dyDescent="0.25">
      <c r="A149">
        <v>10146</v>
      </c>
      <c r="B149" s="17">
        <v>45742.901099537034</v>
      </c>
      <c r="C149" t="s">
        <v>1458</v>
      </c>
      <c r="D149" t="s">
        <v>25</v>
      </c>
      <c r="F149" t="s">
        <v>151</v>
      </c>
      <c r="G149" s="99">
        <v>35</v>
      </c>
    </row>
    <row r="150" spans="1:7" x14ac:dyDescent="0.25">
      <c r="A150">
        <v>10147</v>
      </c>
      <c r="B150" s="17">
        <v>45742.917002314818</v>
      </c>
      <c r="C150" t="s">
        <v>1458</v>
      </c>
      <c r="D150" t="s">
        <v>25</v>
      </c>
      <c r="F150" t="s">
        <v>178</v>
      </c>
      <c r="G150" s="99">
        <v>50</v>
      </c>
    </row>
    <row r="151" spans="1:7" x14ac:dyDescent="0.25">
      <c r="A151">
        <v>10148</v>
      </c>
      <c r="B151" s="17">
        <v>45742.921620370369</v>
      </c>
      <c r="C151" t="s">
        <v>1458</v>
      </c>
      <c r="D151" t="s">
        <v>24</v>
      </c>
      <c r="E151">
        <v>2145</v>
      </c>
      <c r="F151" t="s">
        <v>178</v>
      </c>
      <c r="G151" s="99"/>
    </row>
    <row r="152" spans="1:7" x14ac:dyDescent="0.25">
      <c r="A152">
        <v>10149</v>
      </c>
      <c r="B152" s="17">
        <v>45742.922106481485</v>
      </c>
      <c r="C152" t="s">
        <v>1458</v>
      </c>
      <c r="D152" t="s">
        <v>25</v>
      </c>
      <c r="F152" t="s">
        <v>178</v>
      </c>
      <c r="G152" s="99">
        <v>43</v>
      </c>
    </row>
    <row r="153" spans="1:7" x14ac:dyDescent="0.25">
      <c r="A153">
        <v>10150</v>
      </c>
      <c r="B153" s="17">
        <v>45742.921030092592</v>
      </c>
      <c r="C153" t="s">
        <v>1458</v>
      </c>
      <c r="D153" t="s">
        <v>24</v>
      </c>
      <c r="F153" t="s">
        <v>178</v>
      </c>
      <c r="G153" s="99"/>
    </row>
    <row r="154" spans="1:7" x14ac:dyDescent="0.25">
      <c r="A154">
        <v>10151</v>
      </c>
      <c r="B154" s="17">
        <v>45742.939351851855</v>
      </c>
      <c r="C154" t="s">
        <v>1458</v>
      </c>
      <c r="D154" t="s">
        <v>24</v>
      </c>
      <c r="F154" t="s">
        <v>178</v>
      </c>
      <c r="G154" s="99"/>
    </row>
    <row r="155" spans="1:7" x14ac:dyDescent="0.25">
      <c r="A155">
        <v>10152</v>
      </c>
      <c r="B155" s="17">
        <v>45742.940289351849</v>
      </c>
      <c r="C155" t="s">
        <v>1458</v>
      </c>
      <c r="D155" t="s">
        <v>24</v>
      </c>
      <c r="F155" t="s">
        <v>178</v>
      </c>
      <c r="G155" s="99"/>
    </row>
    <row r="156" spans="1:7" x14ac:dyDescent="0.25">
      <c r="A156">
        <v>10153</v>
      </c>
      <c r="B156" s="17">
        <v>45742.946689814817</v>
      </c>
      <c r="C156" t="s">
        <v>1458</v>
      </c>
      <c r="D156" t="s">
        <v>24</v>
      </c>
      <c r="F156" t="s">
        <v>178</v>
      </c>
      <c r="G156" s="99"/>
    </row>
    <row r="157" spans="1:7" x14ac:dyDescent="0.25">
      <c r="A157">
        <v>10154</v>
      </c>
      <c r="B157" s="17">
        <v>45743.000868055555</v>
      </c>
      <c r="C157" t="s">
        <v>1458</v>
      </c>
      <c r="D157" t="s">
        <v>24</v>
      </c>
      <c r="F157" t="s">
        <v>178</v>
      </c>
      <c r="G157" s="99"/>
    </row>
    <row r="158" spans="1:7" x14ac:dyDescent="0.25">
      <c r="A158">
        <v>10155</v>
      </c>
      <c r="B158" s="17">
        <v>45742.949641203704</v>
      </c>
      <c r="C158" t="s">
        <v>1458</v>
      </c>
      <c r="D158" t="s">
        <v>24</v>
      </c>
      <c r="F158" t="s">
        <v>178</v>
      </c>
      <c r="G158" s="99"/>
    </row>
    <row r="159" spans="1:7" x14ac:dyDescent="0.25">
      <c r="A159">
        <v>10156</v>
      </c>
      <c r="B159" s="17">
        <v>45742.998101851852</v>
      </c>
      <c r="C159" t="s">
        <v>1458</v>
      </c>
      <c r="D159" t="s">
        <v>24</v>
      </c>
      <c r="F159" t="s">
        <v>178</v>
      </c>
      <c r="G159" s="99"/>
    </row>
    <row r="160" spans="1:7" x14ac:dyDescent="0.25">
      <c r="A160">
        <v>10157</v>
      </c>
      <c r="B160" s="17">
        <v>45742.999710648146</v>
      </c>
      <c r="C160" t="s">
        <v>1458</v>
      </c>
      <c r="D160" t="s">
        <v>25</v>
      </c>
      <c r="F160" t="s">
        <v>178</v>
      </c>
      <c r="G160" s="99">
        <v>45</v>
      </c>
    </row>
    <row r="161" spans="1:7" x14ac:dyDescent="0.25">
      <c r="A161">
        <v>10158</v>
      </c>
      <c r="B161" s="17">
        <v>45743.70144675926</v>
      </c>
      <c r="C161" t="s">
        <v>1458</v>
      </c>
      <c r="D161" t="s">
        <v>24</v>
      </c>
      <c r="F161" t="s">
        <v>178</v>
      </c>
      <c r="G161" s="99"/>
    </row>
    <row r="162" spans="1:7" x14ac:dyDescent="0.25">
      <c r="A162">
        <v>10159</v>
      </c>
      <c r="B162" s="17">
        <v>45743.70076388889</v>
      </c>
      <c r="C162" t="s">
        <v>1458</v>
      </c>
      <c r="D162" t="s">
        <v>25</v>
      </c>
      <c r="E162">
        <v>2145</v>
      </c>
      <c r="F162" t="s">
        <v>178</v>
      </c>
      <c r="G162" s="99">
        <v>115</v>
      </c>
    </row>
    <row r="163" spans="1:7" x14ac:dyDescent="0.25">
      <c r="A163">
        <v>10160</v>
      </c>
      <c r="B163" s="17">
        <v>45743.699664351851</v>
      </c>
      <c r="C163" t="s">
        <v>1458</v>
      </c>
      <c r="D163" t="s">
        <v>25</v>
      </c>
      <c r="F163" t="s">
        <v>178</v>
      </c>
      <c r="G163" s="99">
        <v>50</v>
      </c>
    </row>
    <row r="164" spans="1:7" x14ac:dyDescent="0.25">
      <c r="A164">
        <v>10161</v>
      </c>
      <c r="B164" s="17">
        <v>45743.702939814815</v>
      </c>
      <c r="C164" t="s">
        <v>1458</v>
      </c>
      <c r="D164" t="s">
        <v>24</v>
      </c>
      <c r="E164" t="s">
        <v>1502</v>
      </c>
      <c r="F164" t="s">
        <v>178</v>
      </c>
      <c r="G164" s="99"/>
    </row>
    <row r="165" spans="1:7" x14ac:dyDescent="0.25">
      <c r="A165">
        <v>10162</v>
      </c>
      <c r="B165" s="17">
        <v>45743.706608796296</v>
      </c>
      <c r="C165" t="s">
        <v>1458</v>
      </c>
      <c r="D165" t="s">
        <v>25</v>
      </c>
      <c r="F165" t="s">
        <v>178</v>
      </c>
      <c r="G165" s="99">
        <v>10</v>
      </c>
    </row>
    <row r="166" spans="1:7" x14ac:dyDescent="0.25">
      <c r="A166">
        <v>10163</v>
      </c>
      <c r="B166" s="17">
        <v>45743.707905092589</v>
      </c>
      <c r="C166" t="s">
        <v>1458</v>
      </c>
      <c r="D166" t="s">
        <v>25</v>
      </c>
      <c r="F166" t="s">
        <v>178</v>
      </c>
      <c r="G166" s="99">
        <v>52</v>
      </c>
    </row>
    <row r="167" spans="1:7" x14ac:dyDescent="0.25">
      <c r="A167">
        <v>10164</v>
      </c>
      <c r="B167" s="17">
        <v>45743.710115740738</v>
      </c>
      <c r="C167" t="s">
        <v>1458</v>
      </c>
      <c r="D167" t="s">
        <v>24</v>
      </c>
      <c r="E167">
        <v>2145</v>
      </c>
      <c r="F167" t="s">
        <v>178</v>
      </c>
      <c r="G167" s="99"/>
    </row>
    <row r="168" spans="1:7" x14ac:dyDescent="0.25">
      <c r="A168">
        <v>10165</v>
      </c>
      <c r="B168" s="17">
        <v>45743.712465277778</v>
      </c>
      <c r="C168" t="s">
        <v>1458</v>
      </c>
      <c r="D168" t="s">
        <v>25</v>
      </c>
      <c r="F168" t="s">
        <v>178</v>
      </c>
      <c r="G168" s="99">
        <v>48</v>
      </c>
    </row>
    <row r="169" spans="1:7" x14ac:dyDescent="0.25">
      <c r="A169">
        <v>10166</v>
      </c>
      <c r="B169" s="17">
        <v>45743.727372685185</v>
      </c>
      <c r="C169" t="s">
        <v>1458</v>
      </c>
      <c r="D169" t="s">
        <v>24</v>
      </c>
      <c r="F169" t="s">
        <v>178</v>
      </c>
      <c r="G169" s="99"/>
    </row>
    <row r="170" spans="1:7" x14ac:dyDescent="0.25">
      <c r="A170">
        <v>10167</v>
      </c>
      <c r="B170" s="17">
        <v>45743.732824074075</v>
      </c>
      <c r="C170" t="s">
        <v>1458</v>
      </c>
      <c r="D170" t="s">
        <v>25</v>
      </c>
      <c r="F170" t="s">
        <v>178</v>
      </c>
      <c r="G170" s="99">
        <v>15</v>
      </c>
    </row>
    <row r="171" spans="1:7" x14ac:dyDescent="0.25">
      <c r="A171">
        <v>10168</v>
      </c>
      <c r="B171" s="17">
        <v>45743.738807870373</v>
      </c>
      <c r="C171" t="s">
        <v>1458</v>
      </c>
      <c r="D171" t="s">
        <v>25</v>
      </c>
      <c r="F171" t="s">
        <v>178</v>
      </c>
      <c r="G171" s="99">
        <v>62</v>
      </c>
    </row>
    <row r="172" spans="1:7" x14ac:dyDescent="0.25">
      <c r="A172">
        <v>10169</v>
      </c>
      <c r="B172" s="17">
        <v>45743.746990740743</v>
      </c>
      <c r="C172" t="s">
        <v>1458</v>
      </c>
      <c r="D172" t="s">
        <v>25</v>
      </c>
      <c r="F172" t="s">
        <v>178</v>
      </c>
      <c r="G172" s="99">
        <v>36</v>
      </c>
    </row>
    <row r="173" spans="1:7" x14ac:dyDescent="0.25">
      <c r="A173">
        <v>10170</v>
      </c>
      <c r="B173" s="17">
        <v>45743.752083333333</v>
      </c>
      <c r="C173" t="s">
        <v>1458</v>
      </c>
      <c r="D173" t="s">
        <v>25</v>
      </c>
      <c r="F173" t="s">
        <v>178</v>
      </c>
      <c r="G173" s="99">
        <v>66</v>
      </c>
    </row>
    <row r="174" spans="1:7" x14ac:dyDescent="0.25">
      <c r="A174">
        <v>10171</v>
      </c>
      <c r="B174" s="17">
        <v>45743.7653125</v>
      </c>
      <c r="C174" t="s">
        <v>1458</v>
      </c>
      <c r="D174" t="s">
        <v>25</v>
      </c>
      <c r="F174" t="s">
        <v>178</v>
      </c>
      <c r="G174" s="99">
        <v>55</v>
      </c>
    </row>
    <row r="175" spans="1:7" x14ac:dyDescent="0.25">
      <c r="A175">
        <v>10172</v>
      </c>
      <c r="B175" s="17">
        <v>45743.767557870371</v>
      </c>
      <c r="C175" t="s">
        <v>1458</v>
      </c>
      <c r="D175" t="s">
        <v>25</v>
      </c>
      <c r="F175" t="s">
        <v>178</v>
      </c>
      <c r="G175" s="99">
        <v>20</v>
      </c>
    </row>
    <row r="176" spans="1:7" x14ac:dyDescent="0.25">
      <c r="A176">
        <v>10173</v>
      </c>
      <c r="B176" s="17">
        <v>45743.777592592596</v>
      </c>
      <c r="C176" t="s">
        <v>1458</v>
      </c>
      <c r="D176" t="s">
        <v>25</v>
      </c>
      <c r="F176" t="s">
        <v>178</v>
      </c>
      <c r="G176" s="99">
        <v>84</v>
      </c>
    </row>
    <row r="177" spans="1:7" x14ac:dyDescent="0.25">
      <c r="A177">
        <v>10174</v>
      </c>
      <c r="B177" s="17">
        <v>45743.778761574074</v>
      </c>
      <c r="C177" t="s">
        <v>1458</v>
      </c>
      <c r="D177" t="s">
        <v>25</v>
      </c>
      <c r="E177">
        <v>2145</v>
      </c>
      <c r="F177" t="s">
        <v>178</v>
      </c>
      <c r="G177" s="99">
        <v>55</v>
      </c>
    </row>
    <row r="178" spans="1:7" x14ac:dyDescent="0.25">
      <c r="A178">
        <v>10175</v>
      </c>
      <c r="B178" s="17">
        <v>45743.783773148149</v>
      </c>
      <c r="C178" t="s">
        <v>1458</v>
      </c>
      <c r="D178" t="s">
        <v>24</v>
      </c>
      <c r="E178">
        <v>2145</v>
      </c>
      <c r="F178" t="s">
        <v>178</v>
      </c>
      <c r="G178" s="99"/>
    </row>
    <row r="179" spans="1:7" x14ac:dyDescent="0.25">
      <c r="A179">
        <v>10176</v>
      </c>
      <c r="B179" s="17">
        <v>45743.784143518518</v>
      </c>
      <c r="C179" t="s">
        <v>1458</v>
      </c>
      <c r="D179" t="s">
        <v>24</v>
      </c>
      <c r="F179" t="s">
        <v>178</v>
      </c>
      <c r="G179" s="99"/>
    </row>
    <row r="180" spans="1:7" x14ac:dyDescent="0.25">
      <c r="A180">
        <v>10177</v>
      </c>
      <c r="B180" s="17">
        <v>45743.78465277778</v>
      </c>
      <c r="C180" t="s">
        <v>1458</v>
      </c>
      <c r="D180" t="s">
        <v>25</v>
      </c>
      <c r="F180" t="s">
        <v>178</v>
      </c>
      <c r="G180" s="99">
        <v>10</v>
      </c>
    </row>
    <row r="181" spans="1:7" x14ac:dyDescent="0.25">
      <c r="A181">
        <v>10178</v>
      </c>
      <c r="B181" s="17">
        <v>45743.790914351855</v>
      </c>
      <c r="C181" t="s">
        <v>1458</v>
      </c>
      <c r="D181" t="s">
        <v>25</v>
      </c>
      <c r="F181" t="s">
        <v>178</v>
      </c>
      <c r="G181" s="99">
        <v>15</v>
      </c>
    </row>
    <row r="182" spans="1:7" x14ac:dyDescent="0.25">
      <c r="A182">
        <v>10179</v>
      </c>
      <c r="B182" s="17">
        <v>45743.801180555558</v>
      </c>
      <c r="C182" t="s">
        <v>1458</v>
      </c>
      <c r="D182" t="s">
        <v>25</v>
      </c>
      <c r="F182" t="s">
        <v>178</v>
      </c>
      <c r="G182" s="99">
        <v>20</v>
      </c>
    </row>
    <row r="183" spans="1:7" x14ac:dyDescent="0.25">
      <c r="A183">
        <v>10180</v>
      </c>
      <c r="B183" s="17">
        <v>45743.811365740738</v>
      </c>
      <c r="C183" t="s">
        <v>1458</v>
      </c>
      <c r="D183" t="s">
        <v>25</v>
      </c>
      <c r="F183" t="s">
        <v>178</v>
      </c>
      <c r="G183" s="99">
        <v>20</v>
      </c>
    </row>
    <row r="184" spans="1:7" x14ac:dyDescent="0.25">
      <c r="A184">
        <v>10181</v>
      </c>
      <c r="B184" s="17">
        <v>45743.81490740741</v>
      </c>
      <c r="C184" t="s">
        <v>1458</v>
      </c>
      <c r="D184" t="s">
        <v>25</v>
      </c>
      <c r="F184" t="s">
        <v>178</v>
      </c>
      <c r="G184" s="99">
        <v>8</v>
      </c>
    </row>
    <row r="185" spans="1:7" x14ac:dyDescent="0.25">
      <c r="A185">
        <v>10182</v>
      </c>
      <c r="B185" s="17">
        <v>45743.819386574076</v>
      </c>
      <c r="C185" t="s">
        <v>1458</v>
      </c>
      <c r="D185" t="s">
        <v>24</v>
      </c>
      <c r="F185" t="s">
        <v>178</v>
      </c>
      <c r="G185" s="99"/>
    </row>
    <row r="186" spans="1:7" x14ac:dyDescent="0.25">
      <c r="A186">
        <v>10183</v>
      </c>
      <c r="B186" s="17">
        <v>45743.820925925924</v>
      </c>
      <c r="C186" t="s">
        <v>1458</v>
      </c>
      <c r="D186" t="s">
        <v>25</v>
      </c>
      <c r="F186" t="s">
        <v>178</v>
      </c>
      <c r="G186" s="99">
        <v>100</v>
      </c>
    </row>
    <row r="187" spans="1:7" x14ac:dyDescent="0.25">
      <c r="A187">
        <v>10184</v>
      </c>
      <c r="B187" s="17">
        <v>45743.823148148149</v>
      </c>
      <c r="C187" t="s">
        <v>1458</v>
      </c>
      <c r="D187" t="s">
        <v>25</v>
      </c>
      <c r="F187" t="s">
        <v>178</v>
      </c>
      <c r="G187" s="99">
        <v>140</v>
      </c>
    </row>
    <row r="188" spans="1:7" x14ac:dyDescent="0.25">
      <c r="A188">
        <v>10185</v>
      </c>
      <c r="B188" s="17">
        <v>45743.830231481479</v>
      </c>
      <c r="C188" t="s">
        <v>1458</v>
      </c>
      <c r="D188" t="s">
        <v>25</v>
      </c>
      <c r="F188" t="s">
        <v>178</v>
      </c>
      <c r="G188" s="99">
        <v>203</v>
      </c>
    </row>
    <row r="189" spans="1:7" x14ac:dyDescent="0.25">
      <c r="A189">
        <v>10186</v>
      </c>
      <c r="B189" s="17">
        <v>45743.875810185185</v>
      </c>
      <c r="C189" t="s">
        <v>1458</v>
      </c>
      <c r="D189" t="s">
        <v>24</v>
      </c>
      <c r="E189">
        <v>2145</v>
      </c>
      <c r="F189" t="s">
        <v>178</v>
      </c>
      <c r="G189" s="99"/>
    </row>
    <row r="190" spans="1:7" x14ac:dyDescent="0.25">
      <c r="A190">
        <v>10187</v>
      </c>
      <c r="B190" s="17">
        <v>45743.885138888887</v>
      </c>
      <c r="C190" t="s">
        <v>1458</v>
      </c>
      <c r="D190" t="s">
        <v>25</v>
      </c>
      <c r="F190" t="s">
        <v>178</v>
      </c>
      <c r="G190" s="99">
        <v>40</v>
      </c>
    </row>
    <row r="191" spans="1:7" x14ac:dyDescent="0.25">
      <c r="A191">
        <v>10188</v>
      </c>
      <c r="B191" s="17">
        <v>45743.885821759257</v>
      </c>
      <c r="C191" t="s">
        <v>1458</v>
      </c>
      <c r="D191" t="s">
        <v>24</v>
      </c>
      <c r="E191" t="s">
        <v>1502</v>
      </c>
      <c r="F191" t="s">
        <v>178</v>
      </c>
      <c r="G191" s="99"/>
    </row>
    <row r="192" spans="1:7" x14ac:dyDescent="0.25">
      <c r="A192">
        <v>10189</v>
      </c>
      <c r="B192" s="17">
        <v>45743.88726851852</v>
      </c>
      <c r="C192" t="s">
        <v>1458</v>
      </c>
      <c r="D192" t="s">
        <v>25</v>
      </c>
      <c r="F192" t="s">
        <v>178</v>
      </c>
      <c r="G192" s="99">
        <v>100</v>
      </c>
    </row>
    <row r="193" spans="1:7" x14ac:dyDescent="0.25">
      <c r="A193">
        <v>10190</v>
      </c>
      <c r="B193" s="17">
        <v>45743.888842592591</v>
      </c>
      <c r="C193" t="s">
        <v>1458</v>
      </c>
      <c r="D193" t="s">
        <v>25</v>
      </c>
      <c r="F193" t="s">
        <v>178</v>
      </c>
      <c r="G193" s="99">
        <v>39</v>
      </c>
    </row>
    <row r="194" spans="1:7" x14ac:dyDescent="0.25">
      <c r="A194">
        <v>10191</v>
      </c>
      <c r="B194" s="17">
        <v>45743.8984375</v>
      </c>
      <c r="C194" t="s">
        <v>1458</v>
      </c>
      <c r="D194" t="s">
        <v>25</v>
      </c>
      <c r="F194" t="s">
        <v>178</v>
      </c>
      <c r="G194" s="99">
        <v>188</v>
      </c>
    </row>
    <row r="195" spans="1:7" x14ac:dyDescent="0.25">
      <c r="A195">
        <v>10192</v>
      </c>
      <c r="B195" s="17">
        <v>45743.898668981485</v>
      </c>
      <c r="C195" t="s">
        <v>1458</v>
      </c>
      <c r="D195" t="s">
        <v>25</v>
      </c>
      <c r="F195" t="s">
        <v>178</v>
      </c>
      <c r="G195" s="99">
        <v>50</v>
      </c>
    </row>
    <row r="196" spans="1:7" x14ac:dyDescent="0.25">
      <c r="A196">
        <v>10193</v>
      </c>
      <c r="B196" s="17">
        <v>45743.901250000003</v>
      </c>
      <c r="C196" t="s">
        <v>1458</v>
      </c>
      <c r="D196" t="s">
        <v>25</v>
      </c>
      <c r="F196" t="s">
        <v>178</v>
      </c>
      <c r="G196" s="99">
        <v>15</v>
      </c>
    </row>
    <row r="197" spans="1:7" x14ac:dyDescent="0.25">
      <c r="A197">
        <v>10194</v>
      </c>
      <c r="B197" s="17">
        <v>45743.903391203705</v>
      </c>
      <c r="C197" t="s">
        <v>1458</v>
      </c>
      <c r="D197" t="s">
        <v>25</v>
      </c>
      <c r="F197" t="s">
        <v>178</v>
      </c>
      <c r="G197" s="99">
        <v>30</v>
      </c>
    </row>
    <row r="198" spans="1:7" x14ac:dyDescent="0.25">
      <c r="A198">
        <v>10195</v>
      </c>
      <c r="B198" s="17">
        <v>45743.914201388892</v>
      </c>
      <c r="C198" t="s">
        <v>1458</v>
      </c>
      <c r="D198" t="s">
        <v>25</v>
      </c>
      <c r="F198" t="s">
        <v>178</v>
      </c>
      <c r="G198" s="99">
        <v>600</v>
      </c>
    </row>
    <row r="199" spans="1:7" x14ac:dyDescent="0.25">
      <c r="A199">
        <v>10196</v>
      </c>
      <c r="B199" s="17">
        <v>45743.916134259256</v>
      </c>
      <c r="C199" t="s">
        <v>1458</v>
      </c>
      <c r="D199" t="s">
        <v>25</v>
      </c>
      <c r="F199" t="s">
        <v>178</v>
      </c>
      <c r="G199" s="99">
        <v>70</v>
      </c>
    </row>
    <row r="200" spans="1:7" x14ac:dyDescent="0.25">
      <c r="A200">
        <v>10197</v>
      </c>
      <c r="B200" s="17">
        <v>45743.918252314812</v>
      </c>
      <c r="C200" t="s">
        <v>1458</v>
      </c>
      <c r="D200" t="s">
        <v>24</v>
      </c>
      <c r="E200">
        <v>2145</v>
      </c>
      <c r="F200" t="s">
        <v>178</v>
      </c>
      <c r="G200" s="99"/>
    </row>
    <row r="201" spans="1:7" x14ac:dyDescent="0.25">
      <c r="A201">
        <v>10198</v>
      </c>
      <c r="B201" s="17">
        <v>45743.918726851851</v>
      </c>
      <c r="C201" t="s">
        <v>1458</v>
      </c>
      <c r="D201" t="s">
        <v>25</v>
      </c>
      <c r="F201" t="s">
        <v>178</v>
      </c>
      <c r="G201" s="99">
        <v>11</v>
      </c>
    </row>
    <row r="202" spans="1:7" x14ac:dyDescent="0.25">
      <c r="A202">
        <v>10199</v>
      </c>
      <c r="B202" s="17">
        <v>45743.919270833336</v>
      </c>
      <c r="C202" t="s">
        <v>1458</v>
      </c>
      <c r="D202" t="s">
        <v>24</v>
      </c>
      <c r="E202">
        <v>2145</v>
      </c>
      <c r="F202" t="s">
        <v>178</v>
      </c>
      <c r="G202" s="99"/>
    </row>
    <row r="203" spans="1:7" x14ac:dyDescent="0.25">
      <c r="A203">
        <v>10200</v>
      </c>
      <c r="B203" s="17">
        <v>45743.926215277781</v>
      </c>
      <c r="C203" t="s">
        <v>1458</v>
      </c>
      <c r="D203" t="s">
        <v>25</v>
      </c>
      <c r="F203" t="s">
        <v>178</v>
      </c>
      <c r="G203" s="99">
        <v>170</v>
      </c>
    </row>
    <row r="204" spans="1:7" x14ac:dyDescent="0.25">
      <c r="A204">
        <v>10201</v>
      </c>
      <c r="B204" s="17">
        <v>45743.983611111114</v>
      </c>
      <c r="C204" t="s">
        <v>1458</v>
      </c>
      <c r="D204" t="s">
        <v>24</v>
      </c>
      <c r="E204" t="s">
        <v>1487</v>
      </c>
      <c r="F204" t="s">
        <v>178</v>
      </c>
      <c r="G204" s="99"/>
    </row>
    <row r="205" spans="1:7" x14ac:dyDescent="0.25">
      <c r="A205">
        <v>10202</v>
      </c>
      <c r="B205" s="17">
        <v>45744.559039351851</v>
      </c>
      <c r="C205" t="s">
        <v>1458</v>
      </c>
      <c r="D205" t="s">
        <v>25</v>
      </c>
      <c r="F205" t="s">
        <v>178</v>
      </c>
      <c r="G205" s="99">
        <v>258</v>
      </c>
    </row>
    <row r="206" spans="1:7" x14ac:dyDescent="0.25">
      <c r="A206">
        <v>10203</v>
      </c>
      <c r="B206" s="17">
        <v>45744.558668981481</v>
      </c>
      <c r="C206" t="s">
        <v>1458</v>
      </c>
      <c r="D206" t="s">
        <v>24</v>
      </c>
      <c r="E206">
        <v>2145</v>
      </c>
      <c r="F206" t="s">
        <v>178</v>
      </c>
      <c r="G206" s="99"/>
    </row>
    <row r="207" spans="1:7" x14ac:dyDescent="0.25">
      <c r="A207">
        <v>10204</v>
      </c>
      <c r="B207" s="17">
        <v>45744.559594907405</v>
      </c>
      <c r="C207" t="s">
        <v>1458</v>
      </c>
      <c r="D207" t="s">
        <v>25</v>
      </c>
      <c r="F207" t="s">
        <v>178</v>
      </c>
      <c r="G207" s="99">
        <v>180</v>
      </c>
    </row>
    <row r="208" spans="1:7" x14ac:dyDescent="0.25">
      <c r="A208">
        <v>10205</v>
      </c>
      <c r="B208" s="17">
        <v>45744.585300925923</v>
      </c>
      <c r="C208" t="s">
        <v>1458</v>
      </c>
      <c r="D208" t="s">
        <v>25</v>
      </c>
      <c r="F208" t="s">
        <v>151</v>
      </c>
      <c r="G208" s="99">
        <v>21</v>
      </c>
    </row>
    <row r="209" spans="1:7" x14ac:dyDescent="0.25">
      <c r="A209">
        <v>10206</v>
      </c>
      <c r="B209" s="17">
        <v>45744.585474537038</v>
      </c>
      <c r="C209" t="s">
        <v>1458</v>
      </c>
      <c r="D209" t="s">
        <v>24</v>
      </c>
      <c r="E209">
        <v>2145</v>
      </c>
      <c r="F209" t="s">
        <v>151</v>
      </c>
      <c r="G209" s="99"/>
    </row>
    <row r="210" spans="1:7" x14ac:dyDescent="0.25">
      <c r="A210">
        <v>10207</v>
      </c>
      <c r="B210" s="17">
        <v>45744.591168981482</v>
      </c>
      <c r="C210" t="s">
        <v>1458</v>
      </c>
      <c r="D210" t="s">
        <v>25</v>
      </c>
      <c r="F210" t="s">
        <v>151</v>
      </c>
      <c r="G210" s="99">
        <v>60</v>
      </c>
    </row>
    <row r="211" spans="1:7" x14ac:dyDescent="0.25">
      <c r="A211">
        <v>10208</v>
      </c>
      <c r="B211" s="17">
        <v>45744.592777777776</v>
      </c>
      <c r="C211" t="s">
        <v>1458</v>
      </c>
      <c r="D211" t="s">
        <v>25</v>
      </c>
      <c r="F211" t="s">
        <v>151</v>
      </c>
      <c r="G211" s="99">
        <v>30</v>
      </c>
    </row>
    <row r="212" spans="1:7" x14ac:dyDescent="0.25">
      <c r="A212">
        <v>10209</v>
      </c>
      <c r="B212" s="17">
        <v>45744.595416666663</v>
      </c>
      <c r="C212" t="s">
        <v>1458</v>
      </c>
      <c r="D212" t="s">
        <v>24</v>
      </c>
      <c r="E212" t="s">
        <v>1502</v>
      </c>
      <c r="F212" t="s">
        <v>151</v>
      </c>
      <c r="G212" s="99"/>
    </row>
    <row r="213" spans="1:7" x14ac:dyDescent="0.25">
      <c r="A213">
        <v>10210</v>
      </c>
      <c r="B213" s="17">
        <v>45744.605925925927</v>
      </c>
      <c r="C213" t="s">
        <v>1458</v>
      </c>
      <c r="D213" t="s">
        <v>25</v>
      </c>
      <c r="F213" t="s">
        <v>151</v>
      </c>
      <c r="G213" s="99">
        <v>80</v>
      </c>
    </row>
    <row r="214" spans="1:7" x14ac:dyDescent="0.25">
      <c r="A214">
        <v>10211</v>
      </c>
      <c r="B214" s="17">
        <v>45744.610694444447</v>
      </c>
      <c r="C214" t="s">
        <v>1458</v>
      </c>
      <c r="D214" t="s">
        <v>25</v>
      </c>
      <c r="F214" t="s">
        <v>151</v>
      </c>
      <c r="G214" s="99">
        <v>25</v>
      </c>
    </row>
    <row r="215" spans="1:7" x14ac:dyDescent="0.25">
      <c r="A215">
        <v>10212</v>
      </c>
      <c r="B215" s="17">
        <v>45744.629791666666</v>
      </c>
      <c r="C215" t="s">
        <v>1458</v>
      </c>
      <c r="D215" t="s">
        <v>25</v>
      </c>
      <c r="F215" t="s">
        <v>151</v>
      </c>
      <c r="G215" s="99">
        <v>150</v>
      </c>
    </row>
    <row r="216" spans="1:7" x14ac:dyDescent="0.25">
      <c r="A216">
        <v>10213</v>
      </c>
      <c r="B216" s="17">
        <v>45744.640057870369</v>
      </c>
      <c r="C216" t="s">
        <v>1458</v>
      </c>
      <c r="D216" t="s">
        <v>25</v>
      </c>
      <c r="F216" t="s">
        <v>151</v>
      </c>
      <c r="G216" s="99">
        <v>20</v>
      </c>
    </row>
    <row r="217" spans="1:7" x14ac:dyDescent="0.25">
      <c r="A217">
        <v>10214</v>
      </c>
      <c r="B217" s="17">
        <v>45744.644074074073</v>
      </c>
      <c r="C217" t="s">
        <v>1458</v>
      </c>
      <c r="D217" t="s">
        <v>25</v>
      </c>
      <c r="F217" t="s">
        <v>151</v>
      </c>
      <c r="G217" s="99">
        <v>36</v>
      </c>
    </row>
    <row r="218" spans="1:7" x14ac:dyDescent="0.25">
      <c r="A218">
        <v>10215</v>
      </c>
      <c r="B218" s="17">
        <v>45744.658356481479</v>
      </c>
      <c r="C218" t="s">
        <v>1458</v>
      </c>
      <c r="D218" t="s">
        <v>25</v>
      </c>
      <c r="F218" t="s">
        <v>151</v>
      </c>
      <c r="G218" s="99">
        <v>40</v>
      </c>
    </row>
    <row r="219" spans="1:7" x14ac:dyDescent="0.25">
      <c r="A219">
        <v>10216</v>
      </c>
      <c r="B219" s="17">
        <v>45744.668032407404</v>
      </c>
      <c r="C219" t="s">
        <v>1458</v>
      </c>
      <c r="D219" t="s">
        <v>25</v>
      </c>
      <c r="F219" t="s">
        <v>151</v>
      </c>
      <c r="G219" s="99">
        <v>80</v>
      </c>
    </row>
    <row r="220" spans="1:7" x14ac:dyDescent="0.25">
      <c r="A220">
        <v>10217</v>
      </c>
      <c r="B220" s="17">
        <v>45744.677048611113</v>
      </c>
      <c r="C220" t="s">
        <v>1458</v>
      </c>
      <c r="D220" t="s">
        <v>25</v>
      </c>
      <c r="F220" t="s">
        <v>151</v>
      </c>
      <c r="G220" s="99">
        <v>106</v>
      </c>
    </row>
    <row r="221" spans="1:7" x14ac:dyDescent="0.25">
      <c r="A221">
        <v>10218</v>
      </c>
      <c r="B221" s="17">
        <v>45744.677974537037</v>
      </c>
      <c r="C221" t="s">
        <v>1458</v>
      </c>
      <c r="D221" t="s">
        <v>25</v>
      </c>
      <c r="F221" t="s">
        <v>151</v>
      </c>
      <c r="G221" s="99">
        <v>10</v>
      </c>
    </row>
    <row r="222" spans="1:7" x14ac:dyDescent="0.25">
      <c r="A222">
        <v>10219</v>
      </c>
      <c r="B222" s="17">
        <v>45744.694386574076</v>
      </c>
      <c r="C222" t="s">
        <v>1458</v>
      </c>
      <c r="D222" t="s">
        <v>25</v>
      </c>
      <c r="F222" t="s">
        <v>151</v>
      </c>
      <c r="G222" s="99">
        <v>5</v>
      </c>
    </row>
    <row r="223" spans="1:7" x14ac:dyDescent="0.25">
      <c r="A223">
        <v>10220</v>
      </c>
      <c r="B223" s="17">
        <v>45744.695115740738</v>
      </c>
      <c r="C223" t="s">
        <v>1458</v>
      </c>
      <c r="D223" t="s">
        <v>25</v>
      </c>
      <c r="E223" t="s">
        <v>1517</v>
      </c>
      <c r="F223" t="s">
        <v>151</v>
      </c>
      <c r="G223" s="99">
        <v>10</v>
      </c>
    </row>
    <row r="224" spans="1:7" x14ac:dyDescent="0.25">
      <c r="A224">
        <v>10221</v>
      </c>
      <c r="B224" s="17">
        <v>45744.706585648149</v>
      </c>
      <c r="C224" t="s">
        <v>1458</v>
      </c>
      <c r="D224" t="s">
        <v>25</v>
      </c>
      <c r="F224" t="s">
        <v>151</v>
      </c>
      <c r="G224" s="99">
        <v>58</v>
      </c>
    </row>
    <row r="225" spans="1:7" x14ac:dyDescent="0.25">
      <c r="A225">
        <v>10222</v>
      </c>
      <c r="B225" s="17">
        <v>45744.717835648145</v>
      </c>
      <c r="C225" t="s">
        <v>1458</v>
      </c>
      <c r="D225" t="s">
        <v>25</v>
      </c>
      <c r="F225" t="s">
        <v>151</v>
      </c>
      <c r="G225" s="99">
        <v>26</v>
      </c>
    </row>
    <row r="226" spans="1:7" x14ac:dyDescent="0.25">
      <c r="A226">
        <v>10223</v>
      </c>
      <c r="B226" s="17">
        <v>45744.770150462966</v>
      </c>
      <c r="C226" t="s">
        <v>1458</v>
      </c>
      <c r="D226" t="s">
        <v>24</v>
      </c>
      <c r="E226" t="s">
        <v>1514</v>
      </c>
      <c r="F226" t="s">
        <v>151</v>
      </c>
      <c r="G226" s="99"/>
    </row>
    <row r="227" spans="1:7" x14ac:dyDescent="0.25">
      <c r="A227">
        <v>10224</v>
      </c>
      <c r="B227" s="17">
        <v>45744.77076388889</v>
      </c>
      <c r="C227" t="s">
        <v>1458</v>
      </c>
      <c r="D227" t="s">
        <v>25</v>
      </c>
      <c r="F227" t="s">
        <v>151</v>
      </c>
      <c r="G227" s="99">
        <v>30</v>
      </c>
    </row>
    <row r="228" spans="1:7" x14ac:dyDescent="0.25">
      <c r="A228">
        <v>10225</v>
      </c>
      <c r="B228" s="17">
        <v>45744.789756944447</v>
      </c>
      <c r="C228" t="s">
        <v>1458</v>
      </c>
      <c r="D228" t="s">
        <v>24</v>
      </c>
      <c r="E228" t="s">
        <v>1489</v>
      </c>
      <c r="F228" t="s">
        <v>151</v>
      </c>
      <c r="G228" s="99"/>
    </row>
    <row r="229" spans="1:7" x14ac:dyDescent="0.25">
      <c r="A229">
        <v>10226</v>
      </c>
      <c r="B229" s="17">
        <v>45744.790462962963</v>
      </c>
      <c r="C229" t="s">
        <v>1458</v>
      </c>
      <c r="D229" t="s">
        <v>25</v>
      </c>
      <c r="F229" t="s">
        <v>151</v>
      </c>
      <c r="G229" s="99">
        <v>10</v>
      </c>
    </row>
    <row r="230" spans="1:7" x14ac:dyDescent="0.25">
      <c r="A230">
        <v>10227</v>
      </c>
      <c r="B230" s="17">
        <v>45744.791747685187</v>
      </c>
      <c r="C230" t="s">
        <v>1458</v>
      </c>
      <c r="D230" t="s">
        <v>25</v>
      </c>
      <c r="F230" t="s">
        <v>151</v>
      </c>
      <c r="G230" s="99">
        <v>135</v>
      </c>
    </row>
    <row r="231" spans="1:7" x14ac:dyDescent="0.25">
      <c r="A231">
        <v>10228</v>
      </c>
      <c r="B231" s="17">
        <v>45744.794733796298</v>
      </c>
      <c r="C231" t="s">
        <v>1458</v>
      </c>
      <c r="D231" t="s">
        <v>25</v>
      </c>
      <c r="F231" t="s">
        <v>151</v>
      </c>
      <c r="G231" s="99">
        <v>21</v>
      </c>
    </row>
    <row r="232" spans="1:7" x14ac:dyDescent="0.25">
      <c r="A232">
        <v>10229</v>
      </c>
      <c r="B232" s="17">
        <v>45744.796990740739</v>
      </c>
      <c r="C232" t="s">
        <v>1458</v>
      </c>
      <c r="D232" t="s">
        <v>25</v>
      </c>
      <c r="F232" t="s">
        <v>151</v>
      </c>
      <c r="G232" s="99">
        <v>165</v>
      </c>
    </row>
    <row r="233" spans="1:7" x14ac:dyDescent="0.25">
      <c r="A233">
        <v>10230</v>
      </c>
      <c r="B233" s="17">
        <v>45744.801793981482</v>
      </c>
      <c r="C233" t="s">
        <v>1458</v>
      </c>
      <c r="D233" t="s">
        <v>24</v>
      </c>
      <c r="E233">
        <v>2145</v>
      </c>
      <c r="F233" t="s">
        <v>151</v>
      </c>
      <c r="G233" s="99"/>
    </row>
    <row r="234" spans="1:7" x14ac:dyDescent="0.25">
      <c r="A234">
        <v>10231</v>
      </c>
      <c r="B234" s="17">
        <v>45744.802974537037</v>
      </c>
      <c r="C234" t="s">
        <v>1458</v>
      </c>
      <c r="D234" t="s">
        <v>25</v>
      </c>
      <c r="F234" t="s">
        <v>151</v>
      </c>
      <c r="G234" s="99">
        <v>16</v>
      </c>
    </row>
    <row r="235" spans="1:7" x14ac:dyDescent="0.25">
      <c r="A235">
        <v>10232</v>
      </c>
      <c r="B235" s="17">
        <v>45744.803391203706</v>
      </c>
      <c r="C235" t="s">
        <v>1458</v>
      </c>
      <c r="D235" t="s">
        <v>25</v>
      </c>
      <c r="F235" t="s">
        <v>151</v>
      </c>
      <c r="G235" s="99">
        <v>160</v>
      </c>
    </row>
    <row r="236" spans="1:7" x14ac:dyDescent="0.25">
      <c r="A236">
        <v>10233</v>
      </c>
      <c r="B236" s="17">
        <v>45744.806817129633</v>
      </c>
      <c r="C236" t="s">
        <v>1458</v>
      </c>
      <c r="D236" t="s">
        <v>25</v>
      </c>
      <c r="F236" t="s">
        <v>151</v>
      </c>
      <c r="G236" s="99">
        <v>46.5</v>
      </c>
    </row>
    <row r="237" spans="1:7" x14ac:dyDescent="0.25">
      <c r="A237">
        <v>10234</v>
      </c>
      <c r="B237" s="17">
        <v>45744.820960648147</v>
      </c>
      <c r="C237" t="s">
        <v>1458</v>
      </c>
      <c r="D237" t="s">
        <v>25</v>
      </c>
      <c r="F237" t="s">
        <v>151</v>
      </c>
      <c r="G237" s="99">
        <v>101</v>
      </c>
    </row>
    <row r="238" spans="1:7" x14ac:dyDescent="0.25">
      <c r="A238">
        <v>10235</v>
      </c>
      <c r="B238" s="17">
        <v>45744.823865740742</v>
      </c>
      <c r="C238" t="s">
        <v>1458</v>
      </c>
      <c r="D238" t="s">
        <v>24</v>
      </c>
      <c r="F238" t="s">
        <v>151</v>
      </c>
      <c r="G238" s="99"/>
    </row>
    <row r="239" spans="1:7" x14ac:dyDescent="0.25">
      <c r="A239">
        <v>10236</v>
      </c>
      <c r="B239" s="17">
        <v>45744.824548611112</v>
      </c>
      <c r="C239" t="s">
        <v>1458</v>
      </c>
      <c r="D239" t="s">
        <v>24</v>
      </c>
      <c r="F239" t="s">
        <v>151</v>
      </c>
      <c r="G239" s="99"/>
    </row>
    <row r="240" spans="1:7" x14ac:dyDescent="0.25">
      <c r="A240">
        <v>10237</v>
      </c>
      <c r="B240" s="17">
        <v>45744.825462962966</v>
      </c>
      <c r="C240" t="s">
        <v>1458</v>
      </c>
      <c r="D240" t="s">
        <v>25</v>
      </c>
      <c r="F240" t="s">
        <v>151</v>
      </c>
      <c r="G240" s="99">
        <v>64</v>
      </c>
    </row>
    <row r="241" spans="7:7" x14ac:dyDescent="0.25">
      <c r="G241" s="99"/>
    </row>
    <row r="242" spans="7:7" x14ac:dyDescent="0.25">
      <c r="G242" s="99"/>
    </row>
    <row r="243" spans="7:7" x14ac:dyDescent="0.25">
      <c r="G243" s="99"/>
    </row>
    <row r="244" spans="7:7" x14ac:dyDescent="0.25">
      <c r="G244" s="99"/>
    </row>
    <row r="245" spans="7:7" x14ac:dyDescent="0.25">
      <c r="G245" s="99"/>
    </row>
    <row r="246" spans="7:7" x14ac:dyDescent="0.25">
      <c r="G246" s="99"/>
    </row>
    <row r="247" spans="7:7" x14ac:dyDescent="0.25">
      <c r="G247" s="99"/>
    </row>
    <row r="248" spans="7:7" x14ac:dyDescent="0.25">
      <c r="G248" s="99"/>
    </row>
    <row r="249" spans="7:7" x14ac:dyDescent="0.25">
      <c r="G249" s="99"/>
    </row>
    <row r="250" spans="7:7" x14ac:dyDescent="0.25">
      <c r="G250" s="99"/>
    </row>
    <row r="251" spans="7:7" x14ac:dyDescent="0.25">
      <c r="G251" s="99"/>
    </row>
    <row r="252" spans="7:7" x14ac:dyDescent="0.25">
      <c r="G252" s="99"/>
    </row>
    <row r="253" spans="7:7" x14ac:dyDescent="0.25">
      <c r="G253" s="99"/>
    </row>
    <row r="254" spans="7:7" x14ac:dyDescent="0.25">
      <c r="G254" s="99"/>
    </row>
    <row r="255" spans="7:7" x14ac:dyDescent="0.25">
      <c r="G255" s="99"/>
    </row>
    <row r="256" spans="7:7" x14ac:dyDescent="0.25">
      <c r="G256" s="99"/>
    </row>
    <row r="257" spans="7:7" x14ac:dyDescent="0.25">
      <c r="G257" s="99"/>
    </row>
    <row r="258" spans="7:7" x14ac:dyDescent="0.25">
      <c r="G258" s="99"/>
    </row>
    <row r="259" spans="7:7" x14ac:dyDescent="0.25">
      <c r="G259" s="99"/>
    </row>
    <row r="260" spans="7:7" x14ac:dyDescent="0.25">
      <c r="G260" s="99"/>
    </row>
    <row r="261" spans="7:7" x14ac:dyDescent="0.25">
      <c r="G261" s="99"/>
    </row>
    <row r="262" spans="7:7" x14ac:dyDescent="0.25">
      <c r="G262" s="99"/>
    </row>
    <row r="263" spans="7:7" x14ac:dyDescent="0.25">
      <c r="G263" s="99"/>
    </row>
    <row r="264" spans="7:7" x14ac:dyDescent="0.25">
      <c r="G264" s="99"/>
    </row>
    <row r="265" spans="7:7" x14ac:dyDescent="0.25">
      <c r="G265" s="99"/>
    </row>
    <row r="266" spans="7:7" x14ac:dyDescent="0.25">
      <c r="G266" s="99"/>
    </row>
    <row r="267" spans="7:7" x14ac:dyDescent="0.25">
      <c r="G267" s="99"/>
    </row>
    <row r="268" spans="7:7" x14ac:dyDescent="0.25">
      <c r="G268" s="99"/>
    </row>
    <row r="269" spans="7:7" x14ac:dyDescent="0.25">
      <c r="G269" s="99"/>
    </row>
    <row r="270" spans="7:7" x14ac:dyDescent="0.25">
      <c r="G270" s="99"/>
    </row>
    <row r="271" spans="7:7" x14ac:dyDescent="0.25">
      <c r="G271" s="99"/>
    </row>
    <row r="272" spans="7:7" x14ac:dyDescent="0.25">
      <c r="G272" s="99"/>
    </row>
    <row r="273" spans="7:7" x14ac:dyDescent="0.25">
      <c r="G273" s="99"/>
    </row>
    <row r="274" spans="7:7" x14ac:dyDescent="0.25">
      <c r="G274" s="99"/>
    </row>
    <row r="275" spans="7:7" x14ac:dyDescent="0.25">
      <c r="G275" s="99"/>
    </row>
    <row r="276" spans="7:7" x14ac:dyDescent="0.25">
      <c r="G276" s="99"/>
    </row>
    <row r="277" spans="7:7" x14ac:dyDescent="0.25">
      <c r="G277" s="99"/>
    </row>
    <row r="278" spans="7:7" x14ac:dyDescent="0.25">
      <c r="G278" s="99"/>
    </row>
    <row r="279" spans="7:7" x14ac:dyDescent="0.25">
      <c r="G279" s="99"/>
    </row>
    <row r="280" spans="7:7" x14ac:dyDescent="0.25">
      <c r="G280" s="99"/>
    </row>
    <row r="281" spans="7:7" x14ac:dyDescent="0.25">
      <c r="G281" s="99"/>
    </row>
    <row r="282" spans="7:7" x14ac:dyDescent="0.25">
      <c r="G282" s="99"/>
    </row>
    <row r="283" spans="7:7" x14ac:dyDescent="0.25">
      <c r="G283" s="99"/>
    </row>
    <row r="284" spans="7:7" x14ac:dyDescent="0.25">
      <c r="G284" s="99"/>
    </row>
    <row r="285" spans="7:7" x14ac:dyDescent="0.25">
      <c r="G285" s="99"/>
    </row>
    <row r="286" spans="7:7" x14ac:dyDescent="0.25">
      <c r="G286" s="99"/>
    </row>
    <row r="287" spans="7:7" x14ac:dyDescent="0.25">
      <c r="G287" s="99"/>
    </row>
    <row r="288" spans="7:7" x14ac:dyDescent="0.25">
      <c r="G288" s="99"/>
    </row>
    <row r="289" spans="7:7" x14ac:dyDescent="0.25">
      <c r="G289" s="99"/>
    </row>
    <row r="290" spans="7:7" x14ac:dyDescent="0.25">
      <c r="G290" s="99"/>
    </row>
    <row r="291" spans="7:7" x14ac:dyDescent="0.25">
      <c r="G291" s="99"/>
    </row>
    <row r="292" spans="7:7" x14ac:dyDescent="0.25">
      <c r="G292" s="99"/>
    </row>
    <row r="293" spans="7:7" x14ac:dyDescent="0.25">
      <c r="G293" s="99"/>
    </row>
    <row r="294" spans="7:7" x14ac:dyDescent="0.25">
      <c r="G294" s="99"/>
    </row>
    <row r="295" spans="7:7" x14ac:dyDescent="0.25">
      <c r="G295" s="99"/>
    </row>
    <row r="296" spans="7:7" x14ac:dyDescent="0.25">
      <c r="G296" s="99"/>
    </row>
    <row r="297" spans="7:7" x14ac:dyDescent="0.25">
      <c r="G297" s="99"/>
    </row>
    <row r="298" spans="7:7" x14ac:dyDescent="0.25">
      <c r="G298" s="99"/>
    </row>
    <row r="299" spans="7:7" x14ac:dyDescent="0.25">
      <c r="G299" s="99"/>
    </row>
    <row r="300" spans="7:7" x14ac:dyDescent="0.25">
      <c r="G300" s="99"/>
    </row>
    <row r="301" spans="7:7" x14ac:dyDescent="0.25">
      <c r="G301" s="99"/>
    </row>
    <row r="302" spans="7:7" x14ac:dyDescent="0.25">
      <c r="G302" s="99"/>
    </row>
    <row r="303" spans="7:7" x14ac:dyDescent="0.25">
      <c r="G303" s="99"/>
    </row>
    <row r="304" spans="7:7" x14ac:dyDescent="0.25">
      <c r="G304" s="99"/>
    </row>
    <row r="305" spans="7:7" x14ac:dyDescent="0.25">
      <c r="G305" s="99"/>
    </row>
    <row r="306" spans="7:7" x14ac:dyDescent="0.25">
      <c r="G306" s="99"/>
    </row>
    <row r="307" spans="7:7" x14ac:dyDescent="0.25">
      <c r="G307" s="99"/>
    </row>
    <row r="308" spans="7:7" x14ac:dyDescent="0.25">
      <c r="G308" s="99"/>
    </row>
    <row r="309" spans="7:7" x14ac:dyDescent="0.25">
      <c r="G309" s="99"/>
    </row>
    <row r="310" spans="7:7" x14ac:dyDescent="0.25">
      <c r="G310" s="99"/>
    </row>
    <row r="311" spans="7:7" x14ac:dyDescent="0.25">
      <c r="G311" s="99"/>
    </row>
    <row r="312" spans="7:7" x14ac:dyDescent="0.25">
      <c r="G312" s="99"/>
    </row>
    <row r="313" spans="7:7" x14ac:dyDescent="0.25">
      <c r="G313" s="99"/>
    </row>
    <row r="314" spans="7:7" x14ac:dyDescent="0.25">
      <c r="G314" s="99"/>
    </row>
    <row r="315" spans="7:7" x14ac:dyDescent="0.25">
      <c r="G315" s="99"/>
    </row>
    <row r="316" spans="7:7" x14ac:dyDescent="0.25">
      <c r="G316" s="99"/>
    </row>
    <row r="317" spans="7:7" x14ac:dyDescent="0.25">
      <c r="G317" s="99"/>
    </row>
    <row r="318" spans="7:7" x14ac:dyDescent="0.25">
      <c r="G318" s="99"/>
    </row>
    <row r="319" spans="7:7" x14ac:dyDescent="0.25">
      <c r="G319" s="99"/>
    </row>
    <row r="320" spans="7:7" x14ac:dyDescent="0.25">
      <c r="G320" s="99"/>
    </row>
    <row r="321" spans="7:7" x14ac:dyDescent="0.25">
      <c r="G321" s="99"/>
    </row>
    <row r="322" spans="7:7" x14ac:dyDescent="0.25">
      <c r="G322" s="99"/>
    </row>
    <row r="323" spans="7:7" x14ac:dyDescent="0.25">
      <c r="G323" s="99"/>
    </row>
    <row r="324" spans="7:7" x14ac:dyDescent="0.25">
      <c r="G324" s="99"/>
    </row>
    <row r="325" spans="7:7" x14ac:dyDescent="0.25">
      <c r="G325" s="99"/>
    </row>
    <row r="326" spans="7:7" x14ac:dyDescent="0.25">
      <c r="G326" s="99"/>
    </row>
    <row r="327" spans="7:7" x14ac:dyDescent="0.25">
      <c r="G327" s="99"/>
    </row>
    <row r="328" spans="7:7" x14ac:dyDescent="0.25">
      <c r="G328" s="99"/>
    </row>
    <row r="329" spans="7:7" x14ac:dyDescent="0.25">
      <c r="G329" s="99"/>
    </row>
    <row r="330" spans="7:7" x14ac:dyDescent="0.25">
      <c r="G330" s="99"/>
    </row>
    <row r="331" spans="7:7" x14ac:dyDescent="0.25">
      <c r="G331" s="99"/>
    </row>
    <row r="332" spans="7:7" x14ac:dyDescent="0.25">
      <c r="G332" s="99"/>
    </row>
    <row r="333" spans="7:7" x14ac:dyDescent="0.25">
      <c r="G333" s="99"/>
    </row>
    <row r="334" spans="7:7" x14ac:dyDescent="0.25">
      <c r="G334" s="99"/>
    </row>
    <row r="335" spans="7:7" x14ac:dyDescent="0.25">
      <c r="G335" s="99"/>
    </row>
    <row r="336" spans="7:7" x14ac:dyDescent="0.25">
      <c r="G336" s="99"/>
    </row>
    <row r="337" spans="7:7" x14ac:dyDescent="0.25">
      <c r="G337" s="99"/>
    </row>
    <row r="338" spans="7:7" x14ac:dyDescent="0.25">
      <c r="G338" s="99"/>
    </row>
    <row r="339" spans="7:7" x14ac:dyDescent="0.25">
      <c r="G339" s="99"/>
    </row>
    <row r="340" spans="7:7" x14ac:dyDescent="0.25">
      <c r="G340" s="99"/>
    </row>
    <row r="341" spans="7:7" x14ac:dyDescent="0.25">
      <c r="G341" s="99"/>
    </row>
    <row r="342" spans="7:7" x14ac:dyDescent="0.25">
      <c r="G342" s="99"/>
    </row>
    <row r="343" spans="7:7" x14ac:dyDescent="0.25">
      <c r="G343" s="99"/>
    </row>
    <row r="344" spans="7:7" x14ac:dyDescent="0.25">
      <c r="G344" s="99"/>
    </row>
    <row r="345" spans="7:7" x14ac:dyDescent="0.25">
      <c r="G345" s="99"/>
    </row>
    <row r="346" spans="7:7" x14ac:dyDescent="0.25">
      <c r="G346" s="99"/>
    </row>
    <row r="347" spans="7:7" x14ac:dyDescent="0.25">
      <c r="G347" s="99"/>
    </row>
    <row r="348" spans="7:7" x14ac:dyDescent="0.25">
      <c r="G348" s="99"/>
    </row>
    <row r="349" spans="7:7" x14ac:dyDescent="0.25">
      <c r="G349" s="99"/>
    </row>
    <row r="350" spans="7:7" x14ac:dyDescent="0.25">
      <c r="G350" s="99"/>
    </row>
    <row r="351" spans="7:7" x14ac:dyDescent="0.25">
      <c r="G351" s="99"/>
    </row>
    <row r="352" spans="7:7" x14ac:dyDescent="0.25">
      <c r="G352" s="99"/>
    </row>
    <row r="353" spans="7:7" x14ac:dyDescent="0.25">
      <c r="G353" s="99"/>
    </row>
    <row r="354" spans="7:7" x14ac:dyDescent="0.25">
      <c r="G354" s="99"/>
    </row>
    <row r="355" spans="7:7" x14ac:dyDescent="0.25">
      <c r="G355" s="99"/>
    </row>
    <row r="356" spans="7:7" x14ac:dyDescent="0.25">
      <c r="G356" s="99"/>
    </row>
    <row r="357" spans="7:7" x14ac:dyDescent="0.25">
      <c r="G357" s="99"/>
    </row>
    <row r="358" spans="7:7" x14ac:dyDescent="0.25">
      <c r="G358" s="99"/>
    </row>
    <row r="359" spans="7:7" x14ac:dyDescent="0.25">
      <c r="G359" s="99"/>
    </row>
    <row r="360" spans="7:7" x14ac:dyDescent="0.25">
      <c r="G360" s="99"/>
    </row>
    <row r="361" spans="7:7" x14ac:dyDescent="0.25">
      <c r="G361" s="99"/>
    </row>
    <row r="362" spans="7:7" x14ac:dyDescent="0.25">
      <c r="G362" s="99"/>
    </row>
    <row r="363" spans="7:7" x14ac:dyDescent="0.25">
      <c r="G363" s="99"/>
    </row>
    <row r="364" spans="7:7" x14ac:dyDescent="0.25">
      <c r="G364" s="99"/>
    </row>
    <row r="365" spans="7:7" x14ac:dyDescent="0.25">
      <c r="G365" s="99"/>
    </row>
    <row r="366" spans="7:7" x14ac:dyDescent="0.25">
      <c r="G366" s="99"/>
    </row>
    <row r="367" spans="7:7" x14ac:dyDescent="0.25">
      <c r="G367" s="99"/>
    </row>
    <row r="368" spans="7:7" x14ac:dyDescent="0.25">
      <c r="G368" s="99"/>
    </row>
    <row r="369" spans="7:7" x14ac:dyDescent="0.25">
      <c r="G369" s="99"/>
    </row>
    <row r="370" spans="7:7" x14ac:dyDescent="0.25">
      <c r="G370" s="99"/>
    </row>
    <row r="371" spans="7:7" x14ac:dyDescent="0.25">
      <c r="G371" s="99"/>
    </row>
    <row r="372" spans="7:7" x14ac:dyDescent="0.25">
      <c r="G372" s="99"/>
    </row>
    <row r="373" spans="7:7" x14ac:dyDescent="0.25">
      <c r="G373" s="99"/>
    </row>
    <row r="374" spans="7:7" x14ac:dyDescent="0.25">
      <c r="G374" s="99"/>
    </row>
    <row r="375" spans="7:7" x14ac:dyDescent="0.25">
      <c r="G375" s="99"/>
    </row>
    <row r="376" spans="7:7" x14ac:dyDescent="0.25">
      <c r="G376" s="99"/>
    </row>
    <row r="377" spans="7:7" x14ac:dyDescent="0.25">
      <c r="G377" s="99"/>
    </row>
    <row r="378" spans="7:7" x14ac:dyDescent="0.25">
      <c r="G378" s="99"/>
    </row>
    <row r="379" spans="7:7" x14ac:dyDescent="0.25">
      <c r="G379" s="99"/>
    </row>
    <row r="380" spans="7:7" x14ac:dyDescent="0.25">
      <c r="G380" s="99"/>
    </row>
    <row r="381" spans="7:7" x14ac:dyDescent="0.25">
      <c r="G381" s="99"/>
    </row>
    <row r="382" spans="7:7" x14ac:dyDescent="0.25">
      <c r="G382" s="99"/>
    </row>
    <row r="383" spans="7:7" x14ac:dyDescent="0.25">
      <c r="G383" s="99"/>
    </row>
    <row r="384" spans="7:7" x14ac:dyDescent="0.25">
      <c r="G384" s="99"/>
    </row>
    <row r="385" spans="7:7" x14ac:dyDescent="0.25">
      <c r="G385" s="99"/>
    </row>
    <row r="386" spans="7:7" x14ac:dyDescent="0.25">
      <c r="G386" s="99"/>
    </row>
    <row r="387" spans="7:7" x14ac:dyDescent="0.25">
      <c r="G387" s="99"/>
    </row>
    <row r="388" spans="7:7" x14ac:dyDescent="0.25">
      <c r="G388" s="99"/>
    </row>
    <row r="389" spans="7:7" x14ac:dyDescent="0.25">
      <c r="G389" s="99"/>
    </row>
    <row r="390" spans="7:7" x14ac:dyDescent="0.25">
      <c r="G390" s="99"/>
    </row>
    <row r="391" spans="7:7" x14ac:dyDescent="0.25">
      <c r="G391" s="99"/>
    </row>
    <row r="392" spans="7:7" x14ac:dyDescent="0.25">
      <c r="G392" s="99"/>
    </row>
    <row r="393" spans="7:7" x14ac:dyDescent="0.25">
      <c r="G393" s="99"/>
    </row>
    <row r="394" spans="7:7" x14ac:dyDescent="0.25">
      <c r="G394" s="99"/>
    </row>
    <row r="395" spans="7:7" x14ac:dyDescent="0.25">
      <c r="G395" s="99"/>
    </row>
    <row r="396" spans="7:7" x14ac:dyDescent="0.25">
      <c r="G396" s="99"/>
    </row>
    <row r="397" spans="7:7" x14ac:dyDescent="0.25">
      <c r="G397" s="99"/>
    </row>
    <row r="398" spans="7:7" x14ac:dyDescent="0.25">
      <c r="G398" s="99"/>
    </row>
    <row r="399" spans="7:7" x14ac:dyDescent="0.25">
      <c r="G399" s="99"/>
    </row>
    <row r="400" spans="7:7" x14ac:dyDescent="0.25">
      <c r="G400" s="99"/>
    </row>
    <row r="401" spans="7:7" x14ac:dyDescent="0.25">
      <c r="G401" s="99"/>
    </row>
    <row r="402" spans="7:7" x14ac:dyDescent="0.25">
      <c r="G402" s="99"/>
    </row>
    <row r="403" spans="7:7" x14ac:dyDescent="0.25">
      <c r="G403" s="99"/>
    </row>
    <row r="404" spans="7:7" x14ac:dyDescent="0.25">
      <c r="G404" s="99"/>
    </row>
    <row r="405" spans="7:7" x14ac:dyDescent="0.25">
      <c r="G405" s="99"/>
    </row>
    <row r="406" spans="7:7" x14ac:dyDescent="0.25">
      <c r="G406" s="99"/>
    </row>
    <row r="407" spans="7:7" x14ac:dyDescent="0.25">
      <c r="G407" s="99"/>
    </row>
    <row r="408" spans="7:7" x14ac:dyDescent="0.25">
      <c r="G408" s="99"/>
    </row>
    <row r="409" spans="7:7" x14ac:dyDescent="0.25">
      <c r="G409" s="99"/>
    </row>
    <row r="410" spans="7:7" x14ac:dyDescent="0.25">
      <c r="G410" s="99"/>
    </row>
    <row r="411" spans="7:7" x14ac:dyDescent="0.25">
      <c r="G411" s="99"/>
    </row>
    <row r="412" spans="7:7" x14ac:dyDescent="0.25">
      <c r="G412" s="99"/>
    </row>
    <row r="413" spans="7:7" x14ac:dyDescent="0.25">
      <c r="G413" s="99"/>
    </row>
    <row r="414" spans="7:7" x14ac:dyDescent="0.25">
      <c r="G414" s="99"/>
    </row>
    <row r="415" spans="7:7" x14ac:dyDescent="0.25">
      <c r="G415" s="99"/>
    </row>
    <row r="416" spans="7:7" x14ac:dyDescent="0.25">
      <c r="G416" s="99"/>
    </row>
    <row r="417" spans="7:7" x14ac:dyDescent="0.25">
      <c r="G417" s="99"/>
    </row>
    <row r="418" spans="7:7" x14ac:dyDescent="0.25">
      <c r="G418" s="99"/>
    </row>
    <row r="419" spans="7:7" x14ac:dyDescent="0.25">
      <c r="G419" s="99"/>
    </row>
    <row r="420" spans="7:7" x14ac:dyDescent="0.25">
      <c r="G420" s="99"/>
    </row>
    <row r="421" spans="7:7" x14ac:dyDescent="0.25">
      <c r="G421" s="99"/>
    </row>
    <row r="422" spans="7:7" x14ac:dyDescent="0.25">
      <c r="G422" s="99"/>
    </row>
    <row r="423" spans="7:7" x14ac:dyDescent="0.25">
      <c r="G423" s="99"/>
    </row>
    <row r="424" spans="7:7" x14ac:dyDescent="0.25">
      <c r="G424" s="99"/>
    </row>
    <row r="425" spans="7:7" x14ac:dyDescent="0.25">
      <c r="G425" s="99"/>
    </row>
    <row r="426" spans="7:7" x14ac:dyDescent="0.25">
      <c r="G426" s="99"/>
    </row>
    <row r="427" spans="7:7" x14ac:dyDescent="0.25">
      <c r="G427" s="99"/>
    </row>
    <row r="428" spans="7:7" x14ac:dyDescent="0.25">
      <c r="G428" s="99"/>
    </row>
    <row r="429" spans="7:7" x14ac:dyDescent="0.25">
      <c r="G429" s="99"/>
    </row>
    <row r="430" spans="7:7" x14ac:dyDescent="0.25">
      <c r="G430" s="99"/>
    </row>
    <row r="431" spans="7:7" x14ac:dyDescent="0.25">
      <c r="G431" s="99"/>
    </row>
    <row r="432" spans="7:7" x14ac:dyDescent="0.25">
      <c r="G432" s="99"/>
    </row>
    <row r="433" spans="7:7" x14ac:dyDescent="0.25">
      <c r="G433" s="99"/>
    </row>
    <row r="434" spans="7:7" x14ac:dyDescent="0.25">
      <c r="G434" s="99"/>
    </row>
    <row r="435" spans="7:7" x14ac:dyDescent="0.25">
      <c r="G435" s="99"/>
    </row>
    <row r="436" spans="7:7" x14ac:dyDescent="0.25">
      <c r="G436" s="99"/>
    </row>
    <row r="437" spans="7:7" x14ac:dyDescent="0.25">
      <c r="G437" s="99"/>
    </row>
    <row r="438" spans="7:7" x14ac:dyDescent="0.25">
      <c r="G438" s="99"/>
    </row>
    <row r="439" spans="7:7" x14ac:dyDescent="0.25">
      <c r="G439" s="99"/>
    </row>
    <row r="440" spans="7:7" x14ac:dyDescent="0.25">
      <c r="G440" s="99"/>
    </row>
    <row r="441" spans="7:7" x14ac:dyDescent="0.25">
      <c r="G441" s="99"/>
    </row>
    <row r="442" spans="7:7" x14ac:dyDescent="0.25">
      <c r="G442" s="99"/>
    </row>
    <row r="443" spans="7:7" x14ac:dyDescent="0.25">
      <c r="G443" s="99"/>
    </row>
    <row r="444" spans="7:7" x14ac:dyDescent="0.25">
      <c r="G444" s="99"/>
    </row>
    <row r="445" spans="7:7" x14ac:dyDescent="0.25">
      <c r="G445" s="99"/>
    </row>
    <row r="446" spans="7:7" x14ac:dyDescent="0.25">
      <c r="G446" s="99"/>
    </row>
    <row r="447" spans="7:7" x14ac:dyDescent="0.25">
      <c r="G447" s="99"/>
    </row>
    <row r="448" spans="7:7" x14ac:dyDescent="0.25">
      <c r="G448" s="99"/>
    </row>
    <row r="449" spans="7:7" x14ac:dyDescent="0.25">
      <c r="G449" s="99"/>
    </row>
    <row r="450" spans="7:7" x14ac:dyDescent="0.25">
      <c r="G450" s="99"/>
    </row>
    <row r="451" spans="7:7" x14ac:dyDescent="0.25">
      <c r="G451" s="99"/>
    </row>
    <row r="452" spans="7:7" x14ac:dyDescent="0.25">
      <c r="G452" s="99"/>
    </row>
    <row r="453" spans="7:7" x14ac:dyDescent="0.25">
      <c r="G453" s="99"/>
    </row>
    <row r="454" spans="7:7" x14ac:dyDescent="0.25">
      <c r="G454" s="99"/>
    </row>
    <row r="455" spans="7:7" x14ac:dyDescent="0.25">
      <c r="G455" s="99"/>
    </row>
    <row r="456" spans="7:7" x14ac:dyDescent="0.25">
      <c r="G456" s="99"/>
    </row>
    <row r="457" spans="7:7" x14ac:dyDescent="0.25">
      <c r="G457" s="99"/>
    </row>
    <row r="458" spans="7:7" x14ac:dyDescent="0.25">
      <c r="G458" s="99"/>
    </row>
    <row r="459" spans="7:7" x14ac:dyDescent="0.25">
      <c r="G459" s="99"/>
    </row>
    <row r="460" spans="7:7" x14ac:dyDescent="0.25">
      <c r="G460" s="99"/>
    </row>
    <row r="461" spans="7:7" x14ac:dyDescent="0.25">
      <c r="G461" s="99"/>
    </row>
    <row r="462" spans="7:7" x14ac:dyDescent="0.25">
      <c r="G462" s="99"/>
    </row>
    <row r="463" spans="7:7" x14ac:dyDescent="0.25">
      <c r="G463" s="99"/>
    </row>
    <row r="464" spans="7:7" x14ac:dyDescent="0.25">
      <c r="G464" s="99"/>
    </row>
    <row r="465" spans="7:7" x14ac:dyDescent="0.25">
      <c r="G465" s="99"/>
    </row>
    <row r="466" spans="7:7" x14ac:dyDescent="0.25">
      <c r="G466" s="99"/>
    </row>
    <row r="467" spans="7:7" x14ac:dyDescent="0.25">
      <c r="G467" s="99"/>
    </row>
    <row r="468" spans="7:7" x14ac:dyDescent="0.25">
      <c r="G468" s="99"/>
    </row>
    <row r="469" spans="7:7" x14ac:dyDescent="0.25">
      <c r="G469" s="99"/>
    </row>
    <row r="470" spans="7:7" x14ac:dyDescent="0.25">
      <c r="G470" s="99"/>
    </row>
    <row r="471" spans="7:7" x14ac:dyDescent="0.25">
      <c r="G471" s="99"/>
    </row>
    <row r="472" spans="7:7" x14ac:dyDescent="0.25">
      <c r="G472" s="99"/>
    </row>
    <row r="473" spans="7:7" x14ac:dyDescent="0.25">
      <c r="G473" s="99"/>
    </row>
    <row r="474" spans="7:7" x14ac:dyDescent="0.25">
      <c r="G474" s="99"/>
    </row>
    <row r="475" spans="7:7" x14ac:dyDescent="0.25">
      <c r="G475" s="99"/>
    </row>
    <row r="476" spans="7:7" x14ac:dyDescent="0.25">
      <c r="G476" s="99"/>
    </row>
    <row r="477" spans="7:7" x14ac:dyDescent="0.25">
      <c r="G477" s="99"/>
    </row>
    <row r="478" spans="7:7" x14ac:dyDescent="0.25">
      <c r="G478" s="99"/>
    </row>
    <row r="479" spans="7:7" x14ac:dyDescent="0.25">
      <c r="G479" s="99"/>
    </row>
    <row r="480" spans="7:7" x14ac:dyDescent="0.25">
      <c r="G480" s="99"/>
    </row>
    <row r="481" spans="7:7" x14ac:dyDescent="0.25">
      <c r="G481" s="99"/>
    </row>
    <row r="482" spans="7:7" x14ac:dyDescent="0.25">
      <c r="G482" s="99"/>
    </row>
    <row r="483" spans="7:7" x14ac:dyDescent="0.25">
      <c r="G483" s="99"/>
    </row>
    <row r="484" spans="7:7" x14ac:dyDescent="0.25">
      <c r="G484" s="99"/>
    </row>
    <row r="485" spans="7:7" x14ac:dyDescent="0.25">
      <c r="G485" s="99"/>
    </row>
    <row r="486" spans="7:7" x14ac:dyDescent="0.25">
      <c r="G486" s="99"/>
    </row>
    <row r="487" spans="7:7" x14ac:dyDescent="0.25">
      <c r="G487" s="99"/>
    </row>
    <row r="488" spans="7:7" x14ac:dyDescent="0.25">
      <c r="G488" s="99"/>
    </row>
    <row r="489" spans="7:7" x14ac:dyDescent="0.25">
      <c r="G489" s="99"/>
    </row>
    <row r="490" spans="7:7" x14ac:dyDescent="0.25">
      <c r="G490" s="99"/>
    </row>
    <row r="491" spans="7:7" x14ac:dyDescent="0.25">
      <c r="G491" s="99"/>
    </row>
    <row r="492" spans="7:7" x14ac:dyDescent="0.25">
      <c r="G492" s="99"/>
    </row>
    <row r="493" spans="7:7" x14ac:dyDescent="0.25">
      <c r="G493" s="99"/>
    </row>
    <row r="494" spans="7:7" x14ac:dyDescent="0.25">
      <c r="G494" s="99"/>
    </row>
    <row r="495" spans="7:7" x14ac:dyDescent="0.25">
      <c r="G495" s="99"/>
    </row>
    <row r="496" spans="7:7" x14ac:dyDescent="0.25">
      <c r="G496" s="99"/>
    </row>
    <row r="497" spans="7:7" x14ac:dyDescent="0.25">
      <c r="G497" s="99"/>
    </row>
    <row r="498" spans="7:7" x14ac:dyDescent="0.25">
      <c r="G498" s="99"/>
    </row>
    <row r="499" spans="7:7" x14ac:dyDescent="0.25">
      <c r="G499" s="99"/>
    </row>
    <row r="500" spans="7:7" x14ac:dyDescent="0.25">
      <c r="G500" s="99"/>
    </row>
    <row r="501" spans="7:7" x14ac:dyDescent="0.25">
      <c r="G501" s="99"/>
    </row>
    <row r="502" spans="7:7" x14ac:dyDescent="0.25">
      <c r="G502" s="99"/>
    </row>
    <row r="503" spans="7:7" x14ac:dyDescent="0.25">
      <c r="G503" s="99"/>
    </row>
    <row r="504" spans="7:7" x14ac:dyDescent="0.25">
      <c r="G504" s="99"/>
    </row>
    <row r="505" spans="7:7" x14ac:dyDescent="0.25">
      <c r="G505" s="99"/>
    </row>
    <row r="506" spans="7:7" x14ac:dyDescent="0.25">
      <c r="G506" s="99"/>
    </row>
    <row r="507" spans="7:7" x14ac:dyDescent="0.25">
      <c r="G507" s="99"/>
    </row>
    <row r="508" spans="7:7" x14ac:dyDescent="0.25">
      <c r="G508" s="99"/>
    </row>
    <row r="509" spans="7:7" x14ac:dyDescent="0.25">
      <c r="G509" s="99"/>
    </row>
    <row r="510" spans="7:7" x14ac:dyDescent="0.25">
      <c r="G510" s="99"/>
    </row>
    <row r="511" spans="7:7" x14ac:dyDescent="0.25">
      <c r="G511" s="99"/>
    </row>
    <row r="512" spans="7:7" x14ac:dyDescent="0.25">
      <c r="G512" s="99"/>
    </row>
    <row r="513" spans="7:7" x14ac:dyDescent="0.25">
      <c r="G513" s="99"/>
    </row>
    <row r="514" spans="7:7" x14ac:dyDescent="0.25">
      <c r="G514" s="99"/>
    </row>
    <row r="515" spans="7:7" x14ac:dyDescent="0.25">
      <c r="G515" s="99"/>
    </row>
    <row r="516" spans="7:7" x14ac:dyDescent="0.25">
      <c r="G516" s="99"/>
    </row>
    <row r="517" spans="7:7" x14ac:dyDescent="0.25">
      <c r="G517" s="99"/>
    </row>
    <row r="518" spans="7:7" x14ac:dyDescent="0.25">
      <c r="G518" s="99"/>
    </row>
    <row r="519" spans="7:7" x14ac:dyDescent="0.25">
      <c r="G519" s="99"/>
    </row>
    <row r="520" spans="7:7" x14ac:dyDescent="0.25">
      <c r="G520" s="99"/>
    </row>
    <row r="521" spans="7:7" x14ac:dyDescent="0.25">
      <c r="G521" s="99"/>
    </row>
    <row r="522" spans="7:7" x14ac:dyDescent="0.25">
      <c r="G522" s="99"/>
    </row>
    <row r="523" spans="7:7" x14ac:dyDescent="0.25">
      <c r="G523" s="99"/>
    </row>
    <row r="524" spans="7:7" x14ac:dyDescent="0.25">
      <c r="G524" s="99"/>
    </row>
    <row r="525" spans="7:7" x14ac:dyDescent="0.25">
      <c r="G525" s="99"/>
    </row>
    <row r="526" spans="7:7" x14ac:dyDescent="0.25">
      <c r="G526" s="99"/>
    </row>
    <row r="527" spans="7:7" x14ac:dyDescent="0.25">
      <c r="G527" s="99"/>
    </row>
    <row r="528" spans="7:7" x14ac:dyDescent="0.25">
      <c r="G528" s="99"/>
    </row>
    <row r="529" spans="7:7" x14ac:dyDescent="0.25">
      <c r="G529" s="99"/>
    </row>
    <row r="530" spans="7:7" x14ac:dyDescent="0.25">
      <c r="G530" s="99"/>
    </row>
    <row r="531" spans="7:7" x14ac:dyDescent="0.25">
      <c r="G531" s="99"/>
    </row>
    <row r="532" spans="7:7" x14ac:dyDescent="0.25">
      <c r="G532" s="99"/>
    </row>
    <row r="533" spans="7:7" x14ac:dyDescent="0.25">
      <c r="G533" s="99"/>
    </row>
    <row r="534" spans="7:7" x14ac:dyDescent="0.25">
      <c r="G534" s="99"/>
    </row>
    <row r="535" spans="7:7" x14ac:dyDescent="0.25">
      <c r="G535" s="99"/>
    </row>
    <row r="536" spans="7:7" x14ac:dyDescent="0.25">
      <c r="G536" s="99"/>
    </row>
    <row r="537" spans="7:7" x14ac:dyDescent="0.25">
      <c r="G537" s="99"/>
    </row>
    <row r="538" spans="7:7" x14ac:dyDescent="0.25">
      <c r="G538" s="99"/>
    </row>
    <row r="539" spans="7:7" x14ac:dyDescent="0.25">
      <c r="G539" s="99"/>
    </row>
    <row r="540" spans="7:7" x14ac:dyDescent="0.25">
      <c r="G540" s="99"/>
    </row>
    <row r="541" spans="7:7" x14ac:dyDescent="0.25">
      <c r="G541" s="99"/>
    </row>
    <row r="542" spans="7:7" x14ac:dyDescent="0.25">
      <c r="G542" s="99"/>
    </row>
    <row r="543" spans="7:7" x14ac:dyDescent="0.25">
      <c r="G543" s="99"/>
    </row>
    <row r="544" spans="7:7" x14ac:dyDescent="0.25">
      <c r="G544" s="99"/>
    </row>
    <row r="545" spans="7:7" x14ac:dyDescent="0.25">
      <c r="G545" s="99"/>
    </row>
    <row r="546" spans="7:7" x14ac:dyDescent="0.25">
      <c r="G546" s="99"/>
    </row>
    <row r="547" spans="7:7" x14ac:dyDescent="0.25">
      <c r="G547" s="99"/>
    </row>
    <row r="548" spans="7:7" x14ac:dyDescent="0.25">
      <c r="G548" s="99"/>
    </row>
    <row r="549" spans="7:7" x14ac:dyDescent="0.25">
      <c r="G549" s="99"/>
    </row>
    <row r="550" spans="7:7" x14ac:dyDescent="0.25">
      <c r="G550" s="99"/>
    </row>
    <row r="551" spans="7:7" x14ac:dyDescent="0.25">
      <c r="G551" s="99"/>
    </row>
    <row r="552" spans="7:7" x14ac:dyDescent="0.25">
      <c r="G552" s="99"/>
    </row>
    <row r="553" spans="7:7" x14ac:dyDescent="0.25">
      <c r="G553" s="99"/>
    </row>
    <row r="554" spans="7:7" x14ac:dyDescent="0.25">
      <c r="G554" s="99"/>
    </row>
    <row r="555" spans="7:7" x14ac:dyDescent="0.25">
      <c r="G555" s="99"/>
    </row>
    <row r="556" spans="7:7" x14ac:dyDescent="0.25">
      <c r="G556" s="99"/>
    </row>
    <row r="557" spans="7:7" x14ac:dyDescent="0.25">
      <c r="G557" s="99"/>
    </row>
    <row r="558" spans="7:7" x14ac:dyDescent="0.25">
      <c r="G558" s="99"/>
    </row>
    <row r="559" spans="7:7" x14ac:dyDescent="0.25">
      <c r="G559" s="99"/>
    </row>
    <row r="560" spans="7:7" x14ac:dyDescent="0.25">
      <c r="G560" s="99"/>
    </row>
    <row r="561" spans="7:7" x14ac:dyDescent="0.25">
      <c r="G561" s="99"/>
    </row>
    <row r="562" spans="7:7" x14ac:dyDescent="0.25">
      <c r="G562" s="99"/>
    </row>
    <row r="563" spans="7:7" x14ac:dyDescent="0.25">
      <c r="G563" s="99"/>
    </row>
    <row r="564" spans="7:7" x14ac:dyDescent="0.25">
      <c r="G564" s="99"/>
    </row>
    <row r="565" spans="7:7" x14ac:dyDescent="0.25">
      <c r="G565" s="99"/>
    </row>
    <row r="566" spans="7:7" x14ac:dyDescent="0.25">
      <c r="G566" s="99"/>
    </row>
    <row r="567" spans="7:7" x14ac:dyDescent="0.25">
      <c r="G567" s="99"/>
    </row>
    <row r="568" spans="7:7" x14ac:dyDescent="0.25">
      <c r="G568" s="99"/>
    </row>
    <row r="569" spans="7:7" x14ac:dyDescent="0.25">
      <c r="G569" s="99"/>
    </row>
    <row r="570" spans="7:7" x14ac:dyDescent="0.25">
      <c r="G570" s="99"/>
    </row>
    <row r="571" spans="7:7" x14ac:dyDescent="0.25">
      <c r="G571" s="99"/>
    </row>
    <row r="572" spans="7:7" x14ac:dyDescent="0.25">
      <c r="G572" s="99"/>
    </row>
    <row r="573" spans="7:7" x14ac:dyDescent="0.25">
      <c r="G573" s="99"/>
    </row>
    <row r="574" spans="7:7" x14ac:dyDescent="0.25">
      <c r="G574" s="99"/>
    </row>
    <row r="575" spans="7:7" x14ac:dyDescent="0.25">
      <c r="G575" s="99"/>
    </row>
    <row r="576" spans="7:7" x14ac:dyDescent="0.25">
      <c r="G576" s="99"/>
    </row>
    <row r="577" spans="7:7" x14ac:dyDescent="0.25">
      <c r="G577" s="99"/>
    </row>
    <row r="578" spans="7:7" x14ac:dyDescent="0.25">
      <c r="G578" s="99"/>
    </row>
    <row r="579" spans="7:7" x14ac:dyDescent="0.25">
      <c r="G579" s="99"/>
    </row>
    <row r="580" spans="7:7" x14ac:dyDescent="0.25">
      <c r="G580" s="99"/>
    </row>
    <row r="581" spans="7:7" x14ac:dyDescent="0.25">
      <c r="G581" s="99"/>
    </row>
    <row r="582" spans="7:7" x14ac:dyDescent="0.25">
      <c r="G582" s="99"/>
    </row>
    <row r="583" spans="7:7" x14ac:dyDescent="0.25">
      <c r="G583" s="99"/>
    </row>
    <row r="584" spans="7:7" x14ac:dyDescent="0.25">
      <c r="G584" s="99"/>
    </row>
    <row r="585" spans="7:7" x14ac:dyDescent="0.25">
      <c r="G585" s="99"/>
    </row>
    <row r="586" spans="7:7" x14ac:dyDescent="0.25">
      <c r="G586" s="99"/>
    </row>
    <row r="587" spans="7:7" x14ac:dyDescent="0.25">
      <c r="G587" s="99"/>
    </row>
    <row r="588" spans="7:7" x14ac:dyDescent="0.25">
      <c r="G588" s="99"/>
    </row>
    <row r="589" spans="7:7" x14ac:dyDescent="0.25">
      <c r="G589" s="99"/>
    </row>
    <row r="590" spans="7:7" x14ac:dyDescent="0.25">
      <c r="G590" s="99"/>
    </row>
    <row r="591" spans="7:7" x14ac:dyDescent="0.25">
      <c r="G591" s="99"/>
    </row>
    <row r="592" spans="7:7" x14ac:dyDescent="0.25">
      <c r="G592" s="99"/>
    </row>
    <row r="593" spans="7:7" x14ac:dyDescent="0.25">
      <c r="G593" s="99"/>
    </row>
    <row r="594" spans="7:7" x14ac:dyDescent="0.25">
      <c r="G594" s="99"/>
    </row>
    <row r="595" spans="7:7" x14ac:dyDescent="0.25">
      <c r="G595" s="99"/>
    </row>
    <row r="596" spans="7:7" x14ac:dyDescent="0.25">
      <c r="G596" s="99"/>
    </row>
    <row r="597" spans="7:7" x14ac:dyDescent="0.25">
      <c r="G597" s="99"/>
    </row>
    <row r="598" spans="7:7" x14ac:dyDescent="0.25">
      <c r="G598" s="99"/>
    </row>
    <row r="599" spans="7:7" x14ac:dyDescent="0.25">
      <c r="G599" s="99"/>
    </row>
    <row r="600" spans="7:7" x14ac:dyDescent="0.25">
      <c r="G600" s="99"/>
    </row>
    <row r="601" spans="7:7" x14ac:dyDescent="0.25">
      <c r="G601" s="99"/>
    </row>
    <row r="602" spans="7:7" x14ac:dyDescent="0.25">
      <c r="G602" s="99"/>
    </row>
    <row r="603" spans="7:7" x14ac:dyDescent="0.25">
      <c r="G603" s="99"/>
    </row>
    <row r="604" spans="7:7" x14ac:dyDescent="0.25">
      <c r="G604" s="99"/>
    </row>
    <row r="605" spans="7:7" x14ac:dyDescent="0.25">
      <c r="G605" s="99"/>
    </row>
    <row r="606" spans="7:7" x14ac:dyDescent="0.25">
      <c r="G606" s="99"/>
    </row>
    <row r="607" spans="7:7" x14ac:dyDescent="0.25">
      <c r="G607" s="99"/>
    </row>
    <row r="608" spans="7:7" x14ac:dyDescent="0.25">
      <c r="G608" s="99"/>
    </row>
    <row r="609" spans="7:7" x14ac:dyDescent="0.25">
      <c r="G609" s="99"/>
    </row>
    <row r="610" spans="7:7" x14ac:dyDescent="0.25">
      <c r="G610" s="99"/>
    </row>
    <row r="611" spans="7:7" x14ac:dyDescent="0.25">
      <c r="G611" s="99"/>
    </row>
    <row r="612" spans="7:7" x14ac:dyDescent="0.25">
      <c r="G612" s="99"/>
    </row>
    <row r="613" spans="7:7" x14ac:dyDescent="0.25">
      <c r="G613" s="99"/>
    </row>
    <row r="614" spans="7:7" x14ac:dyDescent="0.25">
      <c r="G614" s="99"/>
    </row>
    <row r="615" spans="7:7" x14ac:dyDescent="0.25">
      <c r="G615" s="99"/>
    </row>
    <row r="616" spans="7:7" x14ac:dyDescent="0.25">
      <c r="G616" s="99"/>
    </row>
    <row r="617" spans="7:7" x14ac:dyDescent="0.25">
      <c r="G617" s="99"/>
    </row>
    <row r="618" spans="7:7" x14ac:dyDescent="0.25">
      <c r="G618" s="99"/>
    </row>
    <row r="619" spans="7:7" x14ac:dyDescent="0.25">
      <c r="G619" s="99"/>
    </row>
    <row r="620" spans="7:7" x14ac:dyDescent="0.25">
      <c r="G620" s="99"/>
    </row>
    <row r="621" spans="7:7" x14ac:dyDescent="0.25">
      <c r="G621" s="99"/>
    </row>
    <row r="622" spans="7:7" x14ac:dyDescent="0.25">
      <c r="G622" s="99"/>
    </row>
    <row r="623" spans="7:7" x14ac:dyDescent="0.25">
      <c r="G623" s="99"/>
    </row>
    <row r="624" spans="7:7" x14ac:dyDescent="0.25">
      <c r="G624" s="99"/>
    </row>
    <row r="625" spans="7:7" x14ac:dyDescent="0.25">
      <c r="G625" s="99"/>
    </row>
    <row r="626" spans="7:7" x14ac:dyDescent="0.25">
      <c r="G626" s="99"/>
    </row>
    <row r="627" spans="7:7" x14ac:dyDescent="0.25">
      <c r="G627" s="99"/>
    </row>
    <row r="628" spans="7:7" x14ac:dyDescent="0.25">
      <c r="G628" s="99"/>
    </row>
    <row r="629" spans="7:7" x14ac:dyDescent="0.25">
      <c r="G629" s="99"/>
    </row>
    <row r="630" spans="7:7" x14ac:dyDescent="0.25">
      <c r="G630" s="99"/>
    </row>
    <row r="631" spans="7:7" x14ac:dyDescent="0.25">
      <c r="G631" s="99"/>
    </row>
    <row r="632" spans="7:7" x14ac:dyDescent="0.25">
      <c r="G632" s="99"/>
    </row>
    <row r="633" spans="7:7" x14ac:dyDescent="0.25">
      <c r="G633" s="99"/>
    </row>
    <row r="634" spans="7:7" x14ac:dyDescent="0.25">
      <c r="G634" s="99"/>
    </row>
    <row r="635" spans="7:7" x14ac:dyDescent="0.25">
      <c r="G635" s="99"/>
    </row>
    <row r="636" spans="7:7" x14ac:dyDescent="0.25">
      <c r="G636" s="99"/>
    </row>
    <row r="637" spans="7:7" x14ac:dyDescent="0.25">
      <c r="G637" s="99"/>
    </row>
    <row r="638" spans="7:7" x14ac:dyDescent="0.25">
      <c r="G638" s="99"/>
    </row>
    <row r="639" spans="7:7" x14ac:dyDescent="0.25">
      <c r="G639" s="99"/>
    </row>
    <row r="640" spans="7:7" x14ac:dyDescent="0.25">
      <c r="G640" s="99"/>
    </row>
    <row r="641" spans="7:7" x14ac:dyDescent="0.25">
      <c r="G641" s="99"/>
    </row>
    <row r="642" spans="7:7" x14ac:dyDescent="0.25">
      <c r="G642" s="99"/>
    </row>
    <row r="643" spans="7:7" x14ac:dyDescent="0.25">
      <c r="G643" s="99"/>
    </row>
    <row r="644" spans="7:7" x14ac:dyDescent="0.25">
      <c r="G644" s="99"/>
    </row>
    <row r="645" spans="7:7" x14ac:dyDescent="0.25">
      <c r="G645" s="99"/>
    </row>
    <row r="646" spans="7:7" x14ac:dyDescent="0.25">
      <c r="G646" s="99"/>
    </row>
    <row r="647" spans="7:7" x14ac:dyDescent="0.25">
      <c r="G647" s="99"/>
    </row>
    <row r="648" spans="7:7" x14ac:dyDescent="0.25">
      <c r="G648" s="99"/>
    </row>
    <row r="649" spans="7:7" x14ac:dyDescent="0.25">
      <c r="G649" s="99"/>
    </row>
    <row r="650" spans="7:7" x14ac:dyDescent="0.25">
      <c r="G650" s="99"/>
    </row>
    <row r="651" spans="7:7" x14ac:dyDescent="0.25">
      <c r="G651" s="99"/>
    </row>
    <row r="652" spans="7:7" x14ac:dyDescent="0.25">
      <c r="G652" s="99"/>
    </row>
    <row r="653" spans="7:7" x14ac:dyDescent="0.25">
      <c r="G653" s="99"/>
    </row>
    <row r="654" spans="7:7" x14ac:dyDescent="0.25">
      <c r="G654" s="99"/>
    </row>
    <row r="655" spans="7:7" x14ac:dyDescent="0.25">
      <c r="G655" s="99"/>
    </row>
    <row r="656" spans="7:7" x14ac:dyDescent="0.25">
      <c r="G656" s="99"/>
    </row>
    <row r="657" spans="7:7" x14ac:dyDescent="0.25">
      <c r="G657" s="99"/>
    </row>
    <row r="658" spans="7:7" x14ac:dyDescent="0.25">
      <c r="G658" s="99"/>
    </row>
    <row r="659" spans="7:7" x14ac:dyDescent="0.25">
      <c r="G659" s="99"/>
    </row>
    <row r="660" spans="7:7" x14ac:dyDescent="0.25">
      <c r="G660" s="99"/>
    </row>
    <row r="661" spans="7:7" x14ac:dyDescent="0.25">
      <c r="G661" s="99"/>
    </row>
    <row r="662" spans="7:7" x14ac:dyDescent="0.25">
      <c r="G662" s="99"/>
    </row>
    <row r="663" spans="7:7" x14ac:dyDescent="0.25">
      <c r="G663" s="99"/>
    </row>
    <row r="664" spans="7:7" x14ac:dyDescent="0.25">
      <c r="G664" s="99"/>
    </row>
    <row r="665" spans="7:7" x14ac:dyDescent="0.25">
      <c r="G665" s="99"/>
    </row>
    <row r="666" spans="7:7" x14ac:dyDescent="0.25">
      <c r="G666" s="99"/>
    </row>
    <row r="667" spans="7:7" x14ac:dyDescent="0.25">
      <c r="G667" s="99"/>
    </row>
    <row r="668" spans="7:7" x14ac:dyDescent="0.25">
      <c r="G668" s="99"/>
    </row>
    <row r="669" spans="7:7" x14ac:dyDescent="0.25">
      <c r="G669" s="99"/>
    </row>
    <row r="670" spans="7:7" x14ac:dyDescent="0.25">
      <c r="G670" s="99"/>
    </row>
    <row r="671" spans="7:7" x14ac:dyDescent="0.25">
      <c r="G671" s="99"/>
    </row>
    <row r="672" spans="7:7" x14ac:dyDescent="0.25">
      <c r="G672" s="99"/>
    </row>
    <row r="673" spans="7:7" x14ac:dyDescent="0.25">
      <c r="G673" s="99"/>
    </row>
    <row r="674" spans="7:7" x14ac:dyDescent="0.25">
      <c r="G674" s="99"/>
    </row>
    <row r="675" spans="7:7" x14ac:dyDescent="0.25">
      <c r="G675" s="99"/>
    </row>
    <row r="676" spans="7:7" x14ac:dyDescent="0.25">
      <c r="G676" s="99"/>
    </row>
    <row r="677" spans="7:7" x14ac:dyDescent="0.25">
      <c r="G677" s="99"/>
    </row>
    <row r="678" spans="7:7" x14ac:dyDescent="0.25">
      <c r="G678" s="99"/>
    </row>
    <row r="679" spans="7:7" x14ac:dyDescent="0.25">
      <c r="G679" s="99"/>
    </row>
    <row r="680" spans="7:7" x14ac:dyDescent="0.25">
      <c r="G680" s="99"/>
    </row>
    <row r="681" spans="7:7" x14ac:dyDescent="0.25">
      <c r="G681" s="99"/>
    </row>
    <row r="682" spans="7:7" x14ac:dyDescent="0.25">
      <c r="G682" s="99"/>
    </row>
    <row r="683" spans="7:7" x14ac:dyDescent="0.25">
      <c r="G683" s="99"/>
    </row>
    <row r="684" spans="7:7" x14ac:dyDescent="0.25">
      <c r="G684" s="99"/>
    </row>
    <row r="685" spans="7:7" x14ac:dyDescent="0.25">
      <c r="G685" s="99"/>
    </row>
    <row r="686" spans="7:7" x14ac:dyDescent="0.25">
      <c r="G686" s="99"/>
    </row>
    <row r="687" spans="7:7" x14ac:dyDescent="0.25">
      <c r="G687" s="99"/>
    </row>
    <row r="688" spans="7:7" x14ac:dyDescent="0.25">
      <c r="G688" s="99"/>
    </row>
    <row r="689" spans="7:7" x14ac:dyDescent="0.25">
      <c r="G689" s="99"/>
    </row>
    <row r="690" spans="7:7" x14ac:dyDescent="0.25">
      <c r="G690" s="99"/>
    </row>
    <row r="691" spans="7:7" x14ac:dyDescent="0.25">
      <c r="G691" s="99"/>
    </row>
    <row r="692" spans="7:7" x14ac:dyDescent="0.25">
      <c r="G692" s="99"/>
    </row>
    <row r="693" spans="7:7" x14ac:dyDescent="0.25">
      <c r="G693" s="99"/>
    </row>
    <row r="694" spans="7:7" x14ac:dyDescent="0.25">
      <c r="G694" s="99"/>
    </row>
    <row r="695" spans="7:7" x14ac:dyDescent="0.25">
      <c r="G695" s="99"/>
    </row>
    <row r="696" spans="7:7" x14ac:dyDescent="0.25">
      <c r="G696" s="99"/>
    </row>
    <row r="697" spans="7:7" x14ac:dyDescent="0.25">
      <c r="G697" s="99"/>
    </row>
    <row r="698" spans="7:7" x14ac:dyDescent="0.25">
      <c r="G698" s="99"/>
    </row>
    <row r="699" spans="7:7" x14ac:dyDescent="0.25">
      <c r="G699" s="99"/>
    </row>
    <row r="700" spans="7:7" x14ac:dyDescent="0.25">
      <c r="G700" s="99"/>
    </row>
    <row r="701" spans="7:7" x14ac:dyDescent="0.25">
      <c r="G701" s="99"/>
    </row>
    <row r="702" spans="7:7" x14ac:dyDescent="0.25">
      <c r="G702" s="99"/>
    </row>
    <row r="703" spans="7:7" x14ac:dyDescent="0.25">
      <c r="G703" s="99"/>
    </row>
    <row r="704" spans="7:7" x14ac:dyDescent="0.25">
      <c r="G704" s="99"/>
    </row>
    <row r="705" spans="7:7" x14ac:dyDescent="0.25">
      <c r="G705" s="99"/>
    </row>
    <row r="706" spans="7:7" x14ac:dyDescent="0.25">
      <c r="G706" s="99"/>
    </row>
    <row r="707" spans="7:7" x14ac:dyDescent="0.25">
      <c r="G707" s="99"/>
    </row>
    <row r="708" spans="7:7" x14ac:dyDescent="0.25">
      <c r="G708" s="99"/>
    </row>
    <row r="709" spans="7:7" x14ac:dyDescent="0.25">
      <c r="G709" s="99"/>
    </row>
    <row r="710" spans="7:7" x14ac:dyDescent="0.25">
      <c r="G710" s="99"/>
    </row>
    <row r="711" spans="7:7" x14ac:dyDescent="0.25">
      <c r="G711" s="99"/>
    </row>
    <row r="712" spans="7:7" x14ac:dyDescent="0.25">
      <c r="G712" s="99"/>
    </row>
    <row r="713" spans="7:7" x14ac:dyDescent="0.25">
      <c r="G713" s="99"/>
    </row>
    <row r="714" spans="7:7" x14ac:dyDescent="0.25">
      <c r="G714" s="99"/>
    </row>
    <row r="715" spans="7:7" x14ac:dyDescent="0.25">
      <c r="G715" s="99"/>
    </row>
    <row r="716" spans="7:7" x14ac:dyDescent="0.25">
      <c r="G716" s="99"/>
    </row>
    <row r="717" spans="7:7" x14ac:dyDescent="0.25">
      <c r="G717" s="99"/>
    </row>
    <row r="718" spans="7:7" x14ac:dyDescent="0.25">
      <c r="G718" s="99"/>
    </row>
    <row r="719" spans="7:7" x14ac:dyDescent="0.25">
      <c r="G719" s="99"/>
    </row>
    <row r="720" spans="7:7" x14ac:dyDescent="0.25">
      <c r="G720" s="99"/>
    </row>
    <row r="721" spans="7:7" x14ac:dyDescent="0.25">
      <c r="G721" s="99"/>
    </row>
    <row r="722" spans="7:7" x14ac:dyDescent="0.25">
      <c r="G722" s="99"/>
    </row>
    <row r="723" spans="7:7" x14ac:dyDescent="0.25">
      <c r="G723" s="99"/>
    </row>
    <row r="724" spans="7:7" x14ac:dyDescent="0.25">
      <c r="G724" s="99"/>
    </row>
    <row r="725" spans="7:7" x14ac:dyDescent="0.25">
      <c r="G725" s="99"/>
    </row>
    <row r="726" spans="7:7" x14ac:dyDescent="0.25">
      <c r="G726" s="99"/>
    </row>
    <row r="727" spans="7:7" x14ac:dyDescent="0.25">
      <c r="G727" s="99"/>
    </row>
    <row r="728" spans="7:7" x14ac:dyDescent="0.25">
      <c r="G728" s="99"/>
    </row>
    <row r="729" spans="7:7" x14ac:dyDescent="0.25">
      <c r="G729" s="99"/>
    </row>
    <row r="730" spans="7:7" x14ac:dyDescent="0.25">
      <c r="G730" s="99"/>
    </row>
    <row r="731" spans="7:7" x14ac:dyDescent="0.25">
      <c r="G731" s="99"/>
    </row>
    <row r="732" spans="7:7" x14ac:dyDescent="0.25">
      <c r="G732" s="99"/>
    </row>
    <row r="733" spans="7:7" x14ac:dyDescent="0.25">
      <c r="G733" s="99"/>
    </row>
    <row r="734" spans="7:7" x14ac:dyDescent="0.25">
      <c r="G734" s="99"/>
    </row>
    <row r="735" spans="7:7" x14ac:dyDescent="0.25">
      <c r="G735" s="99"/>
    </row>
    <row r="736" spans="7:7" x14ac:dyDescent="0.25">
      <c r="G736" s="99"/>
    </row>
    <row r="737" spans="7:7" x14ac:dyDescent="0.25">
      <c r="G737" s="99"/>
    </row>
    <row r="738" spans="7:7" x14ac:dyDescent="0.25">
      <c r="G738" s="99"/>
    </row>
    <row r="739" spans="7:7" x14ac:dyDescent="0.25">
      <c r="G739" s="99"/>
    </row>
    <row r="740" spans="7:7" x14ac:dyDescent="0.25">
      <c r="G740" s="99"/>
    </row>
    <row r="741" spans="7:7" x14ac:dyDescent="0.25">
      <c r="G741" s="99"/>
    </row>
    <row r="742" spans="7:7" x14ac:dyDescent="0.25">
      <c r="G742" s="99"/>
    </row>
    <row r="743" spans="7:7" x14ac:dyDescent="0.25">
      <c r="G743" s="99"/>
    </row>
    <row r="744" spans="7:7" x14ac:dyDescent="0.25">
      <c r="G744" s="99"/>
    </row>
    <row r="745" spans="7:7" x14ac:dyDescent="0.25">
      <c r="G745" s="99"/>
    </row>
    <row r="746" spans="7:7" x14ac:dyDescent="0.25">
      <c r="G746" s="99"/>
    </row>
    <row r="747" spans="7:7" x14ac:dyDescent="0.25">
      <c r="G747" s="99"/>
    </row>
    <row r="748" spans="7:7" x14ac:dyDescent="0.25">
      <c r="G748" s="99"/>
    </row>
    <row r="749" spans="7:7" x14ac:dyDescent="0.25">
      <c r="G749" s="99"/>
    </row>
    <row r="750" spans="7:7" x14ac:dyDescent="0.25">
      <c r="G750" s="99"/>
    </row>
    <row r="751" spans="7:7" x14ac:dyDescent="0.25">
      <c r="G751" s="99"/>
    </row>
    <row r="752" spans="7:7" x14ac:dyDescent="0.25">
      <c r="G752" s="99"/>
    </row>
    <row r="753" spans="7:7" x14ac:dyDescent="0.25">
      <c r="G753" s="99"/>
    </row>
    <row r="754" spans="7:7" x14ac:dyDescent="0.25">
      <c r="G754" s="99"/>
    </row>
    <row r="755" spans="7:7" x14ac:dyDescent="0.25">
      <c r="G755" s="99"/>
    </row>
    <row r="756" spans="7:7" x14ac:dyDescent="0.25">
      <c r="G756" s="99"/>
    </row>
    <row r="757" spans="7:7" x14ac:dyDescent="0.25">
      <c r="G757" s="99"/>
    </row>
    <row r="758" spans="7:7" x14ac:dyDescent="0.25">
      <c r="G758" s="99"/>
    </row>
    <row r="759" spans="7:7" x14ac:dyDescent="0.25">
      <c r="G759" s="99"/>
    </row>
    <row r="760" spans="7:7" x14ac:dyDescent="0.25">
      <c r="G760" s="99"/>
    </row>
    <row r="761" spans="7:7" x14ac:dyDescent="0.25">
      <c r="G761" s="99"/>
    </row>
    <row r="762" spans="7:7" x14ac:dyDescent="0.25">
      <c r="G762" s="99"/>
    </row>
    <row r="763" spans="7:7" x14ac:dyDescent="0.25">
      <c r="G763" s="99"/>
    </row>
    <row r="764" spans="7:7" x14ac:dyDescent="0.25">
      <c r="G764" s="99"/>
    </row>
    <row r="765" spans="7:7" x14ac:dyDescent="0.25">
      <c r="G765" s="99"/>
    </row>
    <row r="766" spans="7:7" x14ac:dyDescent="0.25">
      <c r="G766" s="99"/>
    </row>
    <row r="767" spans="7:7" x14ac:dyDescent="0.25">
      <c r="G767" s="99"/>
    </row>
    <row r="768" spans="7:7" x14ac:dyDescent="0.25">
      <c r="G768" s="99"/>
    </row>
    <row r="769" spans="7:7" x14ac:dyDescent="0.25">
      <c r="G769" s="99"/>
    </row>
    <row r="770" spans="7:7" x14ac:dyDescent="0.25">
      <c r="G770" s="99"/>
    </row>
    <row r="771" spans="7:7" x14ac:dyDescent="0.25">
      <c r="G771" s="99"/>
    </row>
    <row r="772" spans="7:7" x14ac:dyDescent="0.25">
      <c r="G772" s="99"/>
    </row>
    <row r="773" spans="7:7" x14ac:dyDescent="0.25">
      <c r="G773" s="99"/>
    </row>
    <row r="774" spans="7:7" x14ac:dyDescent="0.25">
      <c r="G774" s="99"/>
    </row>
    <row r="775" spans="7:7" x14ac:dyDescent="0.25">
      <c r="G775" s="99"/>
    </row>
    <row r="776" spans="7:7" x14ac:dyDescent="0.25">
      <c r="G776" s="99"/>
    </row>
    <row r="777" spans="7:7" x14ac:dyDescent="0.25">
      <c r="G777" s="99"/>
    </row>
    <row r="778" spans="7:7" x14ac:dyDescent="0.25">
      <c r="G778" s="99"/>
    </row>
    <row r="779" spans="7:7" x14ac:dyDescent="0.25">
      <c r="G779" s="99"/>
    </row>
    <row r="780" spans="7:7" x14ac:dyDescent="0.25">
      <c r="G780" s="99"/>
    </row>
    <row r="781" spans="7:7" x14ac:dyDescent="0.25">
      <c r="G781" s="99"/>
    </row>
    <row r="782" spans="7:7" x14ac:dyDescent="0.25">
      <c r="G782" s="99"/>
    </row>
    <row r="783" spans="7:7" x14ac:dyDescent="0.25">
      <c r="G783" s="99"/>
    </row>
    <row r="784" spans="7:7" x14ac:dyDescent="0.25">
      <c r="G784" s="99"/>
    </row>
    <row r="785" spans="7:7" x14ac:dyDescent="0.25">
      <c r="G785" s="99"/>
    </row>
    <row r="786" spans="7:7" x14ac:dyDescent="0.25">
      <c r="G786" s="99"/>
    </row>
    <row r="787" spans="7:7" x14ac:dyDescent="0.25">
      <c r="G787" s="99"/>
    </row>
    <row r="788" spans="7:7" x14ac:dyDescent="0.25">
      <c r="G788" s="99"/>
    </row>
    <row r="789" spans="7:7" x14ac:dyDescent="0.25">
      <c r="G789" s="99"/>
    </row>
    <row r="790" spans="7:7" x14ac:dyDescent="0.25">
      <c r="G790" s="99"/>
    </row>
    <row r="791" spans="7:7" x14ac:dyDescent="0.25">
      <c r="G791" s="99"/>
    </row>
    <row r="792" spans="7:7" x14ac:dyDescent="0.25">
      <c r="G792" s="99"/>
    </row>
    <row r="793" spans="7:7" x14ac:dyDescent="0.25">
      <c r="G793" s="99"/>
    </row>
    <row r="794" spans="7:7" x14ac:dyDescent="0.25">
      <c r="G794" s="99"/>
    </row>
    <row r="795" spans="7:7" x14ac:dyDescent="0.25">
      <c r="G795" s="99"/>
    </row>
    <row r="796" spans="7:7" x14ac:dyDescent="0.25">
      <c r="G796" s="99"/>
    </row>
    <row r="797" spans="7:7" x14ac:dyDescent="0.25">
      <c r="G797" s="99"/>
    </row>
    <row r="798" spans="7:7" x14ac:dyDescent="0.25">
      <c r="G798" s="99"/>
    </row>
    <row r="799" spans="7:7" x14ac:dyDescent="0.25">
      <c r="G799" s="99"/>
    </row>
    <row r="800" spans="7:7" x14ac:dyDescent="0.25">
      <c r="G800" s="99"/>
    </row>
    <row r="801" spans="7:7" x14ac:dyDescent="0.25">
      <c r="G801" s="99"/>
    </row>
    <row r="802" spans="7:7" x14ac:dyDescent="0.25">
      <c r="G802" s="99"/>
    </row>
    <row r="803" spans="7:7" x14ac:dyDescent="0.25">
      <c r="G803" s="99"/>
    </row>
    <row r="804" spans="7:7" x14ac:dyDescent="0.25">
      <c r="G804" s="99"/>
    </row>
    <row r="805" spans="7:7" x14ac:dyDescent="0.25">
      <c r="G805" s="99"/>
    </row>
    <row r="806" spans="7:7" x14ac:dyDescent="0.25">
      <c r="G806" s="99"/>
    </row>
    <row r="807" spans="7:7" x14ac:dyDescent="0.25">
      <c r="G807" s="99"/>
    </row>
    <row r="808" spans="7:7" x14ac:dyDescent="0.25">
      <c r="G808" s="99"/>
    </row>
    <row r="809" spans="7:7" x14ac:dyDescent="0.25">
      <c r="G809" s="99"/>
    </row>
    <row r="810" spans="7:7" x14ac:dyDescent="0.25">
      <c r="G810" s="99"/>
    </row>
    <row r="811" spans="7:7" x14ac:dyDescent="0.25">
      <c r="G811" s="99"/>
    </row>
    <row r="812" spans="7:7" x14ac:dyDescent="0.25">
      <c r="G812" s="99"/>
    </row>
    <row r="813" spans="7:7" x14ac:dyDescent="0.25">
      <c r="G813" s="99"/>
    </row>
    <row r="814" spans="7:7" x14ac:dyDescent="0.25">
      <c r="G814" s="99"/>
    </row>
    <row r="815" spans="7:7" x14ac:dyDescent="0.25">
      <c r="G815" s="99"/>
    </row>
    <row r="816" spans="7:7" x14ac:dyDescent="0.25">
      <c r="G816" s="99"/>
    </row>
    <row r="817" spans="7:7" x14ac:dyDescent="0.25">
      <c r="G817" s="99"/>
    </row>
    <row r="818" spans="7:7" x14ac:dyDescent="0.25">
      <c r="G818" s="99"/>
    </row>
    <row r="819" spans="7:7" x14ac:dyDescent="0.25">
      <c r="G819" s="99"/>
    </row>
    <row r="820" spans="7:7" x14ac:dyDescent="0.25">
      <c r="G820" s="99"/>
    </row>
    <row r="821" spans="7:7" x14ac:dyDescent="0.25">
      <c r="G821" s="99"/>
    </row>
    <row r="822" spans="7:7" x14ac:dyDescent="0.25">
      <c r="G822" s="99"/>
    </row>
    <row r="823" spans="7:7" x14ac:dyDescent="0.25">
      <c r="G823" s="99"/>
    </row>
    <row r="824" spans="7:7" x14ac:dyDescent="0.25">
      <c r="G824" s="99"/>
    </row>
    <row r="825" spans="7:7" x14ac:dyDescent="0.25">
      <c r="G825" s="99"/>
    </row>
    <row r="826" spans="7:7" x14ac:dyDescent="0.25">
      <c r="G826" s="99"/>
    </row>
    <row r="827" spans="7:7" x14ac:dyDescent="0.25">
      <c r="G827" s="99"/>
    </row>
    <row r="828" spans="7:7" x14ac:dyDescent="0.25">
      <c r="G828" s="99"/>
    </row>
    <row r="829" spans="7:7" x14ac:dyDescent="0.25">
      <c r="G829" s="99"/>
    </row>
    <row r="830" spans="7:7" x14ac:dyDescent="0.25">
      <c r="G830" s="99"/>
    </row>
    <row r="831" spans="7:7" x14ac:dyDescent="0.25">
      <c r="G831" s="99"/>
    </row>
    <row r="832" spans="7:7" x14ac:dyDescent="0.25">
      <c r="G832" s="99"/>
    </row>
    <row r="833" spans="7:7" x14ac:dyDescent="0.25">
      <c r="G833" s="99"/>
    </row>
    <row r="834" spans="7:7" x14ac:dyDescent="0.25">
      <c r="G834" s="99"/>
    </row>
    <row r="835" spans="7:7" x14ac:dyDescent="0.25">
      <c r="G835" s="99"/>
    </row>
    <row r="836" spans="7:7" x14ac:dyDescent="0.25">
      <c r="G836" s="99"/>
    </row>
    <row r="837" spans="7:7" x14ac:dyDescent="0.25">
      <c r="G837" s="99"/>
    </row>
    <row r="838" spans="7:7" x14ac:dyDescent="0.25">
      <c r="G838" s="99"/>
    </row>
    <row r="839" spans="7:7" x14ac:dyDescent="0.25">
      <c r="G839" s="99"/>
    </row>
    <row r="840" spans="7:7" x14ac:dyDescent="0.25">
      <c r="G840" s="99"/>
    </row>
    <row r="841" spans="7:7" x14ac:dyDescent="0.25">
      <c r="G841" s="99"/>
    </row>
    <row r="842" spans="7:7" x14ac:dyDescent="0.25">
      <c r="G842" s="99"/>
    </row>
    <row r="843" spans="7:7" x14ac:dyDescent="0.25">
      <c r="G843" s="99"/>
    </row>
    <row r="844" spans="7:7" x14ac:dyDescent="0.25">
      <c r="G844" s="99"/>
    </row>
    <row r="845" spans="7:7" x14ac:dyDescent="0.25">
      <c r="G845" s="99"/>
    </row>
    <row r="846" spans="7:7" x14ac:dyDescent="0.25">
      <c r="G846" s="99"/>
    </row>
    <row r="847" spans="7:7" x14ac:dyDescent="0.25">
      <c r="G847" s="99"/>
    </row>
    <row r="848" spans="7:7" x14ac:dyDescent="0.25">
      <c r="G848" s="99"/>
    </row>
    <row r="849" spans="7:7" x14ac:dyDescent="0.25">
      <c r="G849" s="99"/>
    </row>
    <row r="850" spans="7:7" x14ac:dyDescent="0.25">
      <c r="G850" s="99"/>
    </row>
    <row r="851" spans="7:7" x14ac:dyDescent="0.25">
      <c r="G851" s="99"/>
    </row>
    <row r="852" spans="7:7" x14ac:dyDescent="0.25">
      <c r="G852" s="99"/>
    </row>
    <row r="853" spans="7:7" x14ac:dyDescent="0.25">
      <c r="G853" s="99"/>
    </row>
    <row r="854" spans="7:7" x14ac:dyDescent="0.25">
      <c r="G854" s="99"/>
    </row>
    <row r="855" spans="7:7" x14ac:dyDescent="0.25">
      <c r="G855" s="99"/>
    </row>
    <row r="856" spans="7:7" x14ac:dyDescent="0.25">
      <c r="G856" s="99"/>
    </row>
    <row r="857" spans="7:7" x14ac:dyDescent="0.25">
      <c r="G857" s="99"/>
    </row>
    <row r="858" spans="7:7" x14ac:dyDescent="0.25">
      <c r="G858" s="99"/>
    </row>
    <row r="859" spans="7:7" x14ac:dyDescent="0.25">
      <c r="G859" s="99"/>
    </row>
    <row r="860" spans="7:7" x14ac:dyDescent="0.25">
      <c r="G860" s="99"/>
    </row>
    <row r="861" spans="7:7" x14ac:dyDescent="0.25">
      <c r="G861" s="99"/>
    </row>
    <row r="862" spans="7:7" x14ac:dyDescent="0.25">
      <c r="G862" s="99"/>
    </row>
    <row r="863" spans="7:7" x14ac:dyDescent="0.25">
      <c r="G863" s="99"/>
    </row>
    <row r="864" spans="7:7" x14ac:dyDescent="0.25">
      <c r="G864" s="99"/>
    </row>
    <row r="865" spans="7:7" x14ac:dyDescent="0.25">
      <c r="G865" s="99"/>
    </row>
    <row r="866" spans="7:7" x14ac:dyDescent="0.25">
      <c r="G866" s="99"/>
    </row>
    <row r="867" spans="7:7" x14ac:dyDescent="0.25">
      <c r="G867" s="99"/>
    </row>
    <row r="868" spans="7:7" x14ac:dyDescent="0.25">
      <c r="G868" s="99"/>
    </row>
    <row r="869" spans="7:7" x14ac:dyDescent="0.25">
      <c r="G869" s="99"/>
    </row>
    <row r="870" spans="7:7" x14ac:dyDescent="0.25">
      <c r="G870" s="99"/>
    </row>
    <row r="871" spans="7:7" x14ac:dyDescent="0.25">
      <c r="G871" s="99"/>
    </row>
    <row r="872" spans="7:7" x14ac:dyDescent="0.25">
      <c r="G872" s="99"/>
    </row>
    <row r="873" spans="7:7" x14ac:dyDescent="0.25">
      <c r="G873" s="99"/>
    </row>
    <row r="874" spans="7:7" x14ac:dyDescent="0.25">
      <c r="G874" s="99"/>
    </row>
    <row r="875" spans="7:7" x14ac:dyDescent="0.25">
      <c r="G875" s="99"/>
    </row>
    <row r="876" spans="7:7" x14ac:dyDescent="0.25">
      <c r="G876" s="99"/>
    </row>
    <row r="877" spans="7:7" x14ac:dyDescent="0.25">
      <c r="G877" s="99"/>
    </row>
    <row r="878" spans="7:7" x14ac:dyDescent="0.25">
      <c r="G878" s="99"/>
    </row>
    <row r="879" spans="7:7" x14ac:dyDescent="0.25">
      <c r="G879" s="99"/>
    </row>
    <row r="880" spans="7:7" x14ac:dyDescent="0.25">
      <c r="G880" s="99"/>
    </row>
    <row r="881" spans="7:7" x14ac:dyDescent="0.25">
      <c r="G881" s="99"/>
    </row>
    <row r="882" spans="7:7" x14ac:dyDescent="0.25">
      <c r="G882" s="99"/>
    </row>
    <row r="883" spans="7:7" x14ac:dyDescent="0.25">
      <c r="G883" s="99"/>
    </row>
    <row r="884" spans="7:7" x14ac:dyDescent="0.25">
      <c r="G884" s="99"/>
    </row>
    <row r="885" spans="7:7" x14ac:dyDescent="0.25">
      <c r="G885" s="99"/>
    </row>
    <row r="886" spans="7:7" x14ac:dyDescent="0.25">
      <c r="G886" s="99"/>
    </row>
    <row r="887" spans="7:7" x14ac:dyDescent="0.25">
      <c r="G887" s="99"/>
    </row>
    <row r="888" spans="7:7" x14ac:dyDescent="0.25">
      <c r="G888" s="99"/>
    </row>
    <row r="889" spans="7:7" x14ac:dyDescent="0.25">
      <c r="G889" s="99"/>
    </row>
    <row r="890" spans="7:7" x14ac:dyDescent="0.25">
      <c r="G890" s="99"/>
    </row>
    <row r="891" spans="7:7" x14ac:dyDescent="0.25">
      <c r="G891" s="99"/>
    </row>
    <row r="892" spans="7:7" x14ac:dyDescent="0.25">
      <c r="G892" s="99"/>
    </row>
    <row r="893" spans="7:7" x14ac:dyDescent="0.25">
      <c r="G893" s="99"/>
    </row>
    <row r="894" spans="7:7" x14ac:dyDescent="0.25">
      <c r="G894" s="99"/>
    </row>
    <row r="895" spans="7:7" x14ac:dyDescent="0.25">
      <c r="G895" s="99"/>
    </row>
    <row r="896" spans="7:7" x14ac:dyDescent="0.25">
      <c r="G896" s="99"/>
    </row>
    <row r="897" spans="7:7" x14ac:dyDescent="0.25">
      <c r="G897" s="99"/>
    </row>
    <row r="898" spans="7:7" x14ac:dyDescent="0.25">
      <c r="G898" s="99"/>
    </row>
    <row r="899" spans="7:7" x14ac:dyDescent="0.25">
      <c r="G899" s="99"/>
    </row>
    <row r="900" spans="7:7" x14ac:dyDescent="0.25">
      <c r="G900" s="99"/>
    </row>
    <row r="901" spans="7:7" x14ac:dyDescent="0.25">
      <c r="G901" s="99"/>
    </row>
    <row r="902" spans="7:7" x14ac:dyDescent="0.25">
      <c r="G902" s="99"/>
    </row>
    <row r="903" spans="7:7" x14ac:dyDescent="0.25">
      <c r="G903" s="99"/>
    </row>
    <row r="904" spans="7:7" x14ac:dyDescent="0.25">
      <c r="G904" s="99"/>
    </row>
    <row r="905" spans="7:7" x14ac:dyDescent="0.25">
      <c r="G905" s="99"/>
    </row>
    <row r="906" spans="7:7" x14ac:dyDescent="0.25">
      <c r="G906" s="99"/>
    </row>
    <row r="907" spans="7:7" x14ac:dyDescent="0.25">
      <c r="G907" s="99"/>
    </row>
    <row r="908" spans="7:7" x14ac:dyDescent="0.25">
      <c r="G908" s="99"/>
    </row>
    <row r="909" spans="7:7" x14ac:dyDescent="0.25">
      <c r="G909" s="99"/>
    </row>
    <row r="910" spans="7:7" x14ac:dyDescent="0.25">
      <c r="G910" s="99"/>
    </row>
    <row r="911" spans="7:7" x14ac:dyDescent="0.25">
      <c r="G911" s="99"/>
    </row>
    <row r="912" spans="7:7" x14ac:dyDescent="0.25">
      <c r="G912" s="99"/>
    </row>
    <row r="913" spans="7:7" x14ac:dyDescent="0.25">
      <c r="G913" s="99"/>
    </row>
    <row r="914" spans="7:7" x14ac:dyDescent="0.25">
      <c r="G914" s="99"/>
    </row>
    <row r="915" spans="7:7" x14ac:dyDescent="0.25">
      <c r="G915" s="99"/>
    </row>
    <row r="916" spans="7:7" x14ac:dyDescent="0.25">
      <c r="G916" s="99"/>
    </row>
    <row r="917" spans="7:7" x14ac:dyDescent="0.25">
      <c r="G917" s="99"/>
    </row>
    <row r="918" spans="7:7" x14ac:dyDescent="0.25">
      <c r="G918" s="99"/>
    </row>
    <row r="919" spans="7:7" x14ac:dyDescent="0.25">
      <c r="G919" s="99"/>
    </row>
    <row r="920" spans="7:7" x14ac:dyDescent="0.25">
      <c r="G920" s="99"/>
    </row>
    <row r="921" spans="7:7" x14ac:dyDescent="0.25">
      <c r="G921" s="99"/>
    </row>
    <row r="922" spans="7:7" x14ac:dyDescent="0.25">
      <c r="G922" s="99"/>
    </row>
    <row r="923" spans="7:7" x14ac:dyDescent="0.25">
      <c r="G923" s="99"/>
    </row>
    <row r="924" spans="7:7" x14ac:dyDescent="0.25">
      <c r="G924" s="99"/>
    </row>
    <row r="925" spans="7:7" x14ac:dyDescent="0.25">
      <c r="G925" s="99"/>
    </row>
    <row r="926" spans="7:7" x14ac:dyDescent="0.25">
      <c r="G926" s="99"/>
    </row>
    <row r="927" spans="7:7" x14ac:dyDescent="0.25">
      <c r="G927" s="99"/>
    </row>
    <row r="928" spans="7:7" x14ac:dyDescent="0.25">
      <c r="G928" s="99"/>
    </row>
    <row r="929" spans="7:7" x14ac:dyDescent="0.25">
      <c r="G929" s="99"/>
    </row>
    <row r="930" spans="7:7" x14ac:dyDescent="0.25">
      <c r="G930" s="99"/>
    </row>
    <row r="931" spans="7:7" x14ac:dyDescent="0.25">
      <c r="G931" s="99"/>
    </row>
    <row r="932" spans="7:7" x14ac:dyDescent="0.25">
      <c r="G932" s="99"/>
    </row>
    <row r="933" spans="7:7" x14ac:dyDescent="0.25">
      <c r="G933" s="99"/>
    </row>
    <row r="934" spans="7:7" x14ac:dyDescent="0.25">
      <c r="G934" s="99"/>
    </row>
    <row r="935" spans="7:7" x14ac:dyDescent="0.25">
      <c r="G935" s="99"/>
    </row>
    <row r="936" spans="7:7" x14ac:dyDescent="0.25">
      <c r="G936" s="99"/>
    </row>
    <row r="937" spans="7:7" x14ac:dyDescent="0.25">
      <c r="G937" s="99"/>
    </row>
    <row r="938" spans="7:7" x14ac:dyDescent="0.25">
      <c r="G938" s="99"/>
    </row>
    <row r="939" spans="7:7" x14ac:dyDescent="0.25">
      <c r="G939" s="99"/>
    </row>
    <row r="940" spans="7:7" x14ac:dyDescent="0.25">
      <c r="G940" s="99"/>
    </row>
    <row r="941" spans="7:7" x14ac:dyDescent="0.25">
      <c r="G941" s="99"/>
    </row>
    <row r="942" spans="7:7" x14ac:dyDescent="0.25">
      <c r="G942" s="99"/>
    </row>
    <row r="943" spans="7:7" x14ac:dyDescent="0.25">
      <c r="G943" s="99"/>
    </row>
    <row r="944" spans="7:7" x14ac:dyDescent="0.25">
      <c r="G944" s="99"/>
    </row>
    <row r="945" spans="7:7" x14ac:dyDescent="0.25">
      <c r="G945" s="99"/>
    </row>
    <row r="946" spans="7:7" x14ac:dyDescent="0.25">
      <c r="G946" s="99"/>
    </row>
    <row r="947" spans="7:7" x14ac:dyDescent="0.25">
      <c r="G947" s="99"/>
    </row>
    <row r="948" spans="7:7" x14ac:dyDescent="0.25">
      <c r="G948" s="99"/>
    </row>
    <row r="949" spans="7:7" x14ac:dyDescent="0.25">
      <c r="G949" s="99"/>
    </row>
    <row r="950" spans="7:7" x14ac:dyDescent="0.25">
      <c r="G950" s="99"/>
    </row>
    <row r="951" spans="7:7" x14ac:dyDescent="0.25">
      <c r="G951" s="99"/>
    </row>
    <row r="952" spans="7:7" x14ac:dyDescent="0.25">
      <c r="G952" s="99"/>
    </row>
    <row r="953" spans="7:7" x14ac:dyDescent="0.25">
      <c r="G953" s="99"/>
    </row>
    <row r="954" spans="7:7" x14ac:dyDescent="0.25">
      <c r="G954" s="99"/>
    </row>
    <row r="955" spans="7:7" x14ac:dyDescent="0.25">
      <c r="G955" s="99"/>
    </row>
    <row r="956" spans="7:7" x14ac:dyDescent="0.25">
      <c r="G956" s="99"/>
    </row>
    <row r="957" spans="7:7" x14ac:dyDescent="0.25">
      <c r="G957" s="99"/>
    </row>
    <row r="958" spans="7:7" x14ac:dyDescent="0.25">
      <c r="G958" s="99"/>
    </row>
    <row r="959" spans="7:7" x14ac:dyDescent="0.25">
      <c r="G959" s="99"/>
    </row>
    <row r="960" spans="7:7" x14ac:dyDescent="0.25">
      <c r="G960" s="99"/>
    </row>
    <row r="961" spans="7:7" x14ac:dyDescent="0.25">
      <c r="G961" s="99"/>
    </row>
    <row r="962" spans="7:7" x14ac:dyDescent="0.25">
      <c r="G962" s="99"/>
    </row>
    <row r="963" spans="7:7" x14ac:dyDescent="0.25">
      <c r="G963" s="99"/>
    </row>
    <row r="964" spans="7:7" x14ac:dyDescent="0.25">
      <c r="G964" s="99"/>
    </row>
    <row r="965" spans="7:7" x14ac:dyDescent="0.25">
      <c r="G965" s="99"/>
    </row>
    <row r="966" spans="7:7" x14ac:dyDescent="0.25">
      <c r="G966" s="99"/>
    </row>
    <row r="967" spans="7:7" x14ac:dyDescent="0.25">
      <c r="G967" s="99"/>
    </row>
    <row r="968" spans="7:7" x14ac:dyDescent="0.25">
      <c r="G968" s="99"/>
    </row>
    <row r="969" spans="7:7" x14ac:dyDescent="0.25">
      <c r="G969" s="99"/>
    </row>
    <row r="970" spans="7:7" x14ac:dyDescent="0.25">
      <c r="G970" s="99"/>
    </row>
    <row r="971" spans="7:7" x14ac:dyDescent="0.25">
      <c r="G971" s="99"/>
    </row>
    <row r="972" spans="7:7" x14ac:dyDescent="0.25">
      <c r="G972" s="99"/>
    </row>
    <row r="973" spans="7:7" x14ac:dyDescent="0.25">
      <c r="G973" s="99"/>
    </row>
    <row r="974" spans="7:7" x14ac:dyDescent="0.25">
      <c r="G974" s="99"/>
    </row>
    <row r="975" spans="7:7" x14ac:dyDescent="0.25">
      <c r="G975" s="99"/>
    </row>
    <row r="976" spans="7:7" x14ac:dyDescent="0.25">
      <c r="G976" s="99"/>
    </row>
    <row r="977" spans="7:7" x14ac:dyDescent="0.25">
      <c r="G977" s="99"/>
    </row>
    <row r="978" spans="7:7" x14ac:dyDescent="0.25">
      <c r="G978" s="99"/>
    </row>
    <row r="979" spans="7:7" x14ac:dyDescent="0.25">
      <c r="G979" s="99"/>
    </row>
    <row r="980" spans="7:7" x14ac:dyDescent="0.25">
      <c r="G980" s="99"/>
    </row>
    <row r="981" spans="7:7" x14ac:dyDescent="0.25">
      <c r="G981" s="99"/>
    </row>
    <row r="982" spans="7:7" x14ac:dyDescent="0.25">
      <c r="G982" s="99"/>
    </row>
    <row r="983" spans="7:7" x14ac:dyDescent="0.25">
      <c r="G983" s="99"/>
    </row>
    <row r="984" spans="7:7" x14ac:dyDescent="0.25">
      <c r="G984" s="99"/>
    </row>
    <row r="985" spans="7:7" x14ac:dyDescent="0.25">
      <c r="G985" s="99"/>
    </row>
    <row r="986" spans="7:7" x14ac:dyDescent="0.25">
      <c r="G986" s="99"/>
    </row>
    <row r="987" spans="7:7" x14ac:dyDescent="0.25">
      <c r="G987" s="99"/>
    </row>
    <row r="988" spans="7:7" x14ac:dyDescent="0.25">
      <c r="G988" s="99"/>
    </row>
    <row r="989" spans="7:7" x14ac:dyDescent="0.25">
      <c r="G989" s="99"/>
    </row>
    <row r="990" spans="7:7" x14ac:dyDescent="0.25">
      <c r="G990" s="99"/>
    </row>
    <row r="991" spans="7:7" x14ac:dyDescent="0.25">
      <c r="G991" s="99"/>
    </row>
    <row r="992" spans="7:7" x14ac:dyDescent="0.25">
      <c r="G992" s="99"/>
    </row>
    <row r="993" spans="7:7" x14ac:dyDescent="0.25">
      <c r="G993" s="99"/>
    </row>
    <row r="994" spans="7:7" x14ac:dyDescent="0.25">
      <c r="G994" s="99"/>
    </row>
    <row r="995" spans="7:7" x14ac:dyDescent="0.25">
      <c r="G995" s="99"/>
    </row>
    <row r="996" spans="7:7" x14ac:dyDescent="0.25">
      <c r="G996" s="99"/>
    </row>
    <row r="997" spans="7:7" x14ac:dyDescent="0.25">
      <c r="G997" s="99"/>
    </row>
    <row r="998" spans="7:7" x14ac:dyDescent="0.25">
      <c r="G998" s="99"/>
    </row>
    <row r="999" spans="7:7" x14ac:dyDescent="0.25">
      <c r="G999" s="99"/>
    </row>
    <row r="1000" spans="7:7" x14ac:dyDescent="0.25">
      <c r="G1000" s="99"/>
    </row>
    <row r="1001" spans="7:7" x14ac:dyDescent="0.25">
      <c r="G1001" s="99"/>
    </row>
    <row r="1002" spans="7:7" x14ac:dyDescent="0.25">
      <c r="G1002" s="99"/>
    </row>
    <row r="1003" spans="7:7" x14ac:dyDescent="0.25">
      <c r="G1003" s="99"/>
    </row>
    <row r="1004" spans="7:7" x14ac:dyDescent="0.25">
      <c r="G1004" s="99"/>
    </row>
    <row r="1005" spans="7:7" x14ac:dyDescent="0.25">
      <c r="G1005" s="99"/>
    </row>
    <row r="1006" spans="7:7" x14ac:dyDescent="0.25">
      <c r="G1006" s="99"/>
    </row>
    <row r="1007" spans="7:7" x14ac:dyDescent="0.25">
      <c r="G1007" s="99"/>
    </row>
    <row r="1008" spans="7:7" x14ac:dyDescent="0.25">
      <c r="G1008" s="99"/>
    </row>
    <row r="1009" spans="7:7" x14ac:dyDescent="0.25">
      <c r="G1009" s="99"/>
    </row>
    <row r="1010" spans="7:7" x14ac:dyDescent="0.25">
      <c r="G1010" s="99"/>
    </row>
    <row r="1011" spans="7:7" x14ac:dyDescent="0.25">
      <c r="G1011" s="99"/>
    </row>
    <row r="1012" spans="7:7" x14ac:dyDescent="0.25">
      <c r="G1012" s="99"/>
    </row>
    <row r="1013" spans="7:7" x14ac:dyDescent="0.25">
      <c r="G1013" s="99"/>
    </row>
    <row r="1014" spans="7:7" x14ac:dyDescent="0.25">
      <c r="G1014" s="99"/>
    </row>
    <row r="1015" spans="7:7" x14ac:dyDescent="0.25">
      <c r="G1015" s="99"/>
    </row>
    <row r="1016" spans="7:7" x14ac:dyDescent="0.25">
      <c r="G1016" s="99"/>
    </row>
    <row r="1017" spans="7:7" x14ac:dyDescent="0.25">
      <c r="G1017" s="99"/>
    </row>
    <row r="1018" spans="7:7" x14ac:dyDescent="0.25">
      <c r="G1018" s="99"/>
    </row>
    <row r="1019" spans="7:7" x14ac:dyDescent="0.25">
      <c r="G1019" s="99"/>
    </row>
    <row r="1020" spans="7:7" x14ac:dyDescent="0.25">
      <c r="G1020" s="99"/>
    </row>
    <row r="1021" spans="7:7" x14ac:dyDescent="0.25">
      <c r="G1021" s="99"/>
    </row>
    <row r="1022" spans="7:7" x14ac:dyDescent="0.25">
      <c r="G1022" s="99"/>
    </row>
    <row r="1023" spans="7:7" x14ac:dyDescent="0.25">
      <c r="G1023" s="99"/>
    </row>
    <row r="1024" spans="7:7" x14ac:dyDescent="0.25">
      <c r="G1024" s="99"/>
    </row>
    <row r="1025" spans="7:7" x14ac:dyDescent="0.25">
      <c r="G1025" s="99"/>
    </row>
    <row r="1026" spans="7:7" x14ac:dyDescent="0.25">
      <c r="G1026" s="99"/>
    </row>
    <row r="1027" spans="7:7" x14ac:dyDescent="0.25">
      <c r="G1027" s="99"/>
    </row>
    <row r="1028" spans="7:7" x14ac:dyDescent="0.25">
      <c r="G1028" s="99"/>
    </row>
    <row r="1029" spans="7:7" x14ac:dyDescent="0.25">
      <c r="G1029" s="99"/>
    </row>
    <row r="1030" spans="7:7" x14ac:dyDescent="0.25">
      <c r="G1030" s="99"/>
    </row>
    <row r="1031" spans="7:7" x14ac:dyDescent="0.25">
      <c r="G1031" s="99"/>
    </row>
    <row r="1032" spans="7:7" x14ac:dyDescent="0.25">
      <c r="G1032" s="99"/>
    </row>
    <row r="1033" spans="7:7" x14ac:dyDescent="0.25">
      <c r="G1033" s="99"/>
    </row>
    <row r="1034" spans="7:7" x14ac:dyDescent="0.25">
      <c r="G1034" s="99"/>
    </row>
    <row r="1035" spans="7:7" x14ac:dyDescent="0.25">
      <c r="G1035" s="99"/>
    </row>
    <row r="1036" spans="7:7" x14ac:dyDescent="0.25">
      <c r="G1036" s="99"/>
    </row>
    <row r="1037" spans="7:7" x14ac:dyDescent="0.25">
      <c r="G1037" s="99"/>
    </row>
    <row r="1038" spans="7:7" x14ac:dyDescent="0.25">
      <c r="G1038" s="99"/>
    </row>
    <row r="1039" spans="7:7" x14ac:dyDescent="0.25">
      <c r="G1039" s="99"/>
    </row>
    <row r="1040" spans="7:7" x14ac:dyDescent="0.25">
      <c r="G1040" s="99"/>
    </row>
    <row r="1041" spans="7:7" x14ac:dyDescent="0.25">
      <c r="G1041" s="99"/>
    </row>
    <row r="1042" spans="7:7" x14ac:dyDescent="0.25">
      <c r="G1042" s="99"/>
    </row>
    <row r="1043" spans="7:7" x14ac:dyDescent="0.25">
      <c r="G1043" s="99"/>
    </row>
    <row r="1044" spans="7:7" x14ac:dyDescent="0.25">
      <c r="G1044" s="99"/>
    </row>
    <row r="1045" spans="7:7" x14ac:dyDescent="0.25">
      <c r="G1045" s="99"/>
    </row>
    <row r="1046" spans="7:7" x14ac:dyDescent="0.25">
      <c r="G1046" s="99"/>
    </row>
    <row r="1047" spans="7:7" x14ac:dyDescent="0.25">
      <c r="G1047" s="99"/>
    </row>
    <row r="1048" spans="7:7" x14ac:dyDescent="0.25">
      <c r="G1048" s="99"/>
    </row>
    <row r="1049" spans="7:7" x14ac:dyDescent="0.25">
      <c r="G1049" s="99"/>
    </row>
    <row r="1050" spans="7:7" x14ac:dyDescent="0.25">
      <c r="G1050" s="99"/>
    </row>
    <row r="1051" spans="7:7" x14ac:dyDescent="0.25">
      <c r="G1051" s="99"/>
    </row>
    <row r="1052" spans="7:7" x14ac:dyDescent="0.25">
      <c r="G1052" s="99"/>
    </row>
    <row r="1053" spans="7:7" x14ac:dyDescent="0.25">
      <c r="G1053" s="99"/>
    </row>
    <row r="1054" spans="7:7" x14ac:dyDescent="0.25">
      <c r="G1054" s="99"/>
    </row>
    <row r="1055" spans="7:7" x14ac:dyDescent="0.25">
      <c r="G1055" s="99"/>
    </row>
    <row r="1056" spans="7:7" x14ac:dyDescent="0.25">
      <c r="G1056" s="99"/>
    </row>
    <row r="1057" spans="7:7" x14ac:dyDescent="0.25">
      <c r="G1057" s="99"/>
    </row>
    <row r="1058" spans="7:7" x14ac:dyDescent="0.25">
      <c r="G1058" s="99"/>
    </row>
    <row r="1059" spans="7:7" x14ac:dyDescent="0.25">
      <c r="G1059" s="99"/>
    </row>
    <row r="1060" spans="7:7" x14ac:dyDescent="0.25">
      <c r="G1060" s="99"/>
    </row>
    <row r="1061" spans="7:7" x14ac:dyDescent="0.25">
      <c r="G1061" s="99"/>
    </row>
    <row r="1062" spans="7:7" x14ac:dyDescent="0.25">
      <c r="G1062" s="99"/>
    </row>
    <row r="1063" spans="7:7" x14ac:dyDescent="0.25">
      <c r="G1063" s="99"/>
    </row>
    <row r="1064" spans="7:7" x14ac:dyDescent="0.25">
      <c r="G1064" s="99"/>
    </row>
    <row r="1065" spans="7:7" x14ac:dyDescent="0.25">
      <c r="G1065" s="99"/>
    </row>
    <row r="1066" spans="7:7" x14ac:dyDescent="0.25">
      <c r="G1066" s="99"/>
    </row>
    <row r="1067" spans="7:7" x14ac:dyDescent="0.25">
      <c r="G1067" s="99"/>
    </row>
    <row r="1068" spans="7:7" x14ac:dyDescent="0.25">
      <c r="G1068" s="99"/>
    </row>
    <row r="1069" spans="7:7" x14ac:dyDescent="0.25">
      <c r="G1069" s="99"/>
    </row>
    <row r="1070" spans="7:7" x14ac:dyDescent="0.25">
      <c r="G1070" s="99"/>
    </row>
    <row r="1071" spans="7:7" x14ac:dyDescent="0.25">
      <c r="G1071" s="99"/>
    </row>
    <row r="1072" spans="7:7" x14ac:dyDescent="0.25">
      <c r="G1072" s="99"/>
    </row>
    <row r="1073" spans="7:7" x14ac:dyDescent="0.25">
      <c r="G1073" s="99"/>
    </row>
    <row r="1074" spans="7:7" x14ac:dyDescent="0.25">
      <c r="G1074" s="99"/>
    </row>
    <row r="1075" spans="7:7" x14ac:dyDescent="0.25">
      <c r="G1075" s="99"/>
    </row>
    <row r="1076" spans="7:7" x14ac:dyDescent="0.25">
      <c r="G1076" s="99"/>
    </row>
    <row r="1077" spans="7:7" x14ac:dyDescent="0.25">
      <c r="G1077" s="99"/>
    </row>
    <row r="1078" spans="7:7" x14ac:dyDescent="0.25">
      <c r="G1078" s="99"/>
    </row>
    <row r="1079" spans="7:7" x14ac:dyDescent="0.25">
      <c r="G1079" s="99"/>
    </row>
    <row r="1080" spans="7:7" x14ac:dyDescent="0.25">
      <c r="G1080" s="99"/>
    </row>
    <row r="1081" spans="7:7" x14ac:dyDescent="0.25">
      <c r="G1081" s="99"/>
    </row>
    <row r="1082" spans="7:7" x14ac:dyDescent="0.25">
      <c r="G1082" s="99"/>
    </row>
    <row r="1083" spans="7:7" x14ac:dyDescent="0.25">
      <c r="G1083" s="99"/>
    </row>
    <row r="1084" spans="7:7" x14ac:dyDescent="0.25">
      <c r="G1084" s="99"/>
    </row>
    <row r="1085" spans="7:7" x14ac:dyDescent="0.25">
      <c r="G1085" s="99"/>
    </row>
    <row r="1086" spans="7:7" x14ac:dyDescent="0.25">
      <c r="G1086" s="99"/>
    </row>
    <row r="1087" spans="7:7" x14ac:dyDescent="0.25">
      <c r="G1087" s="99"/>
    </row>
    <row r="1088" spans="7:7" x14ac:dyDescent="0.25">
      <c r="G1088" s="99"/>
    </row>
    <row r="1089" spans="7:7" x14ac:dyDescent="0.25">
      <c r="G1089" s="99"/>
    </row>
    <row r="1090" spans="7:7" x14ac:dyDescent="0.25">
      <c r="G1090" s="99"/>
    </row>
    <row r="1091" spans="7:7" x14ac:dyDescent="0.25">
      <c r="G1091" s="99"/>
    </row>
    <row r="1092" spans="7:7" x14ac:dyDescent="0.25">
      <c r="G1092" s="99"/>
    </row>
    <row r="1093" spans="7:7" x14ac:dyDescent="0.25">
      <c r="G1093" s="99"/>
    </row>
    <row r="1094" spans="7:7" x14ac:dyDescent="0.25">
      <c r="G1094" s="99"/>
    </row>
    <row r="1095" spans="7:7" x14ac:dyDescent="0.25">
      <c r="G1095" s="99"/>
    </row>
    <row r="1096" spans="7:7" x14ac:dyDescent="0.25">
      <c r="G1096" s="99"/>
    </row>
    <row r="1097" spans="7:7" x14ac:dyDescent="0.25">
      <c r="G1097" s="99"/>
    </row>
    <row r="1098" spans="7:7" x14ac:dyDescent="0.25">
      <c r="G1098" s="99"/>
    </row>
    <row r="1099" spans="7:7" x14ac:dyDescent="0.25">
      <c r="G1099" s="99"/>
    </row>
    <row r="1100" spans="7:7" x14ac:dyDescent="0.25">
      <c r="G1100" s="99"/>
    </row>
    <row r="1101" spans="7:7" x14ac:dyDescent="0.25">
      <c r="G1101" s="99"/>
    </row>
    <row r="1102" spans="7:7" x14ac:dyDescent="0.25">
      <c r="G1102" s="99"/>
    </row>
    <row r="1103" spans="7:7" x14ac:dyDescent="0.25">
      <c r="G1103" s="99"/>
    </row>
    <row r="1104" spans="7:7" x14ac:dyDescent="0.25">
      <c r="G1104" s="99"/>
    </row>
    <row r="1105" spans="7:7" x14ac:dyDescent="0.25">
      <c r="G1105" s="99"/>
    </row>
    <row r="1106" spans="7:7" x14ac:dyDescent="0.25">
      <c r="G1106" s="99"/>
    </row>
    <row r="1107" spans="7:7" x14ac:dyDescent="0.25">
      <c r="G1107" s="99"/>
    </row>
    <row r="1108" spans="7:7" x14ac:dyDescent="0.25">
      <c r="G1108" s="99"/>
    </row>
    <row r="1109" spans="7:7" x14ac:dyDescent="0.25">
      <c r="G1109" s="99"/>
    </row>
    <row r="1110" spans="7:7" x14ac:dyDescent="0.25">
      <c r="G1110" s="99"/>
    </row>
    <row r="1111" spans="7:7" x14ac:dyDescent="0.25">
      <c r="G1111" s="99"/>
    </row>
    <row r="1112" spans="7:7" x14ac:dyDescent="0.25">
      <c r="G1112" s="99"/>
    </row>
    <row r="1113" spans="7:7" x14ac:dyDescent="0.25">
      <c r="G1113" s="99"/>
    </row>
    <row r="1114" spans="7:7" x14ac:dyDescent="0.25">
      <c r="G1114" s="99"/>
    </row>
    <row r="1115" spans="7:7" x14ac:dyDescent="0.25">
      <c r="G1115" s="99"/>
    </row>
    <row r="1116" spans="7:7" x14ac:dyDescent="0.25">
      <c r="G1116" s="99"/>
    </row>
    <row r="1117" spans="7:7" x14ac:dyDescent="0.25">
      <c r="G1117" s="99"/>
    </row>
    <row r="1118" spans="7:7" x14ac:dyDescent="0.25">
      <c r="G1118" s="99"/>
    </row>
    <row r="1119" spans="7:7" x14ac:dyDescent="0.25">
      <c r="G1119" s="99"/>
    </row>
    <row r="1120" spans="7:7" x14ac:dyDescent="0.25">
      <c r="G1120" s="99"/>
    </row>
    <row r="1121" spans="7:7" x14ac:dyDescent="0.25">
      <c r="G1121" s="99"/>
    </row>
    <row r="1122" spans="7:7" x14ac:dyDescent="0.25">
      <c r="G1122" s="99"/>
    </row>
    <row r="1123" spans="7:7" x14ac:dyDescent="0.25">
      <c r="G1123" s="99"/>
    </row>
    <row r="1124" spans="7:7" x14ac:dyDescent="0.25">
      <c r="G1124" s="99"/>
    </row>
    <row r="1125" spans="7:7" x14ac:dyDescent="0.25">
      <c r="G1125" s="99"/>
    </row>
    <row r="1126" spans="7:7" x14ac:dyDescent="0.25">
      <c r="G1126" s="99"/>
    </row>
    <row r="1127" spans="7:7" x14ac:dyDescent="0.25">
      <c r="G1127" s="99"/>
    </row>
    <row r="1128" spans="7:7" x14ac:dyDescent="0.25">
      <c r="G1128" s="99"/>
    </row>
    <row r="1129" spans="7:7" x14ac:dyDescent="0.25">
      <c r="G1129" s="99"/>
    </row>
    <row r="1130" spans="7:7" x14ac:dyDescent="0.25">
      <c r="G1130" s="99"/>
    </row>
    <row r="1131" spans="7:7" x14ac:dyDescent="0.25">
      <c r="G1131" s="99"/>
    </row>
    <row r="1132" spans="7:7" x14ac:dyDescent="0.25">
      <c r="G1132" s="99"/>
    </row>
    <row r="1133" spans="7:7" x14ac:dyDescent="0.25">
      <c r="G1133" s="99"/>
    </row>
    <row r="1134" spans="7:7" x14ac:dyDescent="0.25">
      <c r="G1134" s="99"/>
    </row>
    <row r="1135" spans="7:7" x14ac:dyDescent="0.25">
      <c r="G1135" s="99"/>
    </row>
    <row r="1136" spans="7:7" x14ac:dyDescent="0.25">
      <c r="G1136" s="99"/>
    </row>
    <row r="1137" spans="7:7" x14ac:dyDescent="0.25">
      <c r="G1137" s="99"/>
    </row>
    <row r="1138" spans="7:7" x14ac:dyDescent="0.25">
      <c r="G1138" s="99"/>
    </row>
    <row r="1139" spans="7:7" x14ac:dyDescent="0.25">
      <c r="G1139" s="99"/>
    </row>
    <row r="1140" spans="7:7" x14ac:dyDescent="0.25">
      <c r="G1140" s="99"/>
    </row>
    <row r="1141" spans="7:7" x14ac:dyDescent="0.25">
      <c r="G1141" s="99"/>
    </row>
    <row r="1142" spans="7:7" x14ac:dyDescent="0.25">
      <c r="G1142" s="99"/>
    </row>
    <row r="1143" spans="7:7" x14ac:dyDescent="0.25">
      <c r="G1143" s="99"/>
    </row>
    <row r="1144" spans="7:7" x14ac:dyDescent="0.25">
      <c r="G1144" s="99"/>
    </row>
    <row r="1145" spans="7:7" x14ac:dyDescent="0.25">
      <c r="G1145" s="99"/>
    </row>
    <row r="1146" spans="7:7" x14ac:dyDescent="0.25">
      <c r="G1146" s="99"/>
    </row>
    <row r="1147" spans="7:7" x14ac:dyDescent="0.25">
      <c r="G1147" s="99"/>
    </row>
    <row r="1148" spans="7:7" x14ac:dyDescent="0.25">
      <c r="G1148" s="99"/>
    </row>
    <row r="1149" spans="7:7" x14ac:dyDescent="0.25">
      <c r="G1149" s="99"/>
    </row>
    <row r="1150" spans="7:7" x14ac:dyDescent="0.25">
      <c r="G1150" s="99"/>
    </row>
    <row r="1151" spans="7:7" x14ac:dyDescent="0.25">
      <c r="G1151" s="99"/>
    </row>
    <row r="1152" spans="7:7" x14ac:dyDescent="0.25">
      <c r="G1152" s="99"/>
    </row>
    <row r="1153" spans="7:7" x14ac:dyDescent="0.25">
      <c r="G1153" s="99"/>
    </row>
    <row r="1154" spans="7:7" x14ac:dyDescent="0.25">
      <c r="G1154" s="99"/>
    </row>
    <row r="1155" spans="7:7" x14ac:dyDescent="0.25">
      <c r="G1155" s="99"/>
    </row>
    <row r="1156" spans="7:7" x14ac:dyDescent="0.25">
      <c r="G1156" s="99"/>
    </row>
    <row r="1157" spans="7:7" x14ac:dyDescent="0.25">
      <c r="G1157" s="99"/>
    </row>
    <row r="1158" spans="7:7" x14ac:dyDescent="0.25">
      <c r="G1158" s="99"/>
    </row>
    <row r="1159" spans="7:7" x14ac:dyDescent="0.25">
      <c r="G1159" s="99"/>
    </row>
    <row r="1160" spans="7:7" x14ac:dyDescent="0.25">
      <c r="G1160" s="99"/>
    </row>
    <row r="1161" spans="7:7" x14ac:dyDescent="0.25">
      <c r="G1161" s="99"/>
    </row>
    <row r="1162" spans="7:7" x14ac:dyDescent="0.25">
      <c r="G1162" s="99"/>
    </row>
    <row r="1163" spans="7:7" x14ac:dyDescent="0.25">
      <c r="G1163" s="99"/>
    </row>
    <row r="1164" spans="7:7" x14ac:dyDescent="0.25">
      <c r="G1164" s="99"/>
    </row>
    <row r="1165" spans="7:7" x14ac:dyDescent="0.25">
      <c r="G1165" s="99"/>
    </row>
    <row r="1166" spans="7:7" x14ac:dyDescent="0.25">
      <c r="G1166" s="99"/>
    </row>
    <row r="1167" spans="7:7" x14ac:dyDescent="0.25">
      <c r="G1167" s="99"/>
    </row>
    <row r="1168" spans="7:7" x14ac:dyDescent="0.25">
      <c r="G1168" s="99"/>
    </row>
    <row r="1169" spans="7:7" x14ac:dyDescent="0.25">
      <c r="G1169" s="99"/>
    </row>
    <row r="1170" spans="7:7" x14ac:dyDescent="0.25">
      <c r="G1170" s="99"/>
    </row>
    <row r="1171" spans="7:7" x14ac:dyDescent="0.25">
      <c r="G1171" s="99"/>
    </row>
    <row r="1172" spans="7:7" x14ac:dyDescent="0.25">
      <c r="G1172" s="99"/>
    </row>
    <row r="1173" spans="7:7" x14ac:dyDescent="0.25">
      <c r="G1173" s="99"/>
    </row>
    <row r="1174" spans="7:7" x14ac:dyDescent="0.25">
      <c r="G1174" s="99"/>
    </row>
    <row r="1175" spans="7:7" x14ac:dyDescent="0.25">
      <c r="G1175" s="99"/>
    </row>
    <row r="1176" spans="7:7" x14ac:dyDescent="0.25">
      <c r="G1176" s="99"/>
    </row>
    <row r="1177" spans="7:7" x14ac:dyDescent="0.25">
      <c r="G1177" s="99"/>
    </row>
    <row r="1178" spans="7:7" x14ac:dyDescent="0.25">
      <c r="G1178" s="99"/>
    </row>
    <row r="1179" spans="7:7" x14ac:dyDescent="0.25">
      <c r="G1179" s="99"/>
    </row>
    <row r="1180" spans="7:7" x14ac:dyDescent="0.25">
      <c r="G1180" s="99"/>
    </row>
    <row r="1181" spans="7:7" x14ac:dyDescent="0.25">
      <c r="G1181" s="99"/>
    </row>
    <row r="1182" spans="7:7" x14ac:dyDescent="0.25">
      <c r="G1182" s="99"/>
    </row>
    <row r="1183" spans="7:7" x14ac:dyDescent="0.25">
      <c r="G1183" s="99"/>
    </row>
    <row r="1184" spans="7:7" x14ac:dyDescent="0.25">
      <c r="G1184" s="99"/>
    </row>
    <row r="1185" spans="7:7" x14ac:dyDescent="0.25">
      <c r="G1185" s="99"/>
    </row>
    <row r="1186" spans="7:7" x14ac:dyDescent="0.25">
      <c r="G1186" s="99"/>
    </row>
    <row r="1187" spans="7:7" x14ac:dyDescent="0.25">
      <c r="G1187" s="99"/>
    </row>
    <row r="1188" spans="7:7" x14ac:dyDescent="0.25">
      <c r="G1188" s="99"/>
    </row>
    <row r="1189" spans="7:7" x14ac:dyDescent="0.25">
      <c r="G1189" s="99"/>
    </row>
    <row r="1190" spans="7:7" x14ac:dyDescent="0.25">
      <c r="G1190" s="99"/>
    </row>
    <row r="1191" spans="7:7" x14ac:dyDescent="0.25">
      <c r="G1191" s="99"/>
    </row>
    <row r="1192" spans="7:7" x14ac:dyDescent="0.25">
      <c r="G1192" s="99"/>
    </row>
    <row r="1193" spans="7:7" x14ac:dyDescent="0.25">
      <c r="G1193" s="99"/>
    </row>
    <row r="1194" spans="7:7" x14ac:dyDescent="0.25">
      <c r="G1194" s="99"/>
    </row>
    <row r="1195" spans="7:7" x14ac:dyDescent="0.25">
      <c r="G1195" s="99"/>
    </row>
    <row r="1196" spans="7:7" x14ac:dyDescent="0.25">
      <c r="G1196" s="99"/>
    </row>
    <row r="1197" spans="7:7" x14ac:dyDescent="0.25">
      <c r="G1197" s="99"/>
    </row>
    <row r="1198" spans="7:7" x14ac:dyDescent="0.25">
      <c r="G1198" s="99"/>
    </row>
    <row r="1199" spans="7:7" x14ac:dyDescent="0.25">
      <c r="G1199" s="99"/>
    </row>
    <row r="1200" spans="7:7" x14ac:dyDescent="0.25">
      <c r="G1200" s="99"/>
    </row>
    <row r="1201" spans="7:7" x14ac:dyDescent="0.25">
      <c r="G1201" s="99"/>
    </row>
    <row r="1202" spans="7:7" x14ac:dyDescent="0.25">
      <c r="G1202" s="99"/>
    </row>
    <row r="1203" spans="7:7" x14ac:dyDescent="0.25">
      <c r="G1203" s="99"/>
    </row>
    <row r="1204" spans="7:7" x14ac:dyDescent="0.25">
      <c r="G1204" s="99"/>
    </row>
    <row r="1205" spans="7:7" x14ac:dyDescent="0.25">
      <c r="G1205" s="99"/>
    </row>
    <row r="1206" spans="7:7" x14ac:dyDescent="0.25">
      <c r="G1206" s="99"/>
    </row>
    <row r="1207" spans="7:7" x14ac:dyDescent="0.25">
      <c r="G1207" s="99"/>
    </row>
    <row r="1208" spans="7:7" x14ac:dyDescent="0.25">
      <c r="G1208" s="99"/>
    </row>
    <row r="1209" spans="7:7" x14ac:dyDescent="0.25">
      <c r="G1209" s="99"/>
    </row>
    <row r="1210" spans="7:7" x14ac:dyDescent="0.25">
      <c r="G1210" s="99"/>
    </row>
    <row r="1211" spans="7:7" x14ac:dyDescent="0.25">
      <c r="G1211" s="99"/>
    </row>
    <row r="1212" spans="7:7" x14ac:dyDescent="0.25">
      <c r="G1212" s="99"/>
    </row>
    <row r="1213" spans="7:7" x14ac:dyDescent="0.25">
      <c r="G1213" s="99"/>
    </row>
    <row r="1214" spans="7:7" x14ac:dyDescent="0.25">
      <c r="G1214" s="99"/>
    </row>
    <row r="1215" spans="7:7" x14ac:dyDescent="0.25">
      <c r="G1215" s="99"/>
    </row>
    <row r="1216" spans="7:7" x14ac:dyDescent="0.25">
      <c r="G1216" s="99"/>
    </row>
    <row r="1217" spans="7:7" x14ac:dyDescent="0.25">
      <c r="G1217" s="99"/>
    </row>
    <row r="1218" spans="7:7" x14ac:dyDescent="0.25">
      <c r="G1218" s="99"/>
    </row>
    <row r="1219" spans="7:7" x14ac:dyDescent="0.25">
      <c r="G1219" s="99"/>
    </row>
    <row r="1220" spans="7:7" x14ac:dyDescent="0.25">
      <c r="G1220" s="99"/>
    </row>
    <row r="1221" spans="7:7" x14ac:dyDescent="0.25">
      <c r="G1221" s="99"/>
    </row>
    <row r="1222" spans="7:7" x14ac:dyDescent="0.25">
      <c r="G1222" s="99"/>
    </row>
    <row r="1223" spans="7:7" x14ac:dyDescent="0.25">
      <c r="G1223" s="99"/>
    </row>
    <row r="1224" spans="7:7" x14ac:dyDescent="0.25">
      <c r="G1224" s="99"/>
    </row>
    <row r="1225" spans="7:7" x14ac:dyDescent="0.25">
      <c r="G1225" s="99"/>
    </row>
    <row r="1226" spans="7:7" x14ac:dyDescent="0.25">
      <c r="G1226" s="99"/>
    </row>
    <row r="1227" spans="7:7" x14ac:dyDescent="0.25">
      <c r="G1227" s="99"/>
    </row>
    <row r="1228" spans="7:7" x14ac:dyDescent="0.25">
      <c r="G1228" s="99"/>
    </row>
    <row r="1229" spans="7:7" x14ac:dyDescent="0.25">
      <c r="G1229" s="99"/>
    </row>
    <row r="1230" spans="7:7" x14ac:dyDescent="0.25">
      <c r="G1230" s="99"/>
    </row>
    <row r="1231" spans="7:7" x14ac:dyDescent="0.25">
      <c r="G1231" s="99"/>
    </row>
    <row r="1232" spans="7:7" x14ac:dyDescent="0.25">
      <c r="G1232" s="99"/>
    </row>
    <row r="1233" spans="7:7" x14ac:dyDescent="0.25">
      <c r="G1233" s="99"/>
    </row>
    <row r="1234" spans="7:7" x14ac:dyDescent="0.25">
      <c r="G1234" s="99"/>
    </row>
    <row r="1235" spans="7:7" x14ac:dyDescent="0.25">
      <c r="G1235" s="99"/>
    </row>
    <row r="1236" spans="7:7" x14ac:dyDescent="0.25">
      <c r="G1236" s="99"/>
    </row>
    <row r="1237" spans="7:7" x14ac:dyDescent="0.25">
      <c r="G1237" s="99"/>
    </row>
    <row r="1238" spans="7:7" x14ac:dyDescent="0.25">
      <c r="G1238" s="99"/>
    </row>
    <row r="1239" spans="7:7" x14ac:dyDescent="0.25">
      <c r="G1239" s="99"/>
    </row>
    <row r="1240" spans="7:7" x14ac:dyDescent="0.25">
      <c r="G1240" s="99"/>
    </row>
    <row r="1241" spans="7:7" x14ac:dyDescent="0.25">
      <c r="G1241" s="99"/>
    </row>
    <row r="1242" spans="7:7" x14ac:dyDescent="0.25">
      <c r="G1242" s="99"/>
    </row>
    <row r="1243" spans="7:7" x14ac:dyDescent="0.25">
      <c r="G1243" s="99"/>
    </row>
    <row r="1244" spans="7:7" x14ac:dyDescent="0.25">
      <c r="G1244" s="99"/>
    </row>
    <row r="1245" spans="7:7" x14ac:dyDescent="0.25">
      <c r="G1245" s="99"/>
    </row>
    <row r="1246" spans="7:7" x14ac:dyDescent="0.25">
      <c r="G1246" s="99"/>
    </row>
    <row r="1247" spans="7:7" x14ac:dyDescent="0.25">
      <c r="G1247" s="99"/>
    </row>
    <row r="1248" spans="7:7" x14ac:dyDescent="0.25">
      <c r="G1248" s="99"/>
    </row>
    <row r="1249" spans="7:7" x14ac:dyDescent="0.25">
      <c r="G1249" s="99"/>
    </row>
    <row r="1250" spans="7:7" x14ac:dyDescent="0.25">
      <c r="G1250" s="99"/>
    </row>
    <row r="1251" spans="7:7" x14ac:dyDescent="0.25">
      <c r="G1251" s="99"/>
    </row>
    <row r="1252" spans="7:7" x14ac:dyDescent="0.25">
      <c r="G1252" s="99"/>
    </row>
    <row r="1253" spans="7:7" x14ac:dyDescent="0.25">
      <c r="G1253" s="99"/>
    </row>
    <row r="1254" spans="7:7" x14ac:dyDescent="0.25">
      <c r="G1254" s="99"/>
    </row>
    <row r="1255" spans="7:7" x14ac:dyDescent="0.25">
      <c r="G1255" s="99"/>
    </row>
    <row r="1256" spans="7:7" x14ac:dyDescent="0.25">
      <c r="G1256" s="99"/>
    </row>
    <row r="1257" spans="7:7" x14ac:dyDescent="0.25">
      <c r="G1257" s="99"/>
    </row>
    <row r="1258" spans="7:7" x14ac:dyDescent="0.25">
      <c r="G1258" s="99"/>
    </row>
    <row r="1259" spans="7:7" x14ac:dyDescent="0.25">
      <c r="G1259" s="99"/>
    </row>
    <row r="1260" spans="7:7" x14ac:dyDescent="0.25">
      <c r="G1260" s="99"/>
    </row>
    <row r="1261" spans="7:7" x14ac:dyDescent="0.25">
      <c r="G1261" s="99"/>
    </row>
    <row r="1262" spans="7:7" x14ac:dyDescent="0.25">
      <c r="G1262" s="99"/>
    </row>
    <row r="1263" spans="7:7" x14ac:dyDescent="0.25">
      <c r="G1263" s="99"/>
    </row>
    <row r="1264" spans="7:7" x14ac:dyDescent="0.25">
      <c r="G1264" s="99"/>
    </row>
    <row r="1265" spans="7:7" x14ac:dyDescent="0.25">
      <c r="G1265" s="99"/>
    </row>
    <row r="1266" spans="7:7" x14ac:dyDescent="0.25">
      <c r="G1266" s="99"/>
    </row>
    <row r="1267" spans="7:7" x14ac:dyDescent="0.25">
      <c r="G1267" s="99"/>
    </row>
    <row r="1268" spans="7:7" x14ac:dyDescent="0.25">
      <c r="G1268" s="99"/>
    </row>
    <row r="1269" spans="7:7" x14ac:dyDescent="0.25">
      <c r="G1269" s="99"/>
    </row>
    <row r="1270" spans="7:7" x14ac:dyDescent="0.25">
      <c r="G1270" s="99"/>
    </row>
    <row r="1271" spans="7:7" x14ac:dyDescent="0.25">
      <c r="G1271" s="99"/>
    </row>
    <row r="1272" spans="7:7" x14ac:dyDescent="0.25">
      <c r="G1272" s="99"/>
    </row>
    <row r="1273" spans="7:7" x14ac:dyDescent="0.25">
      <c r="G1273" s="99"/>
    </row>
    <row r="1274" spans="7:7" x14ac:dyDescent="0.25">
      <c r="G1274" s="99"/>
    </row>
    <row r="1275" spans="7:7" x14ac:dyDescent="0.25">
      <c r="G1275" s="99"/>
    </row>
    <row r="1276" spans="7:7" x14ac:dyDescent="0.25">
      <c r="G1276" s="99"/>
    </row>
    <row r="1277" spans="7:7" x14ac:dyDescent="0.25">
      <c r="G1277" s="99"/>
    </row>
    <row r="1278" spans="7:7" x14ac:dyDescent="0.25">
      <c r="G1278" s="99"/>
    </row>
    <row r="1279" spans="7:7" x14ac:dyDescent="0.25">
      <c r="G1279" s="99"/>
    </row>
    <row r="1280" spans="7:7" x14ac:dyDescent="0.25">
      <c r="G1280" s="99"/>
    </row>
    <row r="1281" spans="7:7" x14ac:dyDescent="0.25">
      <c r="G1281" s="99"/>
    </row>
    <row r="1282" spans="7:7" x14ac:dyDescent="0.25">
      <c r="G1282" s="99"/>
    </row>
    <row r="1283" spans="7:7" x14ac:dyDescent="0.25">
      <c r="G1283" s="99"/>
    </row>
    <row r="1284" spans="7:7" x14ac:dyDescent="0.25">
      <c r="G1284" s="99"/>
    </row>
    <row r="1285" spans="7:7" x14ac:dyDescent="0.25">
      <c r="G1285" s="99"/>
    </row>
    <row r="1286" spans="7:7" x14ac:dyDescent="0.25">
      <c r="G1286" s="99"/>
    </row>
    <row r="1287" spans="7:7" x14ac:dyDescent="0.25">
      <c r="G1287" s="99"/>
    </row>
    <row r="1288" spans="7:7" x14ac:dyDescent="0.25">
      <c r="G1288" s="99"/>
    </row>
    <row r="1289" spans="7:7" x14ac:dyDescent="0.25">
      <c r="G1289" s="99"/>
    </row>
    <row r="1290" spans="7:7" x14ac:dyDescent="0.25">
      <c r="G1290" s="99"/>
    </row>
    <row r="1291" spans="7:7" x14ac:dyDescent="0.25">
      <c r="G1291" s="99"/>
    </row>
    <row r="1292" spans="7:7" x14ac:dyDescent="0.25">
      <c r="G1292" s="99"/>
    </row>
    <row r="1293" spans="7:7" x14ac:dyDescent="0.25">
      <c r="G1293" s="99"/>
    </row>
    <row r="1294" spans="7:7" x14ac:dyDescent="0.25">
      <c r="G1294" s="99"/>
    </row>
    <row r="1295" spans="7:7" x14ac:dyDescent="0.25">
      <c r="G1295" s="99"/>
    </row>
    <row r="1296" spans="7:7" x14ac:dyDescent="0.25">
      <c r="G1296" s="99"/>
    </row>
    <row r="1297" spans="7:7" x14ac:dyDescent="0.25">
      <c r="G1297" s="99"/>
    </row>
    <row r="1298" spans="7:7" x14ac:dyDescent="0.25">
      <c r="G1298" s="99"/>
    </row>
    <row r="1299" spans="7:7" x14ac:dyDescent="0.25">
      <c r="G1299" s="99"/>
    </row>
    <row r="1300" spans="7:7" x14ac:dyDescent="0.25">
      <c r="G1300" s="99"/>
    </row>
    <row r="1301" spans="7:7" x14ac:dyDescent="0.25">
      <c r="G1301" s="99"/>
    </row>
    <row r="1302" spans="7:7" x14ac:dyDescent="0.25">
      <c r="G1302" s="99"/>
    </row>
    <row r="1303" spans="7:7" x14ac:dyDescent="0.25">
      <c r="G1303" s="99"/>
    </row>
    <row r="1304" spans="7:7" x14ac:dyDescent="0.25">
      <c r="G1304" s="99"/>
    </row>
    <row r="1305" spans="7:7" x14ac:dyDescent="0.25">
      <c r="G1305" s="99"/>
    </row>
    <row r="1306" spans="7:7" x14ac:dyDescent="0.25">
      <c r="G1306" s="99"/>
    </row>
    <row r="1307" spans="7:7" x14ac:dyDescent="0.25">
      <c r="G1307" s="99"/>
    </row>
    <row r="1308" spans="7:7" x14ac:dyDescent="0.25">
      <c r="G1308" s="99"/>
    </row>
    <row r="1309" spans="7:7" x14ac:dyDescent="0.25">
      <c r="G1309" s="99"/>
    </row>
    <row r="1310" spans="7:7" x14ac:dyDescent="0.25">
      <c r="G1310" s="99"/>
    </row>
    <row r="1311" spans="7:7" x14ac:dyDescent="0.25">
      <c r="G1311" s="99"/>
    </row>
    <row r="1312" spans="7:7" x14ac:dyDescent="0.25">
      <c r="G1312" s="99"/>
    </row>
    <row r="1313" spans="7:7" x14ac:dyDescent="0.25">
      <c r="G1313" s="99"/>
    </row>
    <row r="1314" spans="7:7" x14ac:dyDescent="0.25">
      <c r="G1314" s="99"/>
    </row>
    <row r="1315" spans="7:7" x14ac:dyDescent="0.25">
      <c r="G1315" s="99"/>
    </row>
    <row r="1316" spans="7:7" x14ac:dyDescent="0.25">
      <c r="G1316" s="99"/>
    </row>
    <row r="1317" spans="7:7" x14ac:dyDescent="0.25">
      <c r="G1317" s="99"/>
    </row>
    <row r="1318" spans="7:7" x14ac:dyDescent="0.25">
      <c r="G1318" s="99"/>
    </row>
    <row r="1319" spans="7:7" x14ac:dyDescent="0.25">
      <c r="G1319" s="99"/>
    </row>
    <row r="1320" spans="7:7" x14ac:dyDescent="0.25">
      <c r="G1320" s="99"/>
    </row>
    <row r="1321" spans="7:7" x14ac:dyDescent="0.25">
      <c r="G1321" s="99"/>
    </row>
    <row r="1322" spans="7:7" x14ac:dyDescent="0.25">
      <c r="G1322" s="99"/>
    </row>
    <row r="1323" spans="7:7" x14ac:dyDescent="0.25">
      <c r="G1323" s="99"/>
    </row>
    <row r="1324" spans="7:7" x14ac:dyDescent="0.25">
      <c r="G1324" s="99"/>
    </row>
    <row r="1325" spans="7:7" x14ac:dyDescent="0.25">
      <c r="G1325" s="99"/>
    </row>
    <row r="1326" spans="7:7" x14ac:dyDescent="0.25">
      <c r="G1326" s="99"/>
    </row>
    <row r="1327" spans="7:7" x14ac:dyDescent="0.25">
      <c r="G1327" s="99"/>
    </row>
    <row r="1328" spans="7:7" x14ac:dyDescent="0.25">
      <c r="G1328" s="99"/>
    </row>
    <row r="1329" spans="7:7" x14ac:dyDescent="0.25">
      <c r="G1329" s="99"/>
    </row>
    <row r="1330" spans="7:7" x14ac:dyDescent="0.25">
      <c r="G1330" s="99"/>
    </row>
    <row r="1331" spans="7:7" x14ac:dyDescent="0.25">
      <c r="G1331" s="99"/>
    </row>
    <row r="1332" spans="7:7" x14ac:dyDescent="0.25">
      <c r="G1332" s="99"/>
    </row>
    <row r="1333" spans="7:7" x14ac:dyDescent="0.25">
      <c r="G1333" s="99"/>
    </row>
    <row r="1334" spans="7:7" x14ac:dyDescent="0.25">
      <c r="G1334" s="99"/>
    </row>
    <row r="1335" spans="7:7" x14ac:dyDescent="0.25">
      <c r="G1335" s="99"/>
    </row>
    <row r="1336" spans="7:7" x14ac:dyDescent="0.25">
      <c r="G1336" s="99"/>
    </row>
    <row r="1337" spans="7:7" x14ac:dyDescent="0.25">
      <c r="G1337" s="99"/>
    </row>
    <row r="1338" spans="7:7" x14ac:dyDescent="0.25">
      <c r="G1338" s="99"/>
    </row>
    <row r="1339" spans="7:7" x14ac:dyDescent="0.25">
      <c r="G1339" s="99"/>
    </row>
    <row r="1340" spans="7:7" x14ac:dyDescent="0.25">
      <c r="G1340" s="99"/>
    </row>
    <row r="1341" spans="7:7" x14ac:dyDescent="0.25">
      <c r="G1341" s="99"/>
    </row>
    <row r="1342" spans="7:7" x14ac:dyDescent="0.25">
      <c r="G1342" s="99"/>
    </row>
    <row r="1343" spans="7:7" x14ac:dyDescent="0.25">
      <c r="G1343" s="99"/>
    </row>
    <row r="1344" spans="7:7" x14ac:dyDescent="0.25">
      <c r="G1344" s="99"/>
    </row>
    <row r="1345" spans="7:7" x14ac:dyDescent="0.25">
      <c r="G1345" s="99"/>
    </row>
    <row r="1346" spans="7:7" x14ac:dyDescent="0.25">
      <c r="G1346" s="99"/>
    </row>
    <row r="1347" spans="7:7" x14ac:dyDescent="0.25">
      <c r="G1347" s="99"/>
    </row>
    <row r="1348" spans="7:7" x14ac:dyDescent="0.25">
      <c r="G1348" s="99"/>
    </row>
    <row r="1349" spans="7:7" x14ac:dyDescent="0.25">
      <c r="G1349" s="99"/>
    </row>
    <row r="1350" spans="7:7" x14ac:dyDescent="0.25">
      <c r="G1350" s="99"/>
    </row>
    <row r="1351" spans="7:7" x14ac:dyDescent="0.25">
      <c r="G1351" s="99"/>
    </row>
    <row r="1352" spans="7:7" x14ac:dyDescent="0.25">
      <c r="G1352" s="99"/>
    </row>
    <row r="1353" spans="7:7" x14ac:dyDescent="0.25">
      <c r="G1353" s="99"/>
    </row>
    <row r="1354" spans="7:7" x14ac:dyDescent="0.25">
      <c r="G1354" s="99"/>
    </row>
    <row r="1355" spans="7:7" x14ac:dyDescent="0.25">
      <c r="G1355" s="99"/>
    </row>
    <row r="1356" spans="7:7" x14ac:dyDescent="0.25">
      <c r="G1356" s="99"/>
    </row>
    <row r="1357" spans="7:7" x14ac:dyDescent="0.25">
      <c r="G1357" s="99"/>
    </row>
    <row r="1358" spans="7:7" x14ac:dyDescent="0.25">
      <c r="G1358" s="99"/>
    </row>
    <row r="1359" spans="7:7" x14ac:dyDescent="0.25">
      <c r="G1359" s="99"/>
    </row>
    <row r="1360" spans="7:7" x14ac:dyDescent="0.25">
      <c r="G1360" s="99"/>
    </row>
    <row r="1361" spans="7:7" x14ac:dyDescent="0.25">
      <c r="G1361" s="99"/>
    </row>
    <row r="1362" spans="7:7" x14ac:dyDescent="0.25">
      <c r="G1362" s="99"/>
    </row>
    <row r="1363" spans="7:7" x14ac:dyDescent="0.25">
      <c r="G1363" s="99"/>
    </row>
    <row r="1364" spans="7:7" x14ac:dyDescent="0.25">
      <c r="G1364" s="99"/>
    </row>
    <row r="1365" spans="7:7" x14ac:dyDescent="0.25">
      <c r="G1365" s="99"/>
    </row>
    <row r="1366" spans="7:7" x14ac:dyDescent="0.25">
      <c r="G1366" s="99"/>
    </row>
    <row r="1367" spans="7:7" x14ac:dyDescent="0.25">
      <c r="G1367" s="99"/>
    </row>
    <row r="1368" spans="7:7" x14ac:dyDescent="0.25">
      <c r="G1368" s="99"/>
    </row>
    <row r="1369" spans="7:7" x14ac:dyDescent="0.25">
      <c r="G1369" s="99"/>
    </row>
    <row r="1370" spans="7:7" x14ac:dyDescent="0.25">
      <c r="G1370" s="99"/>
    </row>
    <row r="1371" spans="7:7" x14ac:dyDescent="0.25">
      <c r="G1371" s="99"/>
    </row>
    <row r="1372" spans="7:7" x14ac:dyDescent="0.25">
      <c r="G1372" s="99"/>
    </row>
    <row r="1373" spans="7:7" x14ac:dyDescent="0.25">
      <c r="G1373" s="99"/>
    </row>
    <row r="1374" spans="7:7" x14ac:dyDescent="0.25">
      <c r="G1374" s="99"/>
    </row>
    <row r="1375" spans="7:7" x14ac:dyDescent="0.25">
      <c r="G1375" s="99"/>
    </row>
    <row r="1376" spans="7:7" x14ac:dyDescent="0.25">
      <c r="G1376" s="99"/>
    </row>
    <row r="1377" spans="7:7" x14ac:dyDescent="0.25">
      <c r="G1377" s="99"/>
    </row>
    <row r="1378" spans="7:7" x14ac:dyDescent="0.25">
      <c r="G1378" s="99"/>
    </row>
    <row r="1379" spans="7:7" x14ac:dyDescent="0.25">
      <c r="G1379" s="99"/>
    </row>
    <row r="1380" spans="7:7" x14ac:dyDescent="0.25">
      <c r="G1380" s="99"/>
    </row>
    <row r="1381" spans="7:7" x14ac:dyDescent="0.25">
      <c r="G1381" s="99"/>
    </row>
    <row r="1382" spans="7:7" x14ac:dyDescent="0.25">
      <c r="G1382" s="99"/>
    </row>
    <row r="1383" spans="7:7" x14ac:dyDescent="0.25">
      <c r="G1383" s="99"/>
    </row>
    <row r="1384" spans="7:7" x14ac:dyDescent="0.25">
      <c r="G1384" s="99"/>
    </row>
    <row r="1385" spans="7:7" x14ac:dyDescent="0.25">
      <c r="G1385" s="99"/>
    </row>
    <row r="1386" spans="7:7" x14ac:dyDescent="0.25">
      <c r="G1386" s="99"/>
    </row>
    <row r="1387" spans="7:7" x14ac:dyDescent="0.25">
      <c r="G1387" s="99"/>
    </row>
    <row r="1388" spans="7:7" x14ac:dyDescent="0.25">
      <c r="G1388" s="99"/>
    </row>
    <row r="1389" spans="7:7" x14ac:dyDescent="0.25">
      <c r="G1389" s="99"/>
    </row>
    <row r="1390" spans="7:7" x14ac:dyDescent="0.25">
      <c r="G1390" s="99"/>
    </row>
    <row r="1391" spans="7:7" x14ac:dyDescent="0.25">
      <c r="G1391" s="99"/>
    </row>
    <row r="1392" spans="7:7" x14ac:dyDescent="0.25">
      <c r="G1392" s="99"/>
    </row>
    <row r="1393" spans="7:7" x14ac:dyDescent="0.25">
      <c r="G1393" s="99"/>
    </row>
    <row r="1394" spans="7:7" x14ac:dyDescent="0.25">
      <c r="G1394" s="99"/>
    </row>
    <row r="1395" spans="7:7" x14ac:dyDescent="0.25">
      <c r="G1395" s="99"/>
    </row>
    <row r="1396" spans="7:7" x14ac:dyDescent="0.25">
      <c r="G1396" s="99"/>
    </row>
    <row r="1397" spans="7:7" x14ac:dyDescent="0.25">
      <c r="G1397" s="99"/>
    </row>
    <row r="1398" spans="7:7" x14ac:dyDescent="0.25">
      <c r="G1398" s="99"/>
    </row>
    <row r="1399" spans="7:7" x14ac:dyDescent="0.25">
      <c r="G1399" s="99"/>
    </row>
    <row r="1400" spans="7:7" x14ac:dyDescent="0.25">
      <c r="G1400" s="99"/>
    </row>
    <row r="1401" spans="7:7" x14ac:dyDescent="0.25">
      <c r="G1401" s="99"/>
    </row>
    <row r="1402" spans="7:7" x14ac:dyDescent="0.25">
      <c r="G1402" s="99"/>
    </row>
    <row r="1403" spans="7:7" x14ac:dyDescent="0.25">
      <c r="G1403" s="99"/>
    </row>
    <row r="1404" spans="7:7" x14ac:dyDescent="0.25">
      <c r="G1404" s="99"/>
    </row>
    <row r="1405" spans="7:7" x14ac:dyDescent="0.25">
      <c r="G1405" s="99"/>
    </row>
    <row r="1406" spans="7:7" x14ac:dyDescent="0.25">
      <c r="G1406" s="99"/>
    </row>
    <row r="1407" spans="7:7" x14ac:dyDescent="0.25">
      <c r="G1407" s="99"/>
    </row>
    <row r="1408" spans="7:7" x14ac:dyDescent="0.25">
      <c r="G1408" s="99"/>
    </row>
    <row r="1409" spans="7:7" x14ac:dyDescent="0.25">
      <c r="G1409" s="99"/>
    </row>
    <row r="1410" spans="7:7" x14ac:dyDescent="0.25">
      <c r="G1410" s="99"/>
    </row>
    <row r="1411" spans="7:7" x14ac:dyDescent="0.25">
      <c r="G1411" s="99"/>
    </row>
    <row r="1412" spans="7:7" x14ac:dyDescent="0.25">
      <c r="G1412" s="99"/>
    </row>
    <row r="1413" spans="7:7" x14ac:dyDescent="0.25">
      <c r="G1413" s="99"/>
    </row>
    <row r="1414" spans="7:7" x14ac:dyDescent="0.25">
      <c r="G1414" s="99"/>
    </row>
    <row r="1415" spans="7:7" x14ac:dyDescent="0.25">
      <c r="G1415" s="99"/>
    </row>
    <row r="1416" spans="7:7" x14ac:dyDescent="0.25">
      <c r="G1416" s="99"/>
    </row>
    <row r="1417" spans="7:7" x14ac:dyDescent="0.25">
      <c r="G1417" s="99"/>
    </row>
    <row r="1418" spans="7:7" x14ac:dyDescent="0.25">
      <c r="G1418" s="99"/>
    </row>
    <row r="1419" spans="7:7" x14ac:dyDescent="0.25">
      <c r="G1419" s="99"/>
    </row>
    <row r="1420" spans="7:7" x14ac:dyDescent="0.25">
      <c r="G1420" s="99"/>
    </row>
    <row r="1421" spans="7:7" x14ac:dyDescent="0.25">
      <c r="G1421" s="99"/>
    </row>
    <row r="1422" spans="7:7" x14ac:dyDescent="0.25">
      <c r="G1422" s="99"/>
    </row>
    <row r="1423" spans="7:7" x14ac:dyDescent="0.25">
      <c r="G1423" s="99"/>
    </row>
    <row r="1424" spans="7:7" x14ac:dyDescent="0.25">
      <c r="G1424" s="99"/>
    </row>
    <row r="1425" spans="7:7" x14ac:dyDescent="0.25">
      <c r="G1425" s="99"/>
    </row>
    <row r="1426" spans="7:7" x14ac:dyDescent="0.25">
      <c r="G1426" s="99"/>
    </row>
    <row r="1427" spans="7:7" x14ac:dyDescent="0.25">
      <c r="G1427" s="99"/>
    </row>
    <row r="1428" spans="7:7" x14ac:dyDescent="0.25">
      <c r="G1428" s="99"/>
    </row>
    <row r="1429" spans="7:7" x14ac:dyDescent="0.25">
      <c r="G1429" s="99"/>
    </row>
    <row r="1430" spans="7:7" x14ac:dyDescent="0.25">
      <c r="G1430" s="99"/>
    </row>
    <row r="1431" spans="7:7" x14ac:dyDescent="0.25">
      <c r="G1431" s="99"/>
    </row>
    <row r="1432" spans="7:7" x14ac:dyDescent="0.25">
      <c r="G1432" s="99"/>
    </row>
    <row r="1433" spans="7:7" x14ac:dyDescent="0.25">
      <c r="G1433" s="99"/>
    </row>
    <row r="1434" spans="7:7" x14ac:dyDescent="0.25">
      <c r="G1434" s="99"/>
    </row>
    <row r="1435" spans="7:7" x14ac:dyDescent="0.25">
      <c r="G1435" s="99"/>
    </row>
    <row r="1436" spans="7:7" x14ac:dyDescent="0.25">
      <c r="G1436" s="99"/>
    </row>
    <row r="1437" spans="7:7" x14ac:dyDescent="0.25">
      <c r="G1437" s="99"/>
    </row>
    <row r="1438" spans="7:7" x14ac:dyDescent="0.25">
      <c r="G1438" s="99"/>
    </row>
    <row r="1439" spans="7:7" x14ac:dyDescent="0.25">
      <c r="G1439" s="99"/>
    </row>
    <row r="1440" spans="7:7" x14ac:dyDescent="0.25">
      <c r="G1440" s="99"/>
    </row>
    <row r="1441" spans="7:7" x14ac:dyDescent="0.25">
      <c r="G1441" s="99"/>
    </row>
    <row r="1442" spans="7:7" x14ac:dyDescent="0.25">
      <c r="G1442" s="99"/>
    </row>
    <row r="1443" spans="7:7" x14ac:dyDescent="0.25">
      <c r="G1443" s="99"/>
    </row>
    <row r="1444" spans="7:7" x14ac:dyDescent="0.25">
      <c r="G1444" s="99"/>
    </row>
    <row r="1445" spans="7:7" x14ac:dyDescent="0.25">
      <c r="G1445" s="99"/>
    </row>
    <row r="1446" spans="7:7" x14ac:dyDescent="0.25">
      <c r="G1446" s="99"/>
    </row>
    <row r="1447" spans="7:7" x14ac:dyDescent="0.25">
      <c r="G1447" s="99"/>
    </row>
    <row r="1448" spans="7:7" x14ac:dyDescent="0.25">
      <c r="G1448" s="99"/>
    </row>
    <row r="1449" spans="7:7" x14ac:dyDescent="0.25">
      <c r="G1449" s="99"/>
    </row>
    <row r="1450" spans="7:7" x14ac:dyDescent="0.25">
      <c r="G1450" s="99"/>
    </row>
    <row r="1451" spans="7:7" x14ac:dyDescent="0.25">
      <c r="G1451" s="99"/>
    </row>
    <row r="1452" spans="7:7" x14ac:dyDescent="0.25">
      <c r="G1452" s="99"/>
    </row>
    <row r="1453" spans="7:7" x14ac:dyDescent="0.25">
      <c r="G1453" s="99"/>
    </row>
    <row r="1454" spans="7:7" x14ac:dyDescent="0.25">
      <c r="G1454" s="99"/>
    </row>
    <row r="1455" spans="7:7" x14ac:dyDescent="0.25">
      <c r="G1455" s="99"/>
    </row>
    <row r="1456" spans="7:7" x14ac:dyDescent="0.25">
      <c r="G1456" s="99"/>
    </row>
    <row r="1457" spans="7:7" x14ac:dyDescent="0.25">
      <c r="G1457" s="99"/>
    </row>
    <row r="1458" spans="7:7" x14ac:dyDescent="0.25">
      <c r="G1458" s="99"/>
    </row>
    <row r="1459" spans="7:7" x14ac:dyDescent="0.25">
      <c r="G1459" s="99"/>
    </row>
    <row r="1460" spans="7:7" x14ac:dyDescent="0.25">
      <c r="G1460" s="99"/>
    </row>
    <row r="1461" spans="7:7" x14ac:dyDescent="0.25">
      <c r="G1461" s="99"/>
    </row>
    <row r="1462" spans="7:7" x14ac:dyDescent="0.25">
      <c r="G1462" s="99"/>
    </row>
    <row r="1463" spans="7:7" x14ac:dyDescent="0.25">
      <c r="G1463" s="99"/>
    </row>
    <row r="1464" spans="7:7" x14ac:dyDescent="0.25">
      <c r="G1464" s="99"/>
    </row>
    <row r="1465" spans="7:7" x14ac:dyDescent="0.25">
      <c r="G1465" s="99"/>
    </row>
    <row r="1466" spans="7:7" x14ac:dyDescent="0.25">
      <c r="G1466" s="99"/>
    </row>
    <row r="1467" spans="7:7" x14ac:dyDescent="0.25">
      <c r="G1467" s="99"/>
    </row>
    <row r="1468" spans="7:7" x14ac:dyDescent="0.25">
      <c r="G1468" s="99"/>
    </row>
    <row r="1469" spans="7:7" x14ac:dyDescent="0.25">
      <c r="G1469" s="99"/>
    </row>
    <row r="1470" spans="7:7" x14ac:dyDescent="0.25">
      <c r="G1470" s="99"/>
    </row>
    <row r="1471" spans="7:7" x14ac:dyDescent="0.25">
      <c r="G1471" s="99"/>
    </row>
    <row r="1472" spans="7:7" x14ac:dyDescent="0.25">
      <c r="G1472" s="99"/>
    </row>
    <row r="1473" spans="7:7" x14ac:dyDescent="0.25">
      <c r="G1473" s="99"/>
    </row>
    <row r="1474" spans="7:7" x14ac:dyDescent="0.25">
      <c r="G1474" s="99"/>
    </row>
    <row r="1475" spans="7:7" x14ac:dyDescent="0.25">
      <c r="G1475" s="99"/>
    </row>
    <row r="1476" spans="7:7" x14ac:dyDescent="0.25">
      <c r="G1476" s="99"/>
    </row>
    <row r="1477" spans="7:7" x14ac:dyDescent="0.25">
      <c r="G1477" s="99"/>
    </row>
    <row r="1478" spans="7:7" x14ac:dyDescent="0.25">
      <c r="G1478" s="99"/>
    </row>
    <row r="1479" spans="7:7" x14ac:dyDescent="0.25">
      <c r="G1479" s="99"/>
    </row>
    <row r="1480" spans="7:7" x14ac:dyDescent="0.25">
      <c r="G1480" s="99"/>
    </row>
    <row r="1481" spans="7:7" x14ac:dyDescent="0.25">
      <c r="G1481" s="99"/>
    </row>
    <row r="1482" spans="7:7" x14ac:dyDescent="0.25">
      <c r="G1482" s="99"/>
    </row>
    <row r="1483" spans="7:7" x14ac:dyDescent="0.25">
      <c r="G1483" s="99"/>
    </row>
    <row r="1484" spans="7:7" x14ac:dyDescent="0.25">
      <c r="G1484" s="99"/>
    </row>
    <row r="1485" spans="7:7" x14ac:dyDescent="0.25">
      <c r="G1485" s="99"/>
    </row>
    <row r="1486" spans="7:7" x14ac:dyDescent="0.25">
      <c r="G1486" s="99"/>
    </row>
    <row r="1487" spans="7:7" x14ac:dyDescent="0.25">
      <c r="G1487" s="99"/>
    </row>
    <row r="1488" spans="7:7" x14ac:dyDescent="0.25">
      <c r="G1488" s="99"/>
    </row>
    <row r="1489" spans="7:7" x14ac:dyDescent="0.25">
      <c r="G1489" s="99"/>
    </row>
    <row r="1490" spans="7:7" x14ac:dyDescent="0.25">
      <c r="G1490" s="99"/>
    </row>
    <row r="1491" spans="7:7" x14ac:dyDescent="0.25">
      <c r="G1491" s="99"/>
    </row>
    <row r="1492" spans="7:7" x14ac:dyDescent="0.25">
      <c r="G1492" s="99"/>
    </row>
    <row r="1493" spans="7:7" x14ac:dyDescent="0.25">
      <c r="G1493" s="99"/>
    </row>
    <row r="1494" spans="7:7" x14ac:dyDescent="0.25">
      <c r="G1494" s="99"/>
    </row>
    <row r="1495" spans="7:7" x14ac:dyDescent="0.25">
      <c r="G1495" s="99"/>
    </row>
    <row r="1496" spans="7:7" x14ac:dyDescent="0.25">
      <c r="G1496" s="99"/>
    </row>
    <row r="1497" spans="7:7" x14ac:dyDescent="0.25">
      <c r="G1497" s="99"/>
    </row>
    <row r="1498" spans="7:7" x14ac:dyDescent="0.25">
      <c r="G1498" s="99"/>
    </row>
    <row r="1499" spans="7:7" x14ac:dyDescent="0.25">
      <c r="G1499" s="99"/>
    </row>
    <row r="1500" spans="7:7" x14ac:dyDescent="0.25">
      <c r="G1500" s="99"/>
    </row>
    <row r="1501" spans="7:7" x14ac:dyDescent="0.25">
      <c r="G1501" s="99"/>
    </row>
    <row r="1502" spans="7:7" x14ac:dyDescent="0.25">
      <c r="G1502" s="99"/>
    </row>
    <row r="1503" spans="7:7" x14ac:dyDescent="0.25">
      <c r="G1503" s="99"/>
    </row>
    <row r="1504" spans="7:7" x14ac:dyDescent="0.25">
      <c r="G1504" s="99"/>
    </row>
    <row r="1505" spans="7:7" x14ac:dyDescent="0.25">
      <c r="G1505" s="99"/>
    </row>
    <row r="1506" spans="7:7" x14ac:dyDescent="0.25">
      <c r="G1506" s="99"/>
    </row>
    <row r="1507" spans="7:7" x14ac:dyDescent="0.25">
      <c r="G1507" s="99"/>
    </row>
    <row r="1508" spans="7:7" x14ac:dyDescent="0.25">
      <c r="G1508" s="99"/>
    </row>
    <row r="1509" spans="7:7" x14ac:dyDescent="0.25">
      <c r="G1509" s="99"/>
    </row>
    <row r="1510" spans="7:7" x14ac:dyDescent="0.25">
      <c r="G1510" s="99"/>
    </row>
    <row r="1511" spans="7:7" x14ac:dyDescent="0.25">
      <c r="G1511" s="99"/>
    </row>
    <row r="1512" spans="7:7" x14ac:dyDescent="0.25">
      <c r="G1512" s="99"/>
    </row>
    <row r="1513" spans="7:7" x14ac:dyDescent="0.25">
      <c r="G1513" s="99"/>
    </row>
    <row r="1514" spans="7:7" x14ac:dyDescent="0.25">
      <c r="G1514" s="99"/>
    </row>
    <row r="1515" spans="7:7" x14ac:dyDescent="0.25">
      <c r="G1515" s="99"/>
    </row>
    <row r="1516" spans="7:7" x14ac:dyDescent="0.25">
      <c r="G1516" s="99"/>
    </row>
    <row r="1517" spans="7:7" x14ac:dyDescent="0.25">
      <c r="G1517" s="99"/>
    </row>
    <row r="1518" spans="7:7" x14ac:dyDescent="0.25">
      <c r="G1518" s="99"/>
    </row>
    <row r="1519" spans="7:7" x14ac:dyDescent="0.25">
      <c r="G1519" s="99"/>
    </row>
    <row r="1520" spans="7:7" x14ac:dyDescent="0.25">
      <c r="G1520" s="99"/>
    </row>
    <row r="1521" spans="7:7" x14ac:dyDescent="0.25">
      <c r="G1521" s="99"/>
    </row>
    <row r="1522" spans="7:7" x14ac:dyDescent="0.25">
      <c r="G1522" s="99"/>
    </row>
    <row r="1523" spans="7:7" x14ac:dyDescent="0.25">
      <c r="G1523" s="99"/>
    </row>
    <row r="1524" spans="7:7" x14ac:dyDescent="0.25">
      <c r="G1524" s="99"/>
    </row>
    <row r="1525" spans="7:7" x14ac:dyDescent="0.25">
      <c r="G1525" s="99"/>
    </row>
    <row r="1526" spans="7:7" x14ac:dyDescent="0.25">
      <c r="G1526" s="99"/>
    </row>
    <row r="1527" spans="7:7" x14ac:dyDescent="0.25">
      <c r="G1527" s="99"/>
    </row>
    <row r="1528" spans="7:7" x14ac:dyDescent="0.25">
      <c r="G1528" s="99"/>
    </row>
    <row r="1529" spans="7:7" x14ac:dyDescent="0.25">
      <c r="G1529" s="99"/>
    </row>
    <row r="1530" spans="7:7" x14ac:dyDescent="0.25">
      <c r="G1530" s="99"/>
    </row>
    <row r="1531" spans="7:7" x14ac:dyDescent="0.25">
      <c r="G1531" s="99"/>
    </row>
    <row r="1532" spans="7:7" x14ac:dyDescent="0.25">
      <c r="G1532" s="99"/>
    </row>
    <row r="1533" spans="7:7" x14ac:dyDescent="0.25">
      <c r="G1533" s="99"/>
    </row>
    <row r="1534" spans="7:7" x14ac:dyDescent="0.25">
      <c r="G1534" s="99"/>
    </row>
    <row r="1535" spans="7:7" x14ac:dyDescent="0.25">
      <c r="G1535" s="99"/>
    </row>
    <row r="1536" spans="7:7" x14ac:dyDescent="0.25">
      <c r="G1536" s="99"/>
    </row>
    <row r="1537" spans="7:7" x14ac:dyDescent="0.25">
      <c r="G1537" s="99"/>
    </row>
    <row r="1538" spans="7:7" x14ac:dyDescent="0.25">
      <c r="G1538" s="99"/>
    </row>
    <row r="1539" spans="7:7" x14ac:dyDescent="0.25">
      <c r="G1539" s="99"/>
    </row>
    <row r="1540" spans="7:7" x14ac:dyDescent="0.25">
      <c r="G1540" s="99"/>
    </row>
    <row r="1541" spans="7:7" x14ac:dyDescent="0.25">
      <c r="G1541" s="99"/>
    </row>
    <row r="1542" spans="7:7" x14ac:dyDescent="0.25">
      <c r="G1542" s="99"/>
    </row>
    <row r="1543" spans="7:7" x14ac:dyDescent="0.25">
      <c r="G1543" s="99"/>
    </row>
    <row r="1544" spans="7:7" x14ac:dyDescent="0.25">
      <c r="G1544" s="99"/>
    </row>
    <row r="1545" spans="7:7" x14ac:dyDescent="0.25">
      <c r="G1545" s="99"/>
    </row>
    <row r="1546" spans="7:7" x14ac:dyDescent="0.25">
      <c r="G1546" s="99"/>
    </row>
    <row r="1547" spans="7:7" x14ac:dyDescent="0.25">
      <c r="G1547" s="99"/>
    </row>
    <row r="1548" spans="7:7" x14ac:dyDescent="0.25">
      <c r="G1548" s="99"/>
    </row>
    <row r="1549" spans="7:7" x14ac:dyDescent="0.25">
      <c r="G1549" s="99"/>
    </row>
    <row r="1550" spans="7:7" x14ac:dyDescent="0.25">
      <c r="G1550" s="99"/>
    </row>
    <row r="1551" spans="7:7" x14ac:dyDescent="0.25">
      <c r="G1551" s="99"/>
    </row>
    <row r="1552" spans="7:7" x14ac:dyDescent="0.25">
      <c r="G1552" s="99"/>
    </row>
    <row r="1553" spans="7:7" x14ac:dyDescent="0.25">
      <c r="G1553" s="99"/>
    </row>
    <row r="1554" spans="7:7" x14ac:dyDescent="0.25">
      <c r="G1554" s="99"/>
    </row>
    <row r="1555" spans="7:7" x14ac:dyDescent="0.25">
      <c r="G1555" s="99"/>
    </row>
    <row r="1556" spans="7:7" x14ac:dyDescent="0.25">
      <c r="G1556" s="99"/>
    </row>
    <row r="1557" spans="7:7" x14ac:dyDescent="0.25">
      <c r="G1557" s="99"/>
    </row>
    <row r="1558" spans="7:7" x14ac:dyDescent="0.25">
      <c r="G1558" s="99"/>
    </row>
    <row r="1559" spans="7:7" x14ac:dyDescent="0.25">
      <c r="G1559" s="99"/>
    </row>
    <row r="1560" spans="7:7" x14ac:dyDescent="0.25">
      <c r="G1560" s="99"/>
    </row>
    <row r="1561" spans="7:7" x14ac:dyDescent="0.25">
      <c r="G1561" s="99"/>
    </row>
    <row r="1562" spans="7:7" x14ac:dyDescent="0.25">
      <c r="G1562" s="99"/>
    </row>
    <row r="1563" spans="7:7" x14ac:dyDescent="0.25">
      <c r="G1563" s="99"/>
    </row>
    <row r="1564" spans="7:7" x14ac:dyDescent="0.25">
      <c r="G1564" s="99"/>
    </row>
    <row r="1565" spans="7:7" x14ac:dyDescent="0.25">
      <c r="G1565" s="99"/>
    </row>
    <row r="1566" spans="7:7" x14ac:dyDescent="0.25">
      <c r="G1566" s="99"/>
    </row>
    <row r="1567" spans="7:7" x14ac:dyDescent="0.25">
      <c r="G1567" s="99"/>
    </row>
    <row r="1568" spans="7:7" x14ac:dyDescent="0.25">
      <c r="G1568" s="99"/>
    </row>
    <row r="1569" spans="7:7" x14ac:dyDescent="0.25">
      <c r="G1569" s="99"/>
    </row>
    <row r="1570" spans="7:7" x14ac:dyDescent="0.25">
      <c r="G1570" s="99"/>
    </row>
    <row r="1571" spans="7:7" x14ac:dyDescent="0.25">
      <c r="G1571" s="99"/>
    </row>
    <row r="1572" spans="7:7" x14ac:dyDescent="0.25">
      <c r="G1572" s="99"/>
    </row>
    <row r="1573" spans="7:7" x14ac:dyDescent="0.25">
      <c r="G1573" s="99"/>
    </row>
    <row r="1574" spans="7:7" x14ac:dyDescent="0.25">
      <c r="G1574" s="99"/>
    </row>
    <row r="1575" spans="7:7" x14ac:dyDescent="0.25">
      <c r="G1575" s="99"/>
    </row>
    <row r="1576" spans="7:7" x14ac:dyDescent="0.25">
      <c r="G1576" s="99"/>
    </row>
    <row r="1577" spans="7:7" x14ac:dyDescent="0.25">
      <c r="G1577" s="99"/>
    </row>
    <row r="1578" spans="7:7" x14ac:dyDescent="0.25">
      <c r="G1578" s="99"/>
    </row>
    <row r="1579" spans="7:7" x14ac:dyDescent="0.25">
      <c r="G1579" s="99"/>
    </row>
    <row r="1580" spans="7:7" x14ac:dyDescent="0.25">
      <c r="G1580" s="99"/>
    </row>
    <row r="1581" spans="7:7" x14ac:dyDescent="0.25">
      <c r="G1581" s="99"/>
    </row>
    <row r="1582" spans="7:7" x14ac:dyDescent="0.25">
      <c r="G1582" s="99"/>
    </row>
    <row r="1583" spans="7:7" x14ac:dyDescent="0.25">
      <c r="G1583" s="99"/>
    </row>
    <row r="1584" spans="7:7" x14ac:dyDescent="0.25">
      <c r="G1584" s="99"/>
    </row>
    <row r="1585" spans="7:7" x14ac:dyDescent="0.25">
      <c r="G1585" s="99"/>
    </row>
    <row r="1586" spans="7:7" x14ac:dyDescent="0.25">
      <c r="G1586" s="99"/>
    </row>
    <row r="1587" spans="7:7" x14ac:dyDescent="0.25">
      <c r="G1587" s="99"/>
    </row>
    <row r="1588" spans="7:7" x14ac:dyDescent="0.25">
      <c r="G1588" s="99"/>
    </row>
    <row r="1589" spans="7:7" x14ac:dyDescent="0.25">
      <c r="G1589" s="99"/>
    </row>
    <row r="1590" spans="7:7" x14ac:dyDescent="0.25">
      <c r="G1590" s="99"/>
    </row>
    <row r="1591" spans="7:7" x14ac:dyDescent="0.25">
      <c r="G1591" s="99"/>
    </row>
    <row r="1592" spans="7:7" x14ac:dyDescent="0.25">
      <c r="G1592" s="99"/>
    </row>
    <row r="1593" spans="7:7" x14ac:dyDescent="0.25">
      <c r="G1593" s="99"/>
    </row>
    <row r="1594" spans="7:7" x14ac:dyDescent="0.25">
      <c r="G1594" s="99"/>
    </row>
    <row r="1595" spans="7:7" x14ac:dyDescent="0.25">
      <c r="G1595" s="99"/>
    </row>
    <row r="1596" spans="7:7" x14ac:dyDescent="0.25">
      <c r="G1596" s="99"/>
    </row>
    <row r="1597" spans="7:7" x14ac:dyDescent="0.25">
      <c r="G1597" s="99"/>
    </row>
    <row r="1598" spans="7:7" x14ac:dyDescent="0.25">
      <c r="G1598" s="99"/>
    </row>
    <row r="1599" spans="7:7" x14ac:dyDescent="0.25">
      <c r="G1599" s="99"/>
    </row>
    <row r="1600" spans="7:7" x14ac:dyDescent="0.25">
      <c r="G1600" s="99"/>
    </row>
    <row r="1601" spans="7:7" x14ac:dyDescent="0.25">
      <c r="G1601" s="99"/>
    </row>
    <row r="1602" spans="7:7" x14ac:dyDescent="0.25">
      <c r="G1602" s="99"/>
    </row>
    <row r="1603" spans="7:7" x14ac:dyDescent="0.25">
      <c r="G1603" s="99"/>
    </row>
    <row r="1604" spans="7:7" x14ac:dyDescent="0.25">
      <c r="G1604" s="99"/>
    </row>
    <row r="1605" spans="7:7" x14ac:dyDescent="0.25">
      <c r="G1605" s="99"/>
    </row>
    <row r="1606" spans="7:7" x14ac:dyDescent="0.25">
      <c r="G1606" s="99"/>
    </row>
    <row r="1607" spans="7:7" x14ac:dyDescent="0.25">
      <c r="G1607" s="99"/>
    </row>
    <row r="1608" spans="7:7" x14ac:dyDescent="0.25">
      <c r="G1608" s="99"/>
    </row>
    <row r="1609" spans="7:7" x14ac:dyDescent="0.25">
      <c r="G1609" s="99"/>
    </row>
    <row r="1610" spans="7:7" x14ac:dyDescent="0.25">
      <c r="G1610" s="99"/>
    </row>
    <row r="1611" spans="7:7" x14ac:dyDescent="0.25">
      <c r="G1611" s="99"/>
    </row>
    <row r="1612" spans="7:7" x14ac:dyDescent="0.25">
      <c r="G1612" s="99"/>
    </row>
    <row r="1613" spans="7:7" x14ac:dyDescent="0.25">
      <c r="G1613" s="99"/>
    </row>
    <row r="1614" spans="7:7" x14ac:dyDescent="0.25">
      <c r="G1614" s="99"/>
    </row>
    <row r="1615" spans="7:7" x14ac:dyDescent="0.25">
      <c r="G1615" s="99"/>
    </row>
    <row r="1616" spans="7:7" x14ac:dyDescent="0.25">
      <c r="G1616" s="99"/>
    </row>
    <row r="1617" spans="7:7" x14ac:dyDescent="0.25">
      <c r="G1617" s="99"/>
    </row>
    <row r="1618" spans="7:7" x14ac:dyDescent="0.25">
      <c r="G1618" s="99"/>
    </row>
    <row r="1619" spans="7:7" x14ac:dyDescent="0.25">
      <c r="G1619" s="99"/>
    </row>
    <row r="1620" spans="7:7" x14ac:dyDescent="0.25">
      <c r="G1620" s="99"/>
    </row>
    <row r="1621" spans="7:7" x14ac:dyDescent="0.25">
      <c r="G1621" s="99"/>
    </row>
    <row r="1622" spans="7:7" x14ac:dyDescent="0.25">
      <c r="G1622" s="99"/>
    </row>
    <row r="1623" spans="7:7" x14ac:dyDescent="0.25">
      <c r="G1623" s="99"/>
    </row>
    <row r="1624" spans="7:7" x14ac:dyDescent="0.25">
      <c r="G1624" s="99"/>
    </row>
    <row r="1625" spans="7:7" x14ac:dyDescent="0.25">
      <c r="G1625" s="99"/>
    </row>
    <row r="1626" spans="7:7" x14ac:dyDescent="0.25">
      <c r="G1626" s="99"/>
    </row>
    <row r="1627" spans="7:7" x14ac:dyDescent="0.25">
      <c r="G1627" s="99"/>
    </row>
    <row r="1628" spans="7:7" x14ac:dyDescent="0.25">
      <c r="G1628" s="99"/>
    </row>
    <row r="1629" spans="7:7" x14ac:dyDescent="0.25">
      <c r="G1629" s="99"/>
    </row>
    <row r="1630" spans="7:7" x14ac:dyDescent="0.25">
      <c r="G1630" s="99"/>
    </row>
    <row r="1631" spans="7:7" x14ac:dyDescent="0.25">
      <c r="G1631" s="99"/>
    </row>
    <row r="1632" spans="7:7" x14ac:dyDescent="0.25">
      <c r="G1632" s="99"/>
    </row>
    <row r="1633" spans="7:7" x14ac:dyDescent="0.25">
      <c r="G1633" s="99"/>
    </row>
    <row r="1634" spans="7:7" x14ac:dyDescent="0.25">
      <c r="G1634" s="99"/>
    </row>
    <row r="1635" spans="7:7" x14ac:dyDescent="0.25">
      <c r="G1635" s="99"/>
    </row>
    <row r="1636" spans="7:7" x14ac:dyDescent="0.25">
      <c r="G1636" s="99"/>
    </row>
    <row r="1637" spans="7:7" x14ac:dyDescent="0.25">
      <c r="G1637" s="99"/>
    </row>
    <row r="1638" spans="7:7" x14ac:dyDescent="0.25">
      <c r="G1638" s="99"/>
    </row>
    <row r="1639" spans="7:7" x14ac:dyDescent="0.25">
      <c r="G1639" s="99"/>
    </row>
    <row r="1640" spans="7:7" x14ac:dyDescent="0.25">
      <c r="G1640" s="99"/>
    </row>
    <row r="1641" spans="7:7" x14ac:dyDescent="0.25">
      <c r="G1641" s="99"/>
    </row>
    <row r="1642" spans="7:7" x14ac:dyDescent="0.25">
      <c r="G1642" s="99"/>
    </row>
    <row r="1643" spans="7:7" x14ac:dyDescent="0.25">
      <c r="G1643" s="99"/>
    </row>
    <row r="1644" spans="7:7" x14ac:dyDescent="0.25">
      <c r="G1644" s="99"/>
    </row>
    <row r="1645" spans="7:7" x14ac:dyDescent="0.25">
      <c r="G1645" s="99"/>
    </row>
    <row r="1646" spans="7:7" x14ac:dyDescent="0.25">
      <c r="G1646" s="99"/>
    </row>
    <row r="1647" spans="7:7" x14ac:dyDescent="0.25">
      <c r="G1647" s="99"/>
    </row>
    <row r="1648" spans="7:7" x14ac:dyDescent="0.25">
      <c r="G1648" s="99"/>
    </row>
    <row r="1649" spans="7:7" x14ac:dyDescent="0.25">
      <c r="G1649" s="99"/>
    </row>
    <row r="1650" spans="7:7" x14ac:dyDescent="0.25">
      <c r="G1650" s="99"/>
    </row>
    <row r="1651" spans="7:7" x14ac:dyDescent="0.25">
      <c r="G1651" s="99"/>
    </row>
    <row r="1652" spans="7:7" x14ac:dyDescent="0.25">
      <c r="G1652" s="99"/>
    </row>
    <row r="1653" spans="7:7" x14ac:dyDescent="0.25">
      <c r="G1653" s="99"/>
    </row>
    <row r="1654" spans="7:7" x14ac:dyDescent="0.25">
      <c r="G1654" s="99"/>
    </row>
    <row r="1655" spans="7:7" x14ac:dyDescent="0.25">
      <c r="G1655" s="99"/>
    </row>
    <row r="1656" spans="7:7" x14ac:dyDescent="0.25">
      <c r="G1656" s="99"/>
    </row>
    <row r="1657" spans="7:7" x14ac:dyDescent="0.25">
      <c r="G1657" s="99"/>
    </row>
    <row r="1658" spans="7:7" x14ac:dyDescent="0.25">
      <c r="G1658" s="99"/>
    </row>
    <row r="1659" spans="7:7" x14ac:dyDescent="0.25">
      <c r="G1659" s="99"/>
    </row>
    <row r="1660" spans="7:7" x14ac:dyDescent="0.25">
      <c r="G1660" s="99"/>
    </row>
    <row r="1661" spans="7:7" x14ac:dyDescent="0.25">
      <c r="G1661" s="99"/>
    </row>
    <row r="1662" spans="7:7" x14ac:dyDescent="0.25">
      <c r="G1662" s="99"/>
    </row>
    <row r="1663" spans="7:7" x14ac:dyDescent="0.25">
      <c r="G1663" s="99"/>
    </row>
    <row r="1664" spans="7:7" x14ac:dyDescent="0.25">
      <c r="G1664" s="99"/>
    </row>
    <row r="1665" spans="7:7" x14ac:dyDescent="0.25">
      <c r="G1665" s="99"/>
    </row>
    <row r="1666" spans="7:7" x14ac:dyDescent="0.25">
      <c r="G1666" s="99"/>
    </row>
    <row r="1667" spans="7:7" x14ac:dyDescent="0.25">
      <c r="G1667" s="99"/>
    </row>
    <row r="1668" spans="7:7" x14ac:dyDescent="0.25">
      <c r="G1668" s="99"/>
    </row>
    <row r="1669" spans="7:7" x14ac:dyDescent="0.25">
      <c r="G1669" s="99"/>
    </row>
    <row r="1670" spans="7:7" x14ac:dyDescent="0.25">
      <c r="G1670" s="99"/>
    </row>
    <row r="1671" spans="7:7" x14ac:dyDescent="0.25">
      <c r="G1671" s="99"/>
    </row>
    <row r="1672" spans="7:7" x14ac:dyDescent="0.25">
      <c r="G1672" s="99"/>
    </row>
    <row r="1673" spans="7:7" x14ac:dyDescent="0.25">
      <c r="G1673" s="99"/>
    </row>
    <row r="1674" spans="7:7" x14ac:dyDescent="0.25">
      <c r="G1674" s="99"/>
    </row>
    <row r="1675" spans="7:7" x14ac:dyDescent="0.25">
      <c r="G1675" s="99"/>
    </row>
    <row r="1676" spans="7:7" x14ac:dyDescent="0.25">
      <c r="G1676" s="99"/>
    </row>
    <row r="1677" spans="7:7" x14ac:dyDescent="0.25">
      <c r="G1677" s="99"/>
    </row>
    <row r="1678" spans="7:7" x14ac:dyDescent="0.25">
      <c r="G1678" s="99"/>
    </row>
    <row r="1679" spans="7:7" x14ac:dyDescent="0.25">
      <c r="G1679" s="99"/>
    </row>
    <row r="1680" spans="7:7" x14ac:dyDescent="0.25">
      <c r="G1680" s="99"/>
    </row>
    <row r="1681" spans="7:7" x14ac:dyDescent="0.25">
      <c r="G1681" s="99"/>
    </row>
    <row r="1682" spans="7:7" x14ac:dyDescent="0.25">
      <c r="G1682" s="99"/>
    </row>
    <row r="1683" spans="7:7" x14ac:dyDescent="0.25">
      <c r="G1683" s="99"/>
    </row>
    <row r="1684" spans="7:7" x14ac:dyDescent="0.25">
      <c r="G1684" s="99"/>
    </row>
    <row r="1685" spans="7:7" x14ac:dyDescent="0.25">
      <c r="G1685" s="99"/>
    </row>
    <row r="1686" spans="7:7" x14ac:dyDescent="0.25">
      <c r="G1686" s="99"/>
    </row>
    <row r="1687" spans="7:7" x14ac:dyDescent="0.25">
      <c r="G1687" s="99"/>
    </row>
    <row r="1688" spans="7:7" x14ac:dyDescent="0.25">
      <c r="G1688" s="99"/>
    </row>
    <row r="1689" spans="7:7" x14ac:dyDescent="0.25">
      <c r="G1689" s="99"/>
    </row>
    <row r="1690" spans="7:7" x14ac:dyDescent="0.25">
      <c r="G1690" s="99"/>
    </row>
    <row r="1691" spans="7:7" x14ac:dyDescent="0.25">
      <c r="G1691" s="99"/>
    </row>
    <row r="1692" spans="7:7" x14ac:dyDescent="0.25">
      <c r="G1692" s="99"/>
    </row>
    <row r="1693" spans="7:7" x14ac:dyDescent="0.25">
      <c r="G1693" s="99"/>
    </row>
    <row r="1694" spans="7:7" x14ac:dyDescent="0.25">
      <c r="G1694" s="99"/>
    </row>
    <row r="1695" spans="7:7" x14ac:dyDescent="0.25">
      <c r="G1695" s="99"/>
    </row>
    <row r="1696" spans="7:7" x14ac:dyDescent="0.25">
      <c r="G1696" s="99"/>
    </row>
    <row r="1697" spans="7:7" x14ac:dyDescent="0.25">
      <c r="G1697" s="99"/>
    </row>
    <row r="1698" spans="7:7" x14ac:dyDescent="0.25">
      <c r="G1698" s="99"/>
    </row>
    <row r="1699" spans="7:7" x14ac:dyDescent="0.25">
      <c r="G1699" s="99"/>
    </row>
    <row r="1700" spans="7:7" x14ac:dyDescent="0.25">
      <c r="G1700" s="99"/>
    </row>
    <row r="1701" spans="7:7" x14ac:dyDescent="0.25">
      <c r="G1701" s="99"/>
    </row>
    <row r="1702" spans="7:7" x14ac:dyDescent="0.25">
      <c r="G1702" s="99"/>
    </row>
    <row r="1703" spans="7:7" x14ac:dyDescent="0.25">
      <c r="G1703" s="99"/>
    </row>
    <row r="1704" spans="7:7" x14ac:dyDescent="0.25">
      <c r="G1704" s="99"/>
    </row>
    <row r="1705" spans="7:7" x14ac:dyDescent="0.25">
      <c r="G1705" s="99"/>
    </row>
    <row r="1706" spans="7:7" x14ac:dyDescent="0.25">
      <c r="G1706" s="99"/>
    </row>
    <row r="1707" spans="7:7" x14ac:dyDescent="0.25">
      <c r="G1707" s="99"/>
    </row>
    <row r="1708" spans="7:7" x14ac:dyDescent="0.25">
      <c r="G1708" s="99"/>
    </row>
    <row r="1709" spans="7:7" x14ac:dyDescent="0.25">
      <c r="G1709" s="99"/>
    </row>
    <row r="1710" spans="7:7" x14ac:dyDescent="0.25">
      <c r="G1710" s="99"/>
    </row>
    <row r="1711" spans="7:7" x14ac:dyDescent="0.25">
      <c r="G1711" s="99"/>
    </row>
    <row r="1712" spans="7:7" x14ac:dyDescent="0.25">
      <c r="G1712" s="99"/>
    </row>
    <row r="1713" spans="7:7" x14ac:dyDescent="0.25">
      <c r="G1713" s="99"/>
    </row>
    <row r="1714" spans="7:7" x14ac:dyDescent="0.25">
      <c r="G1714" s="99"/>
    </row>
    <row r="1715" spans="7:7" x14ac:dyDescent="0.25">
      <c r="G1715" s="99"/>
    </row>
    <row r="1716" spans="7:7" x14ac:dyDescent="0.25">
      <c r="G1716" s="99"/>
    </row>
    <row r="1717" spans="7:7" x14ac:dyDescent="0.25">
      <c r="G1717" s="99"/>
    </row>
    <row r="1718" spans="7:7" x14ac:dyDescent="0.25">
      <c r="G1718" s="99"/>
    </row>
    <row r="1719" spans="7:7" x14ac:dyDescent="0.25">
      <c r="G1719" s="99"/>
    </row>
    <row r="1720" spans="7:7" x14ac:dyDescent="0.25">
      <c r="G1720" s="99"/>
    </row>
    <row r="1721" spans="7:7" x14ac:dyDescent="0.25">
      <c r="G1721" s="99"/>
    </row>
    <row r="1722" spans="7:7" x14ac:dyDescent="0.25">
      <c r="G1722" s="99"/>
    </row>
    <row r="1723" spans="7:7" x14ac:dyDescent="0.25">
      <c r="G1723" s="99"/>
    </row>
    <row r="1724" spans="7:7" x14ac:dyDescent="0.25">
      <c r="G1724" s="99"/>
    </row>
    <row r="1725" spans="7:7" x14ac:dyDescent="0.25">
      <c r="G1725" s="99"/>
    </row>
    <row r="1726" spans="7:7" x14ac:dyDescent="0.25">
      <c r="G1726" s="99"/>
    </row>
    <row r="1727" spans="7:7" x14ac:dyDescent="0.25">
      <c r="G1727" s="99"/>
    </row>
    <row r="1728" spans="7:7" x14ac:dyDescent="0.25">
      <c r="G1728" s="99"/>
    </row>
    <row r="1729" spans="7:7" x14ac:dyDescent="0.25">
      <c r="G1729" s="99"/>
    </row>
    <row r="1730" spans="7:7" x14ac:dyDescent="0.25">
      <c r="G1730" s="99"/>
    </row>
    <row r="1731" spans="7:7" x14ac:dyDescent="0.25">
      <c r="G1731" s="99"/>
    </row>
    <row r="1732" spans="7:7" x14ac:dyDescent="0.25">
      <c r="G1732" s="99"/>
    </row>
    <row r="1733" spans="7:7" x14ac:dyDescent="0.25">
      <c r="G1733" s="99"/>
    </row>
    <row r="1734" spans="7:7" x14ac:dyDescent="0.25">
      <c r="G1734" s="99"/>
    </row>
    <row r="1735" spans="7:7" x14ac:dyDescent="0.25">
      <c r="G1735" s="99"/>
    </row>
    <row r="1736" spans="7:7" x14ac:dyDescent="0.25">
      <c r="G1736" s="99"/>
    </row>
    <row r="1737" spans="7:7" x14ac:dyDescent="0.25">
      <c r="G1737" s="99"/>
    </row>
    <row r="1738" spans="7:7" x14ac:dyDescent="0.25">
      <c r="G1738" s="99"/>
    </row>
    <row r="1739" spans="7:7" x14ac:dyDescent="0.25">
      <c r="G1739" s="99"/>
    </row>
    <row r="1740" spans="7:7" x14ac:dyDescent="0.25">
      <c r="G1740" s="99"/>
    </row>
    <row r="1741" spans="7:7" x14ac:dyDescent="0.25">
      <c r="G1741" s="99"/>
    </row>
    <row r="1742" spans="7:7" x14ac:dyDescent="0.25">
      <c r="G1742" s="99"/>
    </row>
    <row r="1743" spans="7:7" x14ac:dyDescent="0.25">
      <c r="G1743" s="99"/>
    </row>
    <row r="1744" spans="7:7" x14ac:dyDescent="0.25">
      <c r="G1744" s="99"/>
    </row>
    <row r="1745" spans="7:7" x14ac:dyDescent="0.25">
      <c r="G1745" s="99"/>
    </row>
    <row r="1746" spans="7:7" x14ac:dyDescent="0.25">
      <c r="G1746" s="99"/>
    </row>
    <row r="1747" spans="7:7" x14ac:dyDescent="0.25">
      <c r="G1747" s="99"/>
    </row>
    <row r="1748" spans="7:7" x14ac:dyDescent="0.25">
      <c r="G1748" s="99"/>
    </row>
    <row r="1749" spans="7:7" x14ac:dyDescent="0.25">
      <c r="G1749" s="99"/>
    </row>
    <row r="1750" spans="7:7" x14ac:dyDescent="0.25">
      <c r="G1750" s="99"/>
    </row>
    <row r="1751" spans="7:7" x14ac:dyDescent="0.25">
      <c r="G1751" s="99"/>
    </row>
    <row r="1752" spans="7:7" x14ac:dyDescent="0.25">
      <c r="G1752" s="99"/>
    </row>
    <row r="1753" spans="7:7" x14ac:dyDescent="0.25">
      <c r="G1753" s="99"/>
    </row>
    <row r="1754" spans="7:7" x14ac:dyDescent="0.25">
      <c r="G1754" s="99"/>
    </row>
    <row r="1755" spans="7:7" x14ac:dyDescent="0.25">
      <c r="G1755" s="99"/>
    </row>
    <row r="1756" spans="7:7" x14ac:dyDescent="0.25">
      <c r="G1756" s="99"/>
    </row>
    <row r="1757" spans="7:7" x14ac:dyDescent="0.25">
      <c r="G1757" s="99"/>
    </row>
    <row r="1758" spans="7:7" x14ac:dyDescent="0.25">
      <c r="G1758" s="99"/>
    </row>
    <row r="1759" spans="7:7" x14ac:dyDescent="0.25">
      <c r="G1759" s="99"/>
    </row>
    <row r="1760" spans="7:7" x14ac:dyDescent="0.25">
      <c r="G1760" s="99"/>
    </row>
    <row r="1761" spans="7:7" x14ac:dyDescent="0.25">
      <c r="G1761" s="99"/>
    </row>
    <row r="1762" spans="7:7" x14ac:dyDescent="0.25">
      <c r="G1762" s="99"/>
    </row>
    <row r="1763" spans="7:7" x14ac:dyDescent="0.25">
      <c r="G1763" s="99"/>
    </row>
    <row r="1764" spans="7:7" x14ac:dyDescent="0.25">
      <c r="G1764" s="99"/>
    </row>
    <row r="1765" spans="7:7" x14ac:dyDescent="0.25">
      <c r="G1765" s="99"/>
    </row>
    <row r="1766" spans="7:7" x14ac:dyDescent="0.25">
      <c r="G1766" s="99"/>
    </row>
    <row r="1767" spans="7:7" x14ac:dyDescent="0.25">
      <c r="G1767" s="99"/>
    </row>
    <row r="1768" spans="7:7" x14ac:dyDescent="0.25">
      <c r="G1768" s="99"/>
    </row>
    <row r="1769" spans="7:7" x14ac:dyDescent="0.25">
      <c r="G1769" s="99"/>
    </row>
    <row r="1770" spans="7:7" x14ac:dyDescent="0.25">
      <c r="G1770" s="99"/>
    </row>
    <row r="1771" spans="7:7" x14ac:dyDescent="0.25">
      <c r="G1771" s="99"/>
    </row>
    <row r="1772" spans="7:7" x14ac:dyDescent="0.25">
      <c r="G1772" s="99"/>
    </row>
    <row r="1773" spans="7:7" x14ac:dyDescent="0.25">
      <c r="G1773" s="99"/>
    </row>
    <row r="1774" spans="7:7" x14ac:dyDescent="0.25">
      <c r="G1774" s="99"/>
    </row>
    <row r="1775" spans="7:7" x14ac:dyDescent="0.25">
      <c r="G1775" s="99"/>
    </row>
    <row r="1776" spans="7:7" x14ac:dyDescent="0.25">
      <c r="G1776" s="99"/>
    </row>
    <row r="1777" spans="7:7" x14ac:dyDescent="0.25">
      <c r="G1777" s="99"/>
    </row>
    <row r="1778" spans="7:7" x14ac:dyDescent="0.25">
      <c r="G1778" s="99"/>
    </row>
    <row r="1779" spans="7:7" x14ac:dyDescent="0.25">
      <c r="G1779" s="99"/>
    </row>
    <row r="1780" spans="7:7" x14ac:dyDescent="0.25">
      <c r="G1780" s="99"/>
    </row>
    <row r="1781" spans="7:7" x14ac:dyDescent="0.25">
      <c r="G1781" s="99"/>
    </row>
    <row r="1782" spans="7:7" x14ac:dyDescent="0.25">
      <c r="G1782" s="99"/>
    </row>
    <row r="1783" spans="7:7" x14ac:dyDescent="0.25">
      <c r="G1783" s="99"/>
    </row>
    <row r="1784" spans="7:7" x14ac:dyDescent="0.25">
      <c r="G1784" s="99"/>
    </row>
    <row r="1785" spans="7:7" x14ac:dyDescent="0.25">
      <c r="G1785" s="99"/>
    </row>
    <row r="1786" spans="7:7" x14ac:dyDescent="0.25">
      <c r="G1786" s="99"/>
    </row>
    <row r="1787" spans="7:7" x14ac:dyDescent="0.25">
      <c r="G1787" s="99"/>
    </row>
    <row r="1788" spans="7:7" x14ac:dyDescent="0.25">
      <c r="G1788" s="99"/>
    </row>
    <row r="1789" spans="7:7" x14ac:dyDescent="0.25">
      <c r="G1789" s="99"/>
    </row>
    <row r="1790" spans="7:7" x14ac:dyDescent="0.25">
      <c r="G1790" s="99"/>
    </row>
    <row r="1791" spans="7:7" x14ac:dyDescent="0.25">
      <c r="G1791" s="99"/>
    </row>
    <row r="1792" spans="7:7" x14ac:dyDescent="0.25">
      <c r="G1792" s="99"/>
    </row>
    <row r="1793" spans="7:7" x14ac:dyDescent="0.25">
      <c r="G1793" s="99"/>
    </row>
    <row r="1794" spans="7:7" x14ac:dyDescent="0.25">
      <c r="G1794" s="99"/>
    </row>
    <row r="1795" spans="7:7" x14ac:dyDescent="0.25">
      <c r="G1795" s="99"/>
    </row>
    <row r="1796" spans="7:7" x14ac:dyDescent="0.25">
      <c r="G1796" s="99"/>
    </row>
    <row r="1797" spans="7:7" x14ac:dyDescent="0.25">
      <c r="G1797" s="99"/>
    </row>
    <row r="1798" spans="7:7" x14ac:dyDescent="0.25">
      <c r="G1798" s="99"/>
    </row>
    <row r="1799" spans="7:7" x14ac:dyDescent="0.25">
      <c r="G1799" s="99"/>
    </row>
    <row r="1800" spans="7:7" x14ac:dyDescent="0.25">
      <c r="G1800" s="99"/>
    </row>
    <row r="1801" spans="7:7" x14ac:dyDescent="0.25">
      <c r="G1801" s="99"/>
    </row>
    <row r="1802" spans="7:7" x14ac:dyDescent="0.25">
      <c r="G1802" s="99"/>
    </row>
    <row r="1803" spans="7:7" x14ac:dyDescent="0.25">
      <c r="G1803" s="99"/>
    </row>
    <row r="1804" spans="7:7" x14ac:dyDescent="0.25">
      <c r="G1804" s="99"/>
    </row>
    <row r="1805" spans="7:7" x14ac:dyDescent="0.25">
      <c r="G1805" s="99"/>
    </row>
    <row r="1806" spans="7:7" x14ac:dyDescent="0.25">
      <c r="G1806" s="99"/>
    </row>
    <row r="1807" spans="7:7" x14ac:dyDescent="0.25">
      <c r="G1807" s="99"/>
    </row>
    <row r="1808" spans="7:7" x14ac:dyDescent="0.25">
      <c r="G1808" s="99"/>
    </row>
    <row r="1809" spans="7:7" x14ac:dyDescent="0.25">
      <c r="G1809" s="99"/>
    </row>
    <row r="1810" spans="7:7" x14ac:dyDescent="0.25">
      <c r="G1810" s="99"/>
    </row>
    <row r="1811" spans="7:7" x14ac:dyDescent="0.25">
      <c r="G1811" s="99"/>
    </row>
    <row r="1812" spans="7:7" x14ac:dyDescent="0.25">
      <c r="G1812" s="99"/>
    </row>
    <row r="1813" spans="7:7" x14ac:dyDescent="0.25">
      <c r="G1813" s="99"/>
    </row>
    <row r="1814" spans="7:7" x14ac:dyDescent="0.25">
      <c r="G1814" s="99"/>
    </row>
    <row r="1815" spans="7:7" x14ac:dyDescent="0.25">
      <c r="G1815" s="99"/>
    </row>
    <row r="1816" spans="7:7" x14ac:dyDescent="0.25">
      <c r="G1816" s="99"/>
    </row>
    <row r="1817" spans="7:7" x14ac:dyDescent="0.25">
      <c r="G1817" s="99"/>
    </row>
    <row r="1818" spans="7:7" x14ac:dyDescent="0.25">
      <c r="G1818" s="99"/>
    </row>
    <row r="1819" spans="7:7" x14ac:dyDescent="0.25">
      <c r="G1819" s="99"/>
    </row>
    <row r="1820" spans="7:7" x14ac:dyDescent="0.25">
      <c r="G1820" s="99"/>
    </row>
    <row r="1821" spans="7:7" x14ac:dyDescent="0.25">
      <c r="G1821" s="99"/>
    </row>
    <row r="1822" spans="7:7" x14ac:dyDescent="0.25">
      <c r="G1822" s="99"/>
    </row>
    <row r="1823" spans="7:7" x14ac:dyDescent="0.25">
      <c r="G1823" s="99"/>
    </row>
    <row r="1824" spans="7:7" x14ac:dyDescent="0.25">
      <c r="G1824" s="99"/>
    </row>
    <row r="1825" spans="7:7" x14ac:dyDescent="0.25">
      <c r="G1825" s="99"/>
    </row>
    <row r="1826" spans="7:7" x14ac:dyDescent="0.25">
      <c r="G1826" s="99"/>
    </row>
    <row r="1827" spans="7:7" x14ac:dyDescent="0.25">
      <c r="G1827" s="99"/>
    </row>
    <row r="1828" spans="7:7" x14ac:dyDescent="0.25">
      <c r="G1828" s="99"/>
    </row>
    <row r="1829" spans="7:7" x14ac:dyDescent="0.25">
      <c r="G1829" s="99"/>
    </row>
    <row r="1830" spans="7:7" x14ac:dyDescent="0.25">
      <c r="G1830" s="99"/>
    </row>
    <row r="1831" spans="7:7" x14ac:dyDescent="0.25">
      <c r="G1831" s="99"/>
    </row>
    <row r="1832" spans="7:7" x14ac:dyDescent="0.25">
      <c r="G1832" s="99"/>
    </row>
    <row r="1833" spans="7:7" x14ac:dyDescent="0.25">
      <c r="G1833" s="99"/>
    </row>
    <row r="1834" spans="7:7" x14ac:dyDescent="0.25">
      <c r="G1834" s="99"/>
    </row>
    <row r="1835" spans="7:7" x14ac:dyDescent="0.25">
      <c r="G1835" s="99"/>
    </row>
    <row r="1836" spans="7:7" x14ac:dyDescent="0.25">
      <c r="G1836" s="99"/>
    </row>
    <row r="1837" spans="7:7" x14ac:dyDescent="0.25">
      <c r="G1837" s="99"/>
    </row>
    <row r="1838" spans="7:7" x14ac:dyDescent="0.25">
      <c r="G1838" s="99"/>
    </row>
    <row r="1839" spans="7:7" x14ac:dyDescent="0.25">
      <c r="G1839" s="99"/>
    </row>
    <row r="1840" spans="7:7" x14ac:dyDescent="0.25">
      <c r="G1840" s="99"/>
    </row>
    <row r="1841" spans="7:7" x14ac:dyDescent="0.25">
      <c r="G1841" s="99"/>
    </row>
    <row r="1842" spans="7:7" x14ac:dyDescent="0.25">
      <c r="G1842" s="99"/>
    </row>
    <row r="1843" spans="7:7" x14ac:dyDescent="0.25">
      <c r="G1843" s="99"/>
    </row>
    <row r="1844" spans="7:7" x14ac:dyDescent="0.25">
      <c r="G1844" s="99"/>
    </row>
    <row r="1845" spans="7:7" x14ac:dyDescent="0.25">
      <c r="G1845" s="99"/>
    </row>
    <row r="1846" spans="7:7" x14ac:dyDescent="0.25">
      <c r="G1846" s="99"/>
    </row>
    <row r="1847" spans="7:7" x14ac:dyDescent="0.25">
      <c r="G1847" s="99"/>
    </row>
    <row r="1848" spans="7:7" x14ac:dyDescent="0.25">
      <c r="G1848" s="99"/>
    </row>
    <row r="1849" spans="7:7" x14ac:dyDescent="0.25">
      <c r="G1849" s="99"/>
    </row>
    <row r="1850" spans="7:7" x14ac:dyDescent="0.25">
      <c r="G1850" s="99"/>
    </row>
    <row r="1851" spans="7:7" x14ac:dyDescent="0.25">
      <c r="G1851" s="99"/>
    </row>
    <row r="1852" spans="7:7" x14ac:dyDescent="0.25">
      <c r="G1852" s="99"/>
    </row>
    <row r="1853" spans="7:7" x14ac:dyDescent="0.25">
      <c r="G1853" s="99"/>
    </row>
    <row r="1854" spans="7:7" x14ac:dyDescent="0.25">
      <c r="G1854" s="99"/>
    </row>
    <row r="1855" spans="7:7" x14ac:dyDescent="0.25">
      <c r="G1855" s="99"/>
    </row>
    <row r="1856" spans="7:7" x14ac:dyDescent="0.25">
      <c r="G1856" s="99"/>
    </row>
    <row r="1857" spans="7:7" x14ac:dyDescent="0.25">
      <c r="G1857" s="99"/>
    </row>
    <row r="1858" spans="7:7" x14ac:dyDescent="0.25">
      <c r="G1858" s="99"/>
    </row>
    <row r="1859" spans="7:7" x14ac:dyDescent="0.25">
      <c r="G1859" s="99"/>
    </row>
    <row r="1860" spans="7:7" x14ac:dyDescent="0.25">
      <c r="G1860" s="99"/>
    </row>
    <row r="1861" spans="7:7" x14ac:dyDescent="0.25">
      <c r="G1861" s="99"/>
    </row>
    <row r="1862" spans="7:7" x14ac:dyDescent="0.25">
      <c r="G1862" s="99"/>
    </row>
    <row r="1863" spans="7:7" x14ac:dyDescent="0.25">
      <c r="G1863" s="99"/>
    </row>
    <row r="1864" spans="7:7" x14ac:dyDescent="0.25">
      <c r="G1864" s="99"/>
    </row>
    <row r="1865" spans="7:7" x14ac:dyDescent="0.25">
      <c r="G1865" s="99"/>
    </row>
    <row r="1866" spans="7:7" x14ac:dyDescent="0.25">
      <c r="G1866" s="99"/>
    </row>
    <row r="1867" spans="7:7" x14ac:dyDescent="0.25">
      <c r="G1867" s="99"/>
    </row>
    <row r="1868" spans="7:7" x14ac:dyDescent="0.25">
      <c r="G1868" s="99"/>
    </row>
    <row r="1869" spans="7:7" x14ac:dyDescent="0.25">
      <c r="G1869" s="99"/>
    </row>
    <row r="1870" spans="7:7" x14ac:dyDescent="0.25">
      <c r="G1870" s="99"/>
    </row>
    <row r="1871" spans="7:7" x14ac:dyDescent="0.25">
      <c r="G1871" s="99"/>
    </row>
    <row r="1872" spans="7:7" x14ac:dyDescent="0.25">
      <c r="G1872" s="99"/>
    </row>
    <row r="1873" spans="7:7" x14ac:dyDescent="0.25">
      <c r="G1873" s="99"/>
    </row>
    <row r="1874" spans="7:7" x14ac:dyDescent="0.25">
      <c r="G1874" s="99"/>
    </row>
    <row r="1875" spans="7:7" x14ac:dyDescent="0.25">
      <c r="G1875" s="99"/>
    </row>
    <row r="1876" spans="7:7" x14ac:dyDescent="0.25">
      <c r="G1876" s="99"/>
    </row>
    <row r="1877" spans="7:7" x14ac:dyDescent="0.25">
      <c r="G1877" s="99"/>
    </row>
    <row r="1878" spans="7:7" x14ac:dyDescent="0.25">
      <c r="G1878" s="99"/>
    </row>
    <row r="1879" spans="7:7" x14ac:dyDescent="0.25">
      <c r="G1879" s="99"/>
    </row>
    <row r="1880" spans="7:7" x14ac:dyDescent="0.25">
      <c r="G1880" s="99"/>
    </row>
    <row r="1881" spans="7:7" x14ac:dyDescent="0.25">
      <c r="G1881" s="99"/>
    </row>
    <row r="1882" spans="7:7" x14ac:dyDescent="0.25">
      <c r="G1882" s="99"/>
    </row>
    <row r="1883" spans="7:7" x14ac:dyDescent="0.25">
      <c r="G1883" s="99"/>
    </row>
    <row r="1884" spans="7:7" x14ac:dyDescent="0.25">
      <c r="G1884" s="99"/>
    </row>
    <row r="1885" spans="7:7" x14ac:dyDescent="0.25">
      <c r="G1885" s="99"/>
    </row>
    <row r="1886" spans="7:7" x14ac:dyDescent="0.25">
      <c r="G1886" s="99"/>
    </row>
    <row r="1887" spans="7:7" x14ac:dyDescent="0.25">
      <c r="G1887" s="99"/>
    </row>
    <row r="1888" spans="7:7" x14ac:dyDescent="0.25">
      <c r="G1888" s="99"/>
    </row>
    <row r="1889" spans="7:7" x14ac:dyDescent="0.25">
      <c r="G1889" s="99"/>
    </row>
    <row r="1890" spans="7:7" x14ac:dyDescent="0.25">
      <c r="G1890" s="99"/>
    </row>
    <row r="1891" spans="7:7" x14ac:dyDescent="0.25">
      <c r="G1891" s="99"/>
    </row>
    <row r="1892" spans="7:7" x14ac:dyDescent="0.25">
      <c r="G1892" s="99"/>
    </row>
    <row r="1893" spans="7:7" x14ac:dyDescent="0.25">
      <c r="G1893" s="99"/>
    </row>
    <row r="1894" spans="7:7" x14ac:dyDescent="0.25">
      <c r="G1894" s="99"/>
    </row>
    <row r="1895" spans="7:7" x14ac:dyDescent="0.25">
      <c r="G1895" s="99"/>
    </row>
    <row r="1896" spans="7:7" x14ac:dyDescent="0.25">
      <c r="G1896" s="99"/>
    </row>
    <row r="1897" spans="7:7" x14ac:dyDescent="0.25">
      <c r="G1897" s="99"/>
    </row>
    <row r="1898" spans="7:7" x14ac:dyDescent="0.25">
      <c r="G1898" s="99"/>
    </row>
    <row r="1899" spans="7:7" x14ac:dyDescent="0.25">
      <c r="G1899" s="99"/>
    </row>
    <row r="1900" spans="7:7" x14ac:dyDescent="0.25">
      <c r="G1900" s="99"/>
    </row>
    <row r="1901" spans="7:7" x14ac:dyDescent="0.25">
      <c r="G1901" s="99"/>
    </row>
    <row r="1902" spans="7:7" x14ac:dyDescent="0.25">
      <c r="G1902" s="99"/>
    </row>
    <row r="1903" spans="7:7" x14ac:dyDescent="0.25">
      <c r="G1903" s="99"/>
    </row>
    <row r="1904" spans="7:7" x14ac:dyDescent="0.25">
      <c r="G1904" s="99"/>
    </row>
    <row r="1905" spans="7:7" x14ac:dyDescent="0.25">
      <c r="G1905" s="99"/>
    </row>
    <row r="1906" spans="7:7" x14ac:dyDescent="0.25">
      <c r="G1906" s="99"/>
    </row>
    <row r="1907" spans="7:7" x14ac:dyDescent="0.25">
      <c r="G1907" s="99"/>
    </row>
    <row r="1908" spans="7:7" x14ac:dyDescent="0.25">
      <c r="G1908" s="99"/>
    </row>
    <row r="1909" spans="7:7" x14ac:dyDescent="0.25">
      <c r="G1909" s="99"/>
    </row>
    <row r="1910" spans="7:7" x14ac:dyDescent="0.25">
      <c r="G1910" s="99"/>
    </row>
    <row r="1911" spans="7:7" x14ac:dyDescent="0.25">
      <c r="G1911" s="99"/>
    </row>
    <row r="1912" spans="7:7" x14ac:dyDescent="0.25">
      <c r="G1912" s="99"/>
    </row>
    <row r="1913" spans="7:7" x14ac:dyDescent="0.25">
      <c r="G1913" s="99"/>
    </row>
    <row r="1914" spans="7:7" x14ac:dyDescent="0.25">
      <c r="G1914" s="99"/>
    </row>
    <row r="1915" spans="7:7" x14ac:dyDescent="0.25">
      <c r="G1915" s="99"/>
    </row>
    <row r="1916" spans="7:7" x14ac:dyDescent="0.25">
      <c r="G1916" s="99"/>
    </row>
    <row r="1917" spans="7:7" x14ac:dyDescent="0.25">
      <c r="G1917" s="99"/>
    </row>
    <row r="1918" spans="7:7" x14ac:dyDescent="0.25">
      <c r="G1918" s="99"/>
    </row>
    <row r="1919" spans="7:7" x14ac:dyDescent="0.25">
      <c r="G1919" s="99"/>
    </row>
    <row r="1920" spans="7:7" x14ac:dyDescent="0.25">
      <c r="G1920" s="99"/>
    </row>
    <row r="1921" spans="7:7" x14ac:dyDescent="0.25">
      <c r="G1921" s="99"/>
    </row>
    <row r="1922" spans="7:7" x14ac:dyDescent="0.25">
      <c r="G1922" s="99"/>
    </row>
    <row r="1923" spans="7:7" x14ac:dyDescent="0.25">
      <c r="G1923" s="99"/>
    </row>
    <row r="1924" spans="7:7" x14ac:dyDescent="0.25">
      <c r="G1924" s="99"/>
    </row>
    <row r="1925" spans="7:7" x14ac:dyDescent="0.25">
      <c r="G1925" s="99"/>
    </row>
    <row r="1926" spans="7:7" x14ac:dyDescent="0.25">
      <c r="G1926" s="99"/>
    </row>
    <row r="1927" spans="7:7" x14ac:dyDescent="0.25">
      <c r="G1927" s="99"/>
    </row>
    <row r="1928" spans="7:7" x14ac:dyDescent="0.25">
      <c r="G1928" s="99"/>
    </row>
    <row r="1929" spans="7:7" x14ac:dyDescent="0.25">
      <c r="G1929" s="99"/>
    </row>
    <row r="1930" spans="7:7" x14ac:dyDescent="0.25">
      <c r="G1930" s="99"/>
    </row>
    <row r="1931" spans="7:7" x14ac:dyDescent="0.25">
      <c r="G1931" s="99"/>
    </row>
    <row r="1932" spans="7:7" x14ac:dyDescent="0.25">
      <c r="G1932" s="99"/>
    </row>
    <row r="1933" spans="7:7" x14ac:dyDescent="0.25">
      <c r="G1933" s="99"/>
    </row>
    <row r="1934" spans="7:7" x14ac:dyDescent="0.25">
      <c r="G1934" s="99"/>
    </row>
    <row r="1935" spans="7:7" x14ac:dyDescent="0.25">
      <c r="G1935" s="99"/>
    </row>
    <row r="1936" spans="7:7" x14ac:dyDescent="0.25">
      <c r="G1936" s="99"/>
    </row>
    <row r="1937" spans="7:7" x14ac:dyDescent="0.25">
      <c r="G1937" s="99"/>
    </row>
    <row r="1938" spans="7:7" x14ac:dyDescent="0.25">
      <c r="G1938" s="99"/>
    </row>
    <row r="1939" spans="7:7" x14ac:dyDescent="0.25">
      <c r="G1939" s="99"/>
    </row>
    <row r="1940" spans="7:7" x14ac:dyDescent="0.25">
      <c r="G1940" s="99"/>
    </row>
    <row r="1941" spans="7:7" x14ac:dyDescent="0.25">
      <c r="G1941" s="99"/>
    </row>
    <row r="1942" spans="7:7" x14ac:dyDescent="0.25">
      <c r="G1942" s="99"/>
    </row>
    <row r="1943" spans="7:7" x14ac:dyDescent="0.25">
      <c r="G1943" s="99"/>
    </row>
    <row r="1944" spans="7:7" x14ac:dyDescent="0.25">
      <c r="G1944" s="99"/>
    </row>
    <row r="1945" spans="7:7" x14ac:dyDescent="0.25">
      <c r="G1945" s="99"/>
    </row>
    <row r="1946" spans="7:7" x14ac:dyDescent="0.25">
      <c r="G1946" s="99"/>
    </row>
    <row r="1947" spans="7:7" x14ac:dyDescent="0.25">
      <c r="G1947" s="99"/>
    </row>
    <row r="1948" spans="7:7" x14ac:dyDescent="0.25">
      <c r="G1948" s="99"/>
    </row>
    <row r="1949" spans="7:7" x14ac:dyDescent="0.25">
      <c r="G1949" s="99"/>
    </row>
    <row r="1950" spans="7:7" x14ac:dyDescent="0.25">
      <c r="G1950" s="99"/>
    </row>
    <row r="1951" spans="7:7" x14ac:dyDescent="0.25">
      <c r="G1951" s="99"/>
    </row>
    <row r="1952" spans="7:7" x14ac:dyDescent="0.25">
      <c r="G1952" s="99"/>
    </row>
    <row r="1953" spans="7:7" x14ac:dyDescent="0.25">
      <c r="G1953" s="99"/>
    </row>
    <row r="1954" spans="7:7" x14ac:dyDescent="0.25">
      <c r="G1954" s="99"/>
    </row>
    <row r="1955" spans="7:7" x14ac:dyDescent="0.25">
      <c r="G1955" s="99"/>
    </row>
    <row r="1956" spans="7:7" x14ac:dyDescent="0.25">
      <c r="G1956" s="99"/>
    </row>
    <row r="1957" spans="7:7" x14ac:dyDescent="0.25">
      <c r="G1957" s="99"/>
    </row>
    <row r="1958" spans="7:7" x14ac:dyDescent="0.25">
      <c r="G1958" s="99"/>
    </row>
    <row r="1959" spans="7:7" x14ac:dyDescent="0.25">
      <c r="G1959" s="99"/>
    </row>
    <row r="1960" spans="7:7" x14ac:dyDescent="0.25">
      <c r="G1960" s="99"/>
    </row>
    <row r="1961" spans="7:7" x14ac:dyDescent="0.25">
      <c r="G1961" s="99"/>
    </row>
    <row r="1962" spans="7:7" x14ac:dyDescent="0.25">
      <c r="G1962" s="99"/>
    </row>
    <row r="1963" spans="7:7" x14ac:dyDescent="0.25">
      <c r="G1963" s="99"/>
    </row>
    <row r="1964" spans="7:7" x14ac:dyDescent="0.25">
      <c r="G1964" s="99"/>
    </row>
    <row r="1965" spans="7:7" x14ac:dyDescent="0.25">
      <c r="G1965" s="99"/>
    </row>
    <row r="1966" spans="7:7" x14ac:dyDescent="0.25">
      <c r="G1966" s="99"/>
    </row>
    <row r="1967" spans="7:7" x14ac:dyDescent="0.25">
      <c r="G1967" s="99"/>
    </row>
    <row r="1968" spans="7:7" x14ac:dyDescent="0.25">
      <c r="G1968" s="99"/>
    </row>
    <row r="1969" spans="7:7" x14ac:dyDescent="0.25">
      <c r="G1969" s="99"/>
    </row>
    <row r="1970" spans="7:7" x14ac:dyDescent="0.25">
      <c r="G1970" s="99"/>
    </row>
    <row r="1971" spans="7:7" x14ac:dyDescent="0.25">
      <c r="G1971" s="99"/>
    </row>
    <row r="1972" spans="7:7" x14ac:dyDescent="0.25">
      <c r="G1972" s="99"/>
    </row>
    <row r="1973" spans="7:7" x14ac:dyDescent="0.25">
      <c r="G1973" s="99"/>
    </row>
    <row r="1974" spans="7:7" x14ac:dyDescent="0.25">
      <c r="G1974" s="99"/>
    </row>
    <row r="1975" spans="7:7" x14ac:dyDescent="0.25">
      <c r="G1975" s="99"/>
    </row>
    <row r="1976" spans="7:7" x14ac:dyDescent="0.25">
      <c r="G1976" s="99"/>
    </row>
    <row r="1977" spans="7:7" x14ac:dyDescent="0.25">
      <c r="G1977" s="99"/>
    </row>
    <row r="1978" spans="7:7" x14ac:dyDescent="0.25">
      <c r="G1978" s="99"/>
    </row>
    <row r="1979" spans="7:7" x14ac:dyDescent="0.25">
      <c r="G1979" s="99"/>
    </row>
    <row r="1980" spans="7:7" x14ac:dyDescent="0.25">
      <c r="G1980" s="99"/>
    </row>
    <row r="1981" spans="7:7" x14ac:dyDescent="0.25">
      <c r="G1981" s="99"/>
    </row>
    <row r="1982" spans="7:7" x14ac:dyDescent="0.25">
      <c r="G1982" s="99"/>
    </row>
    <row r="1983" spans="7:7" x14ac:dyDescent="0.25">
      <c r="G1983" s="99"/>
    </row>
    <row r="1984" spans="7:7" x14ac:dyDescent="0.25">
      <c r="G1984" s="99"/>
    </row>
    <row r="1985" spans="7:7" x14ac:dyDescent="0.25">
      <c r="G1985" s="99"/>
    </row>
    <row r="1986" spans="7:7" x14ac:dyDescent="0.25">
      <c r="G1986" s="99"/>
    </row>
    <row r="1987" spans="7:7" x14ac:dyDescent="0.25">
      <c r="G1987" s="99"/>
    </row>
    <row r="1988" spans="7:7" x14ac:dyDescent="0.25">
      <c r="G1988" s="99"/>
    </row>
    <row r="1989" spans="7:7" x14ac:dyDescent="0.25">
      <c r="G1989" s="99"/>
    </row>
    <row r="1990" spans="7:7" x14ac:dyDescent="0.25">
      <c r="G1990" s="99"/>
    </row>
    <row r="1991" spans="7:7" x14ac:dyDescent="0.25">
      <c r="G1991" s="99"/>
    </row>
    <row r="1992" spans="7:7" x14ac:dyDescent="0.25">
      <c r="G1992" s="99"/>
    </row>
    <row r="1993" spans="7:7" x14ac:dyDescent="0.25">
      <c r="G1993" s="99"/>
    </row>
    <row r="1994" spans="7:7" x14ac:dyDescent="0.25">
      <c r="G1994" s="99"/>
    </row>
    <row r="1995" spans="7:7" x14ac:dyDescent="0.25">
      <c r="G1995" s="99"/>
    </row>
    <row r="1996" spans="7:7" x14ac:dyDescent="0.25">
      <c r="G1996" s="99"/>
    </row>
    <row r="1997" spans="7:7" x14ac:dyDescent="0.25">
      <c r="G1997" s="99"/>
    </row>
    <row r="1998" spans="7:7" x14ac:dyDescent="0.25">
      <c r="G1998" s="99"/>
    </row>
    <row r="1999" spans="7:7" x14ac:dyDescent="0.25">
      <c r="G1999" s="99"/>
    </row>
    <row r="2000" spans="7:7" x14ac:dyDescent="0.25">
      <c r="G2000" s="99"/>
    </row>
    <row r="2001" spans="7:7" x14ac:dyDescent="0.25">
      <c r="G2001" s="99"/>
    </row>
    <row r="2002" spans="7:7" x14ac:dyDescent="0.25">
      <c r="G2002" s="99"/>
    </row>
    <row r="2003" spans="7:7" x14ac:dyDescent="0.25">
      <c r="G2003" s="99"/>
    </row>
    <row r="2004" spans="7:7" x14ac:dyDescent="0.25">
      <c r="G2004" s="99"/>
    </row>
    <row r="2005" spans="7:7" x14ac:dyDescent="0.25">
      <c r="G2005" s="99"/>
    </row>
    <row r="2006" spans="7:7" x14ac:dyDescent="0.25">
      <c r="G2006" s="99"/>
    </row>
    <row r="2007" spans="7:7" x14ac:dyDescent="0.25">
      <c r="G2007" s="99"/>
    </row>
    <row r="2008" spans="7:7" x14ac:dyDescent="0.25">
      <c r="G2008" s="99"/>
    </row>
    <row r="2009" spans="7:7" x14ac:dyDescent="0.25">
      <c r="G2009" s="99"/>
    </row>
    <row r="2010" spans="7:7" x14ac:dyDescent="0.25">
      <c r="G2010" s="99"/>
    </row>
    <row r="2011" spans="7:7" x14ac:dyDescent="0.25">
      <c r="G2011" s="99"/>
    </row>
    <row r="2012" spans="7:7" x14ac:dyDescent="0.25">
      <c r="G2012" s="99"/>
    </row>
    <row r="2013" spans="7:7" x14ac:dyDescent="0.25">
      <c r="G2013" s="99"/>
    </row>
    <row r="2014" spans="7:7" x14ac:dyDescent="0.25">
      <c r="G2014" s="99"/>
    </row>
    <row r="2015" spans="7:7" x14ac:dyDescent="0.25">
      <c r="G2015" s="99"/>
    </row>
    <row r="2016" spans="7:7" x14ac:dyDescent="0.25">
      <c r="G2016" s="99"/>
    </row>
    <row r="2017" spans="7:7" x14ac:dyDescent="0.25">
      <c r="G2017" s="99"/>
    </row>
    <row r="2018" spans="7:7" x14ac:dyDescent="0.25">
      <c r="G2018" s="99"/>
    </row>
    <row r="2019" spans="7:7" x14ac:dyDescent="0.25">
      <c r="G2019" s="99"/>
    </row>
    <row r="2020" spans="7:7" x14ac:dyDescent="0.25">
      <c r="G2020" s="99"/>
    </row>
    <row r="2021" spans="7:7" x14ac:dyDescent="0.25">
      <c r="G2021" s="99"/>
    </row>
    <row r="2022" spans="7:7" x14ac:dyDescent="0.25">
      <c r="G2022" s="99"/>
    </row>
    <row r="2023" spans="7:7" x14ac:dyDescent="0.25">
      <c r="G2023" s="99"/>
    </row>
    <row r="2024" spans="7:7" x14ac:dyDescent="0.25">
      <c r="G2024" s="99"/>
    </row>
    <row r="2025" spans="7:7" x14ac:dyDescent="0.25">
      <c r="G2025" s="99"/>
    </row>
    <row r="2026" spans="7:7" x14ac:dyDescent="0.25">
      <c r="G2026" s="99"/>
    </row>
    <row r="2027" spans="7:7" x14ac:dyDescent="0.25">
      <c r="G2027" s="99"/>
    </row>
    <row r="2028" spans="7:7" x14ac:dyDescent="0.25">
      <c r="G2028" s="99"/>
    </row>
    <row r="2029" spans="7:7" x14ac:dyDescent="0.25">
      <c r="G2029" s="99"/>
    </row>
    <row r="2030" spans="7:7" x14ac:dyDescent="0.25">
      <c r="G2030" s="99"/>
    </row>
    <row r="2031" spans="7:7" x14ac:dyDescent="0.25">
      <c r="G2031" s="99"/>
    </row>
    <row r="2032" spans="7:7" x14ac:dyDescent="0.25">
      <c r="G2032" s="99"/>
    </row>
    <row r="2033" spans="7:7" x14ac:dyDescent="0.25">
      <c r="G2033" s="99"/>
    </row>
    <row r="2034" spans="7:7" x14ac:dyDescent="0.25">
      <c r="G2034" s="99"/>
    </row>
    <row r="2035" spans="7:7" x14ac:dyDescent="0.25">
      <c r="G2035" s="99"/>
    </row>
    <row r="2036" spans="7:7" x14ac:dyDescent="0.25">
      <c r="G2036" s="99"/>
    </row>
    <row r="2037" spans="7:7" x14ac:dyDescent="0.25">
      <c r="G2037" s="99"/>
    </row>
    <row r="2038" spans="7:7" x14ac:dyDescent="0.25">
      <c r="G2038" s="99"/>
    </row>
    <row r="2039" spans="7:7" x14ac:dyDescent="0.25">
      <c r="G2039" s="99"/>
    </row>
    <row r="2040" spans="7:7" x14ac:dyDescent="0.25">
      <c r="G2040" s="99"/>
    </row>
    <row r="2041" spans="7:7" x14ac:dyDescent="0.25">
      <c r="G2041" s="99"/>
    </row>
    <row r="2042" spans="7:7" x14ac:dyDescent="0.25">
      <c r="G2042" s="99"/>
    </row>
    <row r="2043" spans="7:7" x14ac:dyDescent="0.25">
      <c r="G2043" s="99"/>
    </row>
    <row r="2044" spans="7:7" x14ac:dyDescent="0.25">
      <c r="G2044" s="99"/>
    </row>
    <row r="2045" spans="7:7" x14ac:dyDescent="0.25">
      <c r="G2045" s="99"/>
    </row>
    <row r="2046" spans="7:7" x14ac:dyDescent="0.25">
      <c r="G2046" s="99"/>
    </row>
    <row r="2047" spans="7:7" x14ac:dyDescent="0.25">
      <c r="G2047" s="99"/>
    </row>
    <row r="2048" spans="7:7" x14ac:dyDescent="0.25">
      <c r="G2048" s="99"/>
    </row>
    <row r="2049" spans="7:7" x14ac:dyDescent="0.25">
      <c r="G2049" s="99"/>
    </row>
    <row r="2050" spans="7:7" x14ac:dyDescent="0.25">
      <c r="G2050" s="99"/>
    </row>
    <row r="2051" spans="7:7" x14ac:dyDescent="0.25">
      <c r="G2051" s="99"/>
    </row>
    <row r="2052" spans="7:7" x14ac:dyDescent="0.25">
      <c r="G2052" s="99"/>
    </row>
  </sheetData>
  <mergeCells count="3">
    <mergeCell ref="O1:Q1"/>
    <mergeCell ref="K1:L1"/>
    <mergeCell ref="A1:G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rderItems"/>
  <dimension ref="A1:W958"/>
  <sheetViews>
    <sheetView topLeftCell="A768" workbookViewId="0">
      <selection activeCell="I767" sqref="I767"/>
    </sheetView>
  </sheetViews>
  <sheetFormatPr defaultRowHeight="15" x14ac:dyDescent="0.25"/>
  <cols>
    <col min="2" max="2" width="10.28515625" bestFit="1" customWidth="1"/>
    <col min="5" max="5" width="13.7109375" bestFit="1" customWidth="1"/>
    <col min="8" max="8" width="10.42578125" bestFit="1" customWidth="1"/>
    <col min="10" max="10" width="10.42578125" bestFit="1" customWidth="1"/>
    <col min="23" max="23" width="10.42578125" bestFit="1" customWidth="1"/>
  </cols>
  <sheetData>
    <row r="1" spans="1:23" x14ac:dyDescent="0.25">
      <c r="A1" s="118" t="s">
        <v>130</v>
      </c>
      <c r="B1" s="118"/>
      <c r="C1" s="118"/>
      <c r="D1" s="118"/>
      <c r="E1" s="118"/>
      <c r="F1" s="118"/>
      <c r="G1" s="118"/>
      <c r="H1" s="118"/>
      <c r="I1" s="118"/>
      <c r="J1" s="118"/>
      <c r="N1" s="120" t="s">
        <v>90</v>
      </c>
      <c r="O1" s="120"/>
      <c r="Q1" s="119" t="s">
        <v>91</v>
      </c>
      <c r="R1" s="119"/>
      <c r="S1" s="119"/>
      <c r="T1" s="119"/>
      <c r="U1" s="119"/>
      <c r="V1" s="119"/>
      <c r="W1" s="119"/>
    </row>
    <row r="2" spans="1:23" x14ac:dyDescent="0.25">
      <c r="A2" s="32" t="s">
        <v>11</v>
      </c>
      <c r="B2" s="32" t="s">
        <v>20</v>
      </c>
      <c r="C2" s="32" t="s">
        <v>129</v>
      </c>
      <c r="D2" s="32" t="s">
        <v>128</v>
      </c>
      <c r="E2" s="32" t="s">
        <v>3</v>
      </c>
      <c r="F2" s="32" t="s">
        <v>4</v>
      </c>
      <c r="G2" s="32" t="s">
        <v>5</v>
      </c>
      <c r="H2" s="32" t="s">
        <v>6</v>
      </c>
      <c r="I2" s="32" t="s">
        <v>7</v>
      </c>
      <c r="J2" s="32" t="s">
        <v>92</v>
      </c>
      <c r="N2" s="3" t="s">
        <v>11</v>
      </c>
      <c r="O2" s="3" t="s">
        <v>20</v>
      </c>
      <c r="Q2" s="32" t="s">
        <v>129</v>
      </c>
      <c r="R2" s="32" t="s">
        <v>128</v>
      </c>
      <c r="S2" s="32" t="s">
        <v>3</v>
      </c>
      <c r="T2" s="32" t="s">
        <v>4</v>
      </c>
      <c r="U2" s="32" t="s">
        <v>5</v>
      </c>
      <c r="V2" s="32" t="s">
        <v>6</v>
      </c>
      <c r="W2" s="32" t="s">
        <v>92</v>
      </c>
    </row>
    <row r="3" spans="1:23" x14ac:dyDescent="0.25">
      <c r="A3">
        <v>10000</v>
      </c>
      <c r="B3" t="s">
        <v>1299</v>
      </c>
      <c r="C3">
        <v>3</v>
      </c>
      <c r="D3">
        <v>6265554201035</v>
      </c>
      <c r="E3" t="s">
        <v>1436</v>
      </c>
      <c r="F3">
        <v>4</v>
      </c>
      <c r="G3" s="33">
        <v>700</v>
      </c>
      <c r="I3" s="33">
        <v>2800</v>
      </c>
      <c r="J3">
        <v>7</v>
      </c>
      <c r="N3" s="3">
        <f>POS!P4</f>
        <v>10235</v>
      </c>
      <c r="O3" s="3" t="s">
        <v>142</v>
      </c>
      <c r="Q3">
        <v>887</v>
      </c>
      <c r="R3">
        <v>6260806400068</v>
      </c>
      <c r="S3" t="s">
        <v>746</v>
      </c>
      <c r="T3">
        <v>1</v>
      </c>
      <c r="U3">
        <v>35</v>
      </c>
      <c r="W3">
        <v>7</v>
      </c>
    </row>
    <row r="4" spans="1:23" x14ac:dyDescent="0.25">
      <c r="A4">
        <v>10000</v>
      </c>
      <c r="B4" t="s">
        <v>1299</v>
      </c>
      <c r="C4">
        <v>4</v>
      </c>
      <c r="D4">
        <v>6269007000015</v>
      </c>
      <c r="E4" t="s">
        <v>1437</v>
      </c>
      <c r="F4">
        <v>4</v>
      </c>
      <c r="G4" s="33">
        <v>600</v>
      </c>
      <c r="I4" s="33">
        <v>2400</v>
      </c>
      <c r="J4">
        <v>8</v>
      </c>
      <c r="Q4">
        <v>888</v>
      </c>
      <c r="R4">
        <v>6260079211323</v>
      </c>
      <c r="S4" t="s">
        <v>1429</v>
      </c>
      <c r="T4">
        <v>1</v>
      </c>
      <c r="U4">
        <v>35</v>
      </c>
      <c r="W4">
        <v>8</v>
      </c>
    </row>
    <row r="5" spans="1:23" x14ac:dyDescent="0.25">
      <c r="A5">
        <v>10000</v>
      </c>
      <c r="B5" t="s">
        <v>1299</v>
      </c>
      <c r="C5">
        <v>5</v>
      </c>
      <c r="D5">
        <v>2200</v>
      </c>
      <c r="E5" t="s">
        <v>1225</v>
      </c>
      <c r="F5">
        <v>45.5</v>
      </c>
      <c r="G5" s="33">
        <v>60</v>
      </c>
      <c r="I5" s="33">
        <v>2730</v>
      </c>
      <c r="J5">
        <v>9</v>
      </c>
      <c r="Q5">
        <v>889</v>
      </c>
      <c r="R5">
        <v>6260308310278</v>
      </c>
      <c r="S5" t="s">
        <v>778</v>
      </c>
      <c r="T5">
        <v>1</v>
      </c>
      <c r="U5">
        <v>80</v>
      </c>
      <c r="W5">
        <v>9</v>
      </c>
    </row>
    <row r="6" spans="1:23" x14ac:dyDescent="0.25">
      <c r="A6">
        <v>10000</v>
      </c>
      <c r="B6" t="s">
        <v>1299</v>
      </c>
      <c r="C6">
        <v>6</v>
      </c>
      <c r="D6">
        <v>3000</v>
      </c>
      <c r="E6" t="s">
        <v>1222</v>
      </c>
      <c r="F6">
        <v>9.15</v>
      </c>
      <c r="G6" s="33">
        <v>500</v>
      </c>
      <c r="I6" s="33">
        <v>4575</v>
      </c>
      <c r="J6">
        <v>10</v>
      </c>
    </row>
    <row r="7" spans="1:23" x14ac:dyDescent="0.25">
      <c r="A7">
        <v>10000</v>
      </c>
      <c r="B7" t="s">
        <v>1299</v>
      </c>
      <c r="C7">
        <v>7</v>
      </c>
      <c r="D7">
        <v>5600</v>
      </c>
      <c r="E7" t="s">
        <v>1223</v>
      </c>
      <c r="F7">
        <v>5.3</v>
      </c>
      <c r="G7" s="33">
        <v>550</v>
      </c>
      <c r="I7" s="33">
        <v>2915</v>
      </c>
      <c r="J7">
        <v>11</v>
      </c>
    </row>
    <row r="8" spans="1:23" x14ac:dyDescent="0.25">
      <c r="A8">
        <v>10000</v>
      </c>
      <c r="B8" t="s">
        <v>1299</v>
      </c>
      <c r="C8">
        <v>8</v>
      </c>
      <c r="D8">
        <v>6261005083939</v>
      </c>
      <c r="E8" t="s">
        <v>989</v>
      </c>
      <c r="F8">
        <v>6</v>
      </c>
      <c r="G8" s="33">
        <v>25</v>
      </c>
      <c r="I8" s="33">
        <v>150</v>
      </c>
      <c r="J8">
        <v>12</v>
      </c>
    </row>
    <row r="9" spans="1:23" x14ac:dyDescent="0.25">
      <c r="A9">
        <v>10000</v>
      </c>
      <c r="B9" t="s">
        <v>1299</v>
      </c>
      <c r="C9">
        <v>9</v>
      </c>
      <c r="D9">
        <v>6261005083984</v>
      </c>
      <c r="E9" t="s">
        <v>984</v>
      </c>
      <c r="F9">
        <v>12</v>
      </c>
      <c r="G9" s="33">
        <v>20</v>
      </c>
      <c r="I9" s="33">
        <v>240</v>
      </c>
      <c r="J9">
        <v>13</v>
      </c>
    </row>
    <row r="10" spans="1:23" x14ac:dyDescent="0.25">
      <c r="A10">
        <v>10000</v>
      </c>
      <c r="B10" t="s">
        <v>1299</v>
      </c>
      <c r="C10">
        <v>10</v>
      </c>
      <c r="D10">
        <v>6269771300359</v>
      </c>
      <c r="E10" t="s">
        <v>991</v>
      </c>
      <c r="F10">
        <v>2</v>
      </c>
      <c r="G10" s="33">
        <v>80</v>
      </c>
      <c r="I10" s="33">
        <v>160</v>
      </c>
      <c r="J10">
        <v>14</v>
      </c>
    </row>
    <row r="11" spans="1:23" x14ac:dyDescent="0.25">
      <c r="A11">
        <v>10000</v>
      </c>
      <c r="B11" t="s">
        <v>1299</v>
      </c>
      <c r="C11">
        <v>11</v>
      </c>
      <c r="D11">
        <v>6400</v>
      </c>
      <c r="E11" t="s">
        <v>1273</v>
      </c>
      <c r="F11">
        <v>5</v>
      </c>
      <c r="G11" s="33">
        <v>25</v>
      </c>
      <c r="I11" s="33">
        <v>125</v>
      </c>
      <c r="J11">
        <v>15</v>
      </c>
    </row>
    <row r="12" spans="1:23" x14ac:dyDescent="0.25">
      <c r="A12">
        <v>10000</v>
      </c>
      <c r="B12" t="s">
        <v>1299</v>
      </c>
      <c r="C12">
        <v>12</v>
      </c>
      <c r="D12">
        <v>6260501000433</v>
      </c>
      <c r="E12" t="s">
        <v>639</v>
      </c>
      <c r="F12">
        <v>36</v>
      </c>
      <c r="G12" s="33">
        <v>10</v>
      </c>
      <c r="I12" s="33">
        <v>360</v>
      </c>
      <c r="J12">
        <v>16</v>
      </c>
    </row>
    <row r="13" spans="1:23" x14ac:dyDescent="0.25">
      <c r="A13">
        <v>10000</v>
      </c>
      <c r="B13" t="s">
        <v>1299</v>
      </c>
      <c r="C13">
        <v>13</v>
      </c>
      <c r="D13">
        <v>162510046990122</v>
      </c>
      <c r="E13" t="s">
        <v>1124</v>
      </c>
      <c r="F13">
        <v>46</v>
      </c>
      <c r="G13" s="33">
        <v>7</v>
      </c>
      <c r="I13" s="33">
        <v>322</v>
      </c>
      <c r="J13">
        <v>17</v>
      </c>
    </row>
    <row r="14" spans="1:23" x14ac:dyDescent="0.25">
      <c r="A14">
        <v>10000</v>
      </c>
      <c r="B14" t="s">
        <v>1299</v>
      </c>
      <c r="C14">
        <v>14</v>
      </c>
      <c r="D14">
        <v>6260469900110</v>
      </c>
      <c r="E14" t="s">
        <v>1124</v>
      </c>
      <c r="F14">
        <v>46</v>
      </c>
      <c r="G14" s="33">
        <v>7</v>
      </c>
      <c r="I14" s="33">
        <v>322</v>
      </c>
      <c r="J14">
        <v>18</v>
      </c>
    </row>
    <row r="15" spans="1:23" x14ac:dyDescent="0.25">
      <c r="A15">
        <v>10000</v>
      </c>
      <c r="B15" t="s">
        <v>1299</v>
      </c>
      <c r="C15">
        <v>15</v>
      </c>
      <c r="D15">
        <v>6260501000440</v>
      </c>
      <c r="E15" t="s">
        <v>641</v>
      </c>
      <c r="F15">
        <v>36</v>
      </c>
      <c r="G15" s="33">
        <v>10</v>
      </c>
      <c r="I15" s="33">
        <v>360</v>
      </c>
      <c r="J15">
        <v>19</v>
      </c>
    </row>
    <row r="16" spans="1:23" x14ac:dyDescent="0.25">
      <c r="A16">
        <v>10000</v>
      </c>
      <c r="B16" t="s">
        <v>1299</v>
      </c>
      <c r="C16">
        <v>16</v>
      </c>
      <c r="D16">
        <v>6260031021038</v>
      </c>
      <c r="E16" t="s">
        <v>538</v>
      </c>
      <c r="F16">
        <v>15</v>
      </c>
      <c r="G16" s="33">
        <v>30</v>
      </c>
      <c r="I16" s="33">
        <v>450</v>
      </c>
      <c r="J16">
        <v>20</v>
      </c>
    </row>
    <row r="17" spans="1:10" x14ac:dyDescent="0.25">
      <c r="A17">
        <v>10000</v>
      </c>
      <c r="B17" t="s">
        <v>1299</v>
      </c>
      <c r="C17">
        <v>17</v>
      </c>
      <c r="D17">
        <v>6260031000026</v>
      </c>
      <c r="E17" t="s">
        <v>546</v>
      </c>
      <c r="F17">
        <v>1</v>
      </c>
      <c r="G17" s="33">
        <v>30</v>
      </c>
      <c r="I17" s="33">
        <v>30</v>
      </c>
      <c r="J17">
        <v>21</v>
      </c>
    </row>
    <row r="18" spans="1:10" x14ac:dyDescent="0.25">
      <c r="A18">
        <v>10000</v>
      </c>
      <c r="B18" t="s">
        <v>1299</v>
      </c>
      <c r="C18">
        <v>18</v>
      </c>
      <c r="D18">
        <v>6263430600620</v>
      </c>
      <c r="E18" t="s">
        <v>925</v>
      </c>
      <c r="F18">
        <v>3</v>
      </c>
      <c r="G18" s="33">
        <v>50</v>
      </c>
      <c r="I18" s="33">
        <v>150</v>
      </c>
      <c r="J18">
        <v>22</v>
      </c>
    </row>
    <row r="19" spans="1:10" x14ac:dyDescent="0.25">
      <c r="A19">
        <v>10000</v>
      </c>
      <c r="B19" t="s">
        <v>1299</v>
      </c>
      <c r="C19">
        <v>19</v>
      </c>
      <c r="D19">
        <v>6261101521038</v>
      </c>
      <c r="E19" t="s">
        <v>544</v>
      </c>
      <c r="F19">
        <v>1</v>
      </c>
      <c r="G19" s="33">
        <v>12</v>
      </c>
      <c r="I19" s="33">
        <v>12</v>
      </c>
      <c r="J19">
        <v>23</v>
      </c>
    </row>
    <row r="20" spans="1:10" x14ac:dyDescent="0.25">
      <c r="A20">
        <v>10000</v>
      </c>
      <c r="B20" t="s">
        <v>1299</v>
      </c>
      <c r="C20">
        <v>20</v>
      </c>
      <c r="D20">
        <v>6260469900110</v>
      </c>
      <c r="E20" t="s">
        <v>1124</v>
      </c>
      <c r="F20">
        <v>1</v>
      </c>
      <c r="G20" s="33">
        <v>7</v>
      </c>
      <c r="I20" s="33">
        <v>7</v>
      </c>
      <c r="J20">
        <v>24</v>
      </c>
    </row>
    <row r="21" spans="1:10" x14ac:dyDescent="0.25">
      <c r="A21">
        <v>10000</v>
      </c>
      <c r="B21" t="s">
        <v>1299</v>
      </c>
      <c r="C21">
        <v>21</v>
      </c>
      <c r="D21">
        <v>6263430600620</v>
      </c>
      <c r="E21" t="s">
        <v>925</v>
      </c>
      <c r="F21">
        <v>12</v>
      </c>
      <c r="G21" s="33">
        <v>50</v>
      </c>
      <c r="I21" s="33">
        <v>600</v>
      </c>
      <c r="J21">
        <v>25</v>
      </c>
    </row>
    <row r="22" spans="1:10" x14ac:dyDescent="0.25">
      <c r="A22">
        <v>10000</v>
      </c>
      <c r="B22" t="s">
        <v>1299</v>
      </c>
      <c r="C22">
        <v>22</v>
      </c>
      <c r="D22">
        <v>6263430600620</v>
      </c>
      <c r="E22" t="s">
        <v>925</v>
      </c>
      <c r="F22">
        <v>3</v>
      </c>
      <c r="G22" s="33">
        <v>50</v>
      </c>
      <c r="I22" s="33">
        <v>150</v>
      </c>
      <c r="J22">
        <v>26</v>
      </c>
    </row>
    <row r="23" spans="1:10" x14ac:dyDescent="0.25">
      <c r="A23">
        <v>10000</v>
      </c>
      <c r="B23" t="s">
        <v>1299</v>
      </c>
      <c r="C23">
        <v>23</v>
      </c>
      <c r="D23">
        <v>6262310800105</v>
      </c>
      <c r="E23" t="s">
        <v>901</v>
      </c>
      <c r="F23">
        <v>5</v>
      </c>
      <c r="G23" s="33">
        <v>30</v>
      </c>
      <c r="I23" s="33">
        <v>150</v>
      </c>
      <c r="J23">
        <v>27</v>
      </c>
    </row>
    <row r="24" spans="1:10" x14ac:dyDescent="0.25">
      <c r="A24">
        <v>10000</v>
      </c>
      <c r="B24" t="s">
        <v>1299</v>
      </c>
      <c r="C24">
        <v>24</v>
      </c>
      <c r="D24">
        <v>6262310800105</v>
      </c>
      <c r="E24" t="s">
        <v>901</v>
      </c>
      <c r="F24">
        <v>4</v>
      </c>
      <c r="G24" s="33">
        <v>30</v>
      </c>
      <c r="I24" s="33">
        <v>120</v>
      </c>
      <c r="J24">
        <v>28</v>
      </c>
    </row>
    <row r="25" spans="1:10" x14ac:dyDescent="0.25">
      <c r="A25">
        <v>10000</v>
      </c>
      <c r="B25" t="s">
        <v>1299</v>
      </c>
      <c r="C25">
        <v>25</v>
      </c>
      <c r="D25">
        <v>6262310800372</v>
      </c>
      <c r="E25" t="s">
        <v>678</v>
      </c>
      <c r="F25">
        <v>8</v>
      </c>
      <c r="G25" s="33">
        <v>20</v>
      </c>
      <c r="I25" s="33">
        <v>160</v>
      </c>
      <c r="J25">
        <v>29</v>
      </c>
    </row>
    <row r="26" spans="1:10" x14ac:dyDescent="0.25">
      <c r="A26">
        <v>10000</v>
      </c>
      <c r="B26" t="s">
        <v>1299</v>
      </c>
      <c r="C26">
        <v>26</v>
      </c>
      <c r="D26">
        <v>6261101140215</v>
      </c>
      <c r="E26" t="s">
        <v>1398</v>
      </c>
      <c r="F26">
        <v>12</v>
      </c>
      <c r="G26" s="33">
        <v>18</v>
      </c>
      <c r="I26" s="33">
        <v>216</v>
      </c>
      <c r="J26">
        <v>30</v>
      </c>
    </row>
    <row r="27" spans="1:10" x14ac:dyDescent="0.25">
      <c r="A27">
        <v>10000</v>
      </c>
      <c r="B27" t="s">
        <v>1299</v>
      </c>
      <c r="C27">
        <v>27</v>
      </c>
      <c r="D27">
        <v>6262310800334</v>
      </c>
      <c r="E27" t="s">
        <v>682</v>
      </c>
      <c r="F27">
        <v>1</v>
      </c>
      <c r="G27" s="33">
        <v>20</v>
      </c>
      <c r="I27" s="33">
        <v>20</v>
      </c>
      <c r="J27">
        <v>31</v>
      </c>
    </row>
    <row r="28" spans="1:10" x14ac:dyDescent="0.25">
      <c r="A28">
        <v>10000</v>
      </c>
      <c r="B28" t="s">
        <v>1299</v>
      </c>
      <c r="C28">
        <v>28</v>
      </c>
      <c r="D28">
        <v>6261101313039</v>
      </c>
      <c r="E28" t="s">
        <v>561</v>
      </c>
      <c r="F28">
        <v>5</v>
      </c>
      <c r="G28" s="33">
        <v>100</v>
      </c>
      <c r="I28" s="33">
        <v>500</v>
      </c>
      <c r="J28">
        <v>32</v>
      </c>
    </row>
    <row r="29" spans="1:10" x14ac:dyDescent="0.25">
      <c r="A29">
        <v>10000</v>
      </c>
      <c r="B29" t="s">
        <v>1299</v>
      </c>
      <c r="C29">
        <v>29</v>
      </c>
      <c r="D29">
        <v>6263936300758</v>
      </c>
      <c r="E29" t="s">
        <v>555</v>
      </c>
      <c r="F29">
        <v>1</v>
      </c>
      <c r="G29" s="33">
        <v>80</v>
      </c>
      <c r="I29" s="33">
        <v>80</v>
      </c>
      <c r="J29">
        <v>33</v>
      </c>
    </row>
    <row r="30" spans="1:10" x14ac:dyDescent="0.25">
      <c r="A30">
        <v>10000</v>
      </c>
      <c r="B30" t="s">
        <v>1299</v>
      </c>
      <c r="C30">
        <v>30</v>
      </c>
      <c r="D30">
        <v>6260151810017</v>
      </c>
      <c r="E30" t="s">
        <v>564</v>
      </c>
      <c r="F30">
        <v>3</v>
      </c>
      <c r="G30" s="33">
        <v>20</v>
      </c>
      <c r="I30" s="33">
        <v>60</v>
      </c>
      <c r="J30">
        <v>34</v>
      </c>
    </row>
    <row r="31" spans="1:10" x14ac:dyDescent="0.25">
      <c r="A31">
        <v>10000</v>
      </c>
      <c r="B31" t="s">
        <v>1299</v>
      </c>
      <c r="C31">
        <v>31</v>
      </c>
      <c r="D31">
        <v>6261005000257</v>
      </c>
      <c r="E31" t="s">
        <v>1088</v>
      </c>
      <c r="F31">
        <v>9</v>
      </c>
      <c r="G31" s="33">
        <v>45</v>
      </c>
      <c r="I31" s="33">
        <v>405</v>
      </c>
      <c r="J31">
        <v>35</v>
      </c>
    </row>
    <row r="32" spans="1:10" x14ac:dyDescent="0.25">
      <c r="A32">
        <v>10000</v>
      </c>
      <c r="B32" t="s">
        <v>1299</v>
      </c>
      <c r="C32">
        <v>32</v>
      </c>
      <c r="D32">
        <v>6260750400497</v>
      </c>
      <c r="E32" t="s">
        <v>927</v>
      </c>
      <c r="F32">
        <v>12</v>
      </c>
      <c r="G32" s="33">
        <v>40</v>
      </c>
      <c r="I32" s="33">
        <v>480</v>
      </c>
      <c r="J32">
        <v>36</v>
      </c>
    </row>
    <row r="33" spans="1:10" x14ac:dyDescent="0.25">
      <c r="A33">
        <v>10000</v>
      </c>
      <c r="B33" t="s">
        <v>1299</v>
      </c>
      <c r="C33">
        <v>33</v>
      </c>
      <c r="D33">
        <v>6260750400510</v>
      </c>
      <c r="E33" t="s">
        <v>936</v>
      </c>
      <c r="F33">
        <v>12</v>
      </c>
      <c r="G33" s="33">
        <v>45</v>
      </c>
      <c r="I33" s="33">
        <v>540</v>
      </c>
      <c r="J33">
        <v>37</v>
      </c>
    </row>
    <row r="34" spans="1:10" x14ac:dyDescent="0.25">
      <c r="A34">
        <v>10000</v>
      </c>
      <c r="B34" t="s">
        <v>1299</v>
      </c>
      <c r="C34">
        <v>34</v>
      </c>
      <c r="D34">
        <v>6265499500101</v>
      </c>
      <c r="E34" t="s">
        <v>929</v>
      </c>
      <c r="F34">
        <v>7</v>
      </c>
      <c r="G34" s="33">
        <v>50</v>
      </c>
      <c r="I34" s="33">
        <v>350</v>
      </c>
      <c r="J34">
        <v>38</v>
      </c>
    </row>
    <row r="35" spans="1:10" x14ac:dyDescent="0.25">
      <c r="A35">
        <v>10000</v>
      </c>
      <c r="B35" t="s">
        <v>1299</v>
      </c>
      <c r="C35">
        <v>35</v>
      </c>
      <c r="D35">
        <v>6260533000067</v>
      </c>
      <c r="E35" t="s">
        <v>1313</v>
      </c>
      <c r="F35">
        <v>14</v>
      </c>
      <c r="G35" s="33">
        <v>45</v>
      </c>
      <c r="I35" s="33">
        <v>630</v>
      </c>
      <c r="J35">
        <v>39</v>
      </c>
    </row>
    <row r="36" spans="1:10" x14ac:dyDescent="0.25">
      <c r="A36">
        <v>10000</v>
      </c>
      <c r="B36" t="s">
        <v>1299</v>
      </c>
      <c r="C36">
        <v>36</v>
      </c>
      <c r="D36">
        <v>160100153410010</v>
      </c>
      <c r="E36" t="s">
        <v>1226</v>
      </c>
      <c r="F36">
        <v>5</v>
      </c>
      <c r="G36" s="33">
        <v>30</v>
      </c>
      <c r="I36" s="33">
        <v>150</v>
      </c>
      <c r="J36">
        <v>40</v>
      </c>
    </row>
    <row r="37" spans="1:10" x14ac:dyDescent="0.25">
      <c r="A37">
        <v>10000</v>
      </c>
      <c r="B37" t="s">
        <v>1299</v>
      </c>
      <c r="C37">
        <v>37</v>
      </c>
      <c r="D37">
        <v>160100153410010</v>
      </c>
      <c r="E37" t="s">
        <v>1226</v>
      </c>
      <c r="F37">
        <v>1</v>
      </c>
      <c r="G37" s="33">
        <v>30</v>
      </c>
      <c r="I37" s="33">
        <v>30</v>
      </c>
      <c r="J37">
        <v>41</v>
      </c>
    </row>
    <row r="38" spans="1:10" x14ac:dyDescent="0.25">
      <c r="A38">
        <v>10000</v>
      </c>
      <c r="B38" t="s">
        <v>1299</v>
      </c>
      <c r="C38">
        <v>38</v>
      </c>
      <c r="D38">
        <v>6268612401767</v>
      </c>
      <c r="E38" t="s">
        <v>643</v>
      </c>
      <c r="F38">
        <v>1</v>
      </c>
      <c r="G38" s="33">
        <v>27</v>
      </c>
      <c r="I38" s="33">
        <v>27</v>
      </c>
      <c r="J38">
        <v>42</v>
      </c>
    </row>
    <row r="39" spans="1:10" x14ac:dyDescent="0.25">
      <c r="A39">
        <v>10000</v>
      </c>
      <c r="B39" t="s">
        <v>1299</v>
      </c>
      <c r="C39">
        <v>39</v>
      </c>
      <c r="D39">
        <v>6261670803870</v>
      </c>
      <c r="E39" t="s">
        <v>905</v>
      </c>
      <c r="F39">
        <v>5</v>
      </c>
      <c r="G39" s="33">
        <v>25</v>
      </c>
      <c r="I39" s="33">
        <v>125</v>
      </c>
      <c r="J39">
        <v>43</v>
      </c>
    </row>
    <row r="40" spans="1:10" x14ac:dyDescent="0.25">
      <c r="A40">
        <v>10000</v>
      </c>
      <c r="B40" t="s">
        <v>1299</v>
      </c>
      <c r="C40">
        <v>40</v>
      </c>
      <c r="D40">
        <v>6261101511152</v>
      </c>
      <c r="E40" t="s">
        <v>434</v>
      </c>
      <c r="F40">
        <v>6</v>
      </c>
      <c r="G40" s="33">
        <v>25</v>
      </c>
      <c r="I40" s="33">
        <v>150</v>
      </c>
      <c r="J40">
        <v>44</v>
      </c>
    </row>
    <row r="41" spans="1:10" x14ac:dyDescent="0.25">
      <c r="A41">
        <v>10000</v>
      </c>
      <c r="B41" t="s">
        <v>1299</v>
      </c>
      <c r="C41">
        <v>41</v>
      </c>
      <c r="D41">
        <v>6261101640340</v>
      </c>
      <c r="E41" t="s">
        <v>903</v>
      </c>
      <c r="F41">
        <v>10</v>
      </c>
      <c r="G41" s="33">
        <v>25</v>
      </c>
      <c r="I41" s="33">
        <v>250</v>
      </c>
      <c r="J41">
        <v>45</v>
      </c>
    </row>
    <row r="42" spans="1:10" x14ac:dyDescent="0.25">
      <c r="A42">
        <v>10000</v>
      </c>
      <c r="B42" t="s">
        <v>1299</v>
      </c>
      <c r="C42">
        <v>42</v>
      </c>
      <c r="D42">
        <v>6260644400497</v>
      </c>
      <c r="E42" t="s">
        <v>1317</v>
      </c>
      <c r="F42">
        <v>3</v>
      </c>
      <c r="G42" s="33">
        <v>10</v>
      </c>
      <c r="I42" s="33">
        <v>30</v>
      </c>
      <c r="J42">
        <v>46</v>
      </c>
    </row>
    <row r="43" spans="1:10" x14ac:dyDescent="0.25">
      <c r="A43">
        <v>10000</v>
      </c>
      <c r="B43" t="s">
        <v>1299</v>
      </c>
      <c r="C43">
        <v>43</v>
      </c>
      <c r="D43">
        <v>6260737001631</v>
      </c>
      <c r="E43" t="s">
        <v>1441</v>
      </c>
      <c r="F43">
        <v>23</v>
      </c>
      <c r="G43" s="33">
        <v>8</v>
      </c>
      <c r="I43" s="33">
        <v>184</v>
      </c>
      <c r="J43">
        <v>47</v>
      </c>
    </row>
    <row r="44" spans="1:10" x14ac:dyDescent="0.25">
      <c r="A44">
        <v>10000</v>
      </c>
      <c r="B44" t="s">
        <v>1299</v>
      </c>
      <c r="C44">
        <v>44</v>
      </c>
      <c r="D44">
        <v>2282110065170120</v>
      </c>
      <c r="E44" t="s">
        <v>874</v>
      </c>
      <c r="F44">
        <v>6</v>
      </c>
      <c r="G44" s="33">
        <v>55</v>
      </c>
      <c r="I44" s="33">
        <v>330</v>
      </c>
      <c r="J44">
        <v>48</v>
      </c>
    </row>
    <row r="45" spans="1:10" x14ac:dyDescent="0.25">
      <c r="A45">
        <v>10000</v>
      </c>
      <c r="B45" t="s">
        <v>1299</v>
      </c>
      <c r="C45">
        <v>45</v>
      </c>
      <c r="D45">
        <v>6260039016517</v>
      </c>
      <c r="E45" t="s">
        <v>873</v>
      </c>
      <c r="F45">
        <v>2</v>
      </c>
      <c r="G45" s="33">
        <v>15</v>
      </c>
      <c r="I45" s="33">
        <v>30</v>
      </c>
      <c r="J45">
        <v>49</v>
      </c>
    </row>
    <row r="46" spans="1:10" x14ac:dyDescent="0.25">
      <c r="A46">
        <v>10000</v>
      </c>
      <c r="B46" t="s">
        <v>1299</v>
      </c>
      <c r="C46">
        <v>46</v>
      </c>
      <c r="D46">
        <v>6260201109535</v>
      </c>
      <c r="E46" t="s">
        <v>882</v>
      </c>
      <c r="F46">
        <v>1</v>
      </c>
      <c r="G46" s="33">
        <v>30</v>
      </c>
      <c r="I46" s="33">
        <v>30</v>
      </c>
      <c r="J46">
        <v>50</v>
      </c>
    </row>
    <row r="47" spans="1:10" x14ac:dyDescent="0.25">
      <c r="A47">
        <v>10000</v>
      </c>
      <c r="B47" t="s">
        <v>1299</v>
      </c>
      <c r="C47">
        <v>47</v>
      </c>
      <c r="D47">
        <v>6260201102239</v>
      </c>
      <c r="E47" t="s">
        <v>883</v>
      </c>
      <c r="F47">
        <v>1</v>
      </c>
      <c r="G47" s="33">
        <v>30</v>
      </c>
      <c r="I47" s="33">
        <v>30</v>
      </c>
      <c r="J47">
        <v>51</v>
      </c>
    </row>
    <row r="48" spans="1:10" x14ac:dyDescent="0.25">
      <c r="A48">
        <v>10000</v>
      </c>
      <c r="B48" t="s">
        <v>1299</v>
      </c>
      <c r="C48">
        <v>48</v>
      </c>
      <c r="D48">
        <v>6260201102239</v>
      </c>
      <c r="E48" t="s">
        <v>883</v>
      </c>
      <c r="F48">
        <v>1</v>
      </c>
      <c r="G48" s="33">
        <v>30</v>
      </c>
      <c r="I48" s="33">
        <v>30</v>
      </c>
      <c r="J48">
        <v>52</v>
      </c>
    </row>
    <row r="49" spans="1:21" x14ac:dyDescent="0.25">
      <c r="A49">
        <v>10000</v>
      </c>
      <c r="B49" t="s">
        <v>1299</v>
      </c>
      <c r="C49">
        <v>49</v>
      </c>
      <c r="D49">
        <v>6260201109320</v>
      </c>
      <c r="E49" t="s">
        <v>880</v>
      </c>
      <c r="F49">
        <v>1</v>
      </c>
      <c r="G49" s="33">
        <v>30</v>
      </c>
      <c r="I49" s="33">
        <v>30</v>
      </c>
      <c r="J49">
        <v>53</v>
      </c>
    </row>
    <row r="50" spans="1:21" x14ac:dyDescent="0.25">
      <c r="A50">
        <v>10000</v>
      </c>
      <c r="B50" t="s">
        <v>1299</v>
      </c>
      <c r="C50">
        <v>50</v>
      </c>
      <c r="D50">
        <v>6260201170054</v>
      </c>
      <c r="E50" t="s">
        <v>884</v>
      </c>
      <c r="F50">
        <v>1</v>
      </c>
      <c r="G50" s="33">
        <v>30</v>
      </c>
      <c r="I50" s="33">
        <v>30</v>
      </c>
      <c r="J50">
        <v>54</v>
      </c>
    </row>
    <row r="51" spans="1:21" x14ac:dyDescent="0.25">
      <c r="A51">
        <v>10000</v>
      </c>
      <c r="B51" t="s">
        <v>1299</v>
      </c>
      <c r="C51">
        <v>51</v>
      </c>
      <c r="D51">
        <v>6260201170054</v>
      </c>
      <c r="E51" t="s">
        <v>884</v>
      </c>
      <c r="F51">
        <v>1</v>
      </c>
      <c r="G51" s="33">
        <v>30</v>
      </c>
      <c r="I51" s="33">
        <v>30</v>
      </c>
      <c r="J51">
        <v>55</v>
      </c>
    </row>
    <row r="52" spans="1:21" x14ac:dyDescent="0.25">
      <c r="A52">
        <v>10000</v>
      </c>
      <c r="B52" t="s">
        <v>1299</v>
      </c>
      <c r="C52">
        <v>52</v>
      </c>
      <c r="D52">
        <v>6260201102239</v>
      </c>
      <c r="E52" t="s">
        <v>883</v>
      </c>
      <c r="F52">
        <v>1</v>
      </c>
      <c r="G52" s="33">
        <v>30</v>
      </c>
      <c r="I52" s="33">
        <v>30</v>
      </c>
      <c r="J52">
        <v>56</v>
      </c>
    </row>
    <row r="53" spans="1:21" x14ac:dyDescent="0.25">
      <c r="A53">
        <v>10000</v>
      </c>
      <c r="B53" t="s">
        <v>1299</v>
      </c>
      <c r="C53">
        <v>53</v>
      </c>
      <c r="D53">
        <v>3500</v>
      </c>
      <c r="E53" t="s">
        <v>1049</v>
      </c>
      <c r="F53">
        <v>5</v>
      </c>
      <c r="G53" s="33">
        <v>40</v>
      </c>
      <c r="I53" s="33">
        <v>200</v>
      </c>
      <c r="J53">
        <v>57</v>
      </c>
    </row>
    <row r="54" spans="1:21" x14ac:dyDescent="0.25">
      <c r="A54">
        <v>10000</v>
      </c>
      <c r="B54" t="s">
        <v>1299</v>
      </c>
      <c r="C54">
        <v>54</v>
      </c>
      <c r="D54">
        <v>7600</v>
      </c>
      <c r="E54" t="s">
        <v>1392</v>
      </c>
      <c r="F54">
        <v>10</v>
      </c>
      <c r="G54" s="33">
        <v>27</v>
      </c>
      <c r="I54" s="33">
        <v>270</v>
      </c>
      <c r="J54">
        <v>58</v>
      </c>
    </row>
    <row r="55" spans="1:21" x14ac:dyDescent="0.25">
      <c r="A55">
        <v>10000</v>
      </c>
      <c r="B55" t="s">
        <v>1299</v>
      </c>
      <c r="C55">
        <v>55</v>
      </c>
      <c r="D55">
        <v>161100268420079</v>
      </c>
      <c r="E55" t="s">
        <v>939</v>
      </c>
      <c r="F55">
        <v>15</v>
      </c>
      <c r="G55" s="33">
        <v>70</v>
      </c>
      <c r="I55" s="33">
        <v>1050</v>
      </c>
      <c r="J55">
        <v>59</v>
      </c>
    </row>
    <row r="56" spans="1:21" x14ac:dyDescent="0.25">
      <c r="A56">
        <v>10000</v>
      </c>
      <c r="B56" t="s">
        <v>1299</v>
      </c>
      <c r="C56">
        <v>56</v>
      </c>
      <c r="D56">
        <v>6262684200778</v>
      </c>
      <c r="E56" t="s">
        <v>939</v>
      </c>
      <c r="F56">
        <v>15</v>
      </c>
      <c r="G56" s="33">
        <v>70</v>
      </c>
      <c r="I56" s="33">
        <v>1050</v>
      </c>
      <c r="J56">
        <v>60</v>
      </c>
    </row>
    <row r="57" spans="1:21" x14ac:dyDescent="0.25">
      <c r="A57">
        <v>10000</v>
      </c>
      <c r="B57" t="s">
        <v>1299</v>
      </c>
      <c r="C57">
        <v>57</v>
      </c>
      <c r="D57">
        <v>6261106001399</v>
      </c>
      <c r="E57" t="s">
        <v>941</v>
      </c>
      <c r="F57">
        <v>6</v>
      </c>
      <c r="G57" s="33">
        <v>80</v>
      </c>
      <c r="I57" s="33">
        <v>480</v>
      </c>
      <c r="J57">
        <v>61</v>
      </c>
    </row>
    <row r="58" spans="1:21" x14ac:dyDescent="0.25">
      <c r="A58">
        <v>10000</v>
      </c>
      <c r="B58" t="s">
        <v>1299</v>
      </c>
      <c r="C58">
        <v>58</v>
      </c>
      <c r="D58">
        <v>6265499500040</v>
      </c>
      <c r="E58" t="s">
        <v>629</v>
      </c>
      <c r="F58">
        <v>2</v>
      </c>
      <c r="G58" s="33">
        <v>80</v>
      </c>
      <c r="I58" s="33">
        <v>160</v>
      </c>
      <c r="J58">
        <v>62</v>
      </c>
      <c r="U58" s="33"/>
    </row>
    <row r="59" spans="1:21" x14ac:dyDescent="0.25">
      <c r="A59">
        <v>10000</v>
      </c>
      <c r="B59" t="s">
        <v>1299</v>
      </c>
      <c r="C59">
        <v>59</v>
      </c>
      <c r="D59">
        <v>6260308300460</v>
      </c>
      <c r="E59" t="s">
        <v>1402</v>
      </c>
      <c r="F59">
        <v>10</v>
      </c>
      <c r="G59" s="33">
        <v>37</v>
      </c>
      <c r="I59" s="33">
        <v>370</v>
      </c>
      <c r="J59">
        <v>63</v>
      </c>
      <c r="U59" s="33"/>
    </row>
    <row r="60" spans="1:21" x14ac:dyDescent="0.25">
      <c r="A60">
        <v>10000</v>
      </c>
      <c r="B60" t="s">
        <v>1299</v>
      </c>
      <c r="C60">
        <v>60</v>
      </c>
      <c r="D60">
        <v>6260308310278</v>
      </c>
      <c r="E60" t="s">
        <v>778</v>
      </c>
      <c r="F60">
        <v>3</v>
      </c>
      <c r="G60" s="33">
        <v>75</v>
      </c>
      <c r="I60" s="33">
        <v>225</v>
      </c>
      <c r="J60">
        <v>64</v>
      </c>
      <c r="U60" s="33"/>
    </row>
    <row r="61" spans="1:21" x14ac:dyDescent="0.25">
      <c r="A61">
        <v>10000</v>
      </c>
      <c r="B61" t="s">
        <v>1299</v>
      </c>
      <c r="C61">
        <v>61</v>
      </c>
      <c r="D61">
        <v>6260217600866</v>
      </c>
      <c r="E61" t="s">
        <v>944</v>
      </c>
      <c r="F61">
        <v>5</v>
      </c>
      <c r="G61" s="33">
        <v>70</v>
      </c>
      <c r="I61" s="33">
        <v>350</v>
      </c>
      <c r="J61">
        <v>65</v>
      </c>
      <c r="U61" s="33"/>
    </row>
    <row r="62" spans="1:21" x14ac:dyDescent="0.25">
      <c r="A62">
        <v>10000</v>
      </c>
      <c r="B62" t="s">
        <v>1299</v>
      </c>
      <c r="C62">
        <v>62</v>
      </c>
      <c r="D62">
        <v>6500</v>
      </c>
      <c r="E62" t="s">
        <v>648</v>
      </c>
      <c r="F62">
        <v>6</v>
      </c>
      <c r="G62">
        <v>20</v>
      </c>
      <c r="I62">
        <v>120</v>
      </c>
      <c r="J62">
        <v>66</v>
      </c>
    </row>
    <row r="63" spans="1:21" x14ac:dyDescent="0.25">
      <c r="A63">
        <v>10000</v>
      </c>
      <c r="B63" t="s">
        <v>1299</v>
      </c>
      <c r="C63">
        <v>63</v>
      </c>
      <c r="D63">
        <v>6260308304444</v>
      </c>
      <c r="E63" t="s">
        <v>1062</v>
      </c>
      <c r="F63">
        <v>3</v>
      </c>
      <c r="G63">
        <v>35</v>
      </c>
      <c r="I63">
        <v>105</v>
      </c>
      <c r="J63">
        <v>67</v>
      </c>
    </row>
    <row r="64" spans="1:21" x14ac:dyDescent="0.25">
      <c r="A64">
        <v>10000</v>
      </c>
      <c r="B64" t="s">
        <v>1299</v>
      </c>
      <c r="C64">
        <v>64</v>
      </c>
      <c r="D64">
        <v>6260166910238</v>
      </c>
      <c r="E64" t="s">
        <v>195</v>
      </c>
      <c r="F64">
        <v>4</v>
      </c>
      <c r="G64">
        <v>10</v>
      </c>
      <c r="I64">
        <v>40</v>
      </c>
      <c r="J64">
        <v>68</v>
      </c>
    </row>
    <row r="65" spans="1:10" x14ac:dyDescent="0.25">
      <c r="A65">
        <v>10000</v>
      </c>
      <c r="B65" t="s">
        <v>1299</v>
      </c>
      <c r="C65">
        <v>65</v>
      </c>
      <c r="D65">
        <v>160310066200020</v>
      </c>
      <c r="E65" t="s">
        <v>1325</v>
      </c>
      <c r="F65">
        <v>22</v>
      </c>
      <c r="G65">
        <v>10</v>
      </c>
      <c r="I65">
        <v>220</v>
      </c>
      <c r="J65">
        <v>69</v>
      </c>
    </row>
    <row r="66" spans="1:10" x14ac:dyDescent="0.25">
      <c r="A66">
        <v>10000</v>
      </c>
      <c r="B66" t="s">
        <v>1299</v>
      </c>
      <c r="C66">
        <v>66</v>
      </c>
      <c r="D66">
        <v>6260166910269</v>
      </c>
      <c r="E66" t="s">
        <v>192</v>
      </c>
      <c r="F66">
        <v>22</v>
      </c>
      <c r="G66">
        <v>10</v>
      </c>
      <c r="I66">
        <v>220</v>
      </c>
      <c r="J66">
        <v>70</v>
      </c>
    </row>
    <row r="67" spans="1:10" x14ac:dyDescent="0.25">
      <c r="A67">
        <v>10000</v>
      </c>
      <c r="B67" t="s">
        <v>1299</v>
      </c>
      <c r="C67">
        <v>67</v>
      </c>
      <c r="D67">
        <v>6260166910306</v>
      </c>
      <c r="E67" t="s">
        <v>1324</v>
      </c>
      <c r="F67">
        <v>10</v>
      </c>
      <c r="G67">
        <v>10</v>
      </c>
      <c r="I67">
        <v>100</v>
      </c>
      <c r="J67">
        <v>71</v>
      </c>
    </row>
    <row r="68" spans="1:10" x14ac:dyDescent="0.25">
      <c r="A68">
        <v>10000</v>
      </c>
      <c r="B68" t="s">
        <v>1299</v>
      </c>
      <c r="C68">
        <v>68</v>
      </c>
      <c r="D68">
        <v>6260800900588</v>
      </c>
      <c r="E68" t="s">
        <v>915</v>
      </c>
      <c r="F68">
        <v>2</v>
      </c>
      <c r="G68">
        <v>35</v>
      </c>
      <c r="I68">
        <v>70</v>
      </c>
      <c r="J68">
        <v>72</v>
      </c>
    </row>
    <row r="69" spans="1:10" x14ac:dyDescent="0.25">
      <c r="A69">
        <v>10000</v>
      </c>
      <c r="B69" t="s">
        <v>1299</v>
      </c>
      <c r="C69">
        <v>69</v>
      </c>
      <c r="D69">
        <v>6260800900618</v>
      </c>
      <c r="E69" t="s">
        <v>916</v>
      </c>
      <c r="F69">
        <v>2</v>
      </c>
      <c r="G69">
        <v>35</v>
      </c>
      <c r="I69">
        <v>70</v>
      </c>
      <c r="J69">
        <v>73</v>
      </c>
    </row>
    <row r="70" spans="1:10" x14ac:dyDescent="0.25">
      <c r="A70">
        <v>10000</v>
      </c>
      <c r="B70" t="s">
        <v>1299</v>
      </c>
      <c r="C70">
        <v>70</v>
      </c>
      <c r="D70">
        <v>6263118300088</v>
      </c>
      <c r="E70" t="s">
        <v>186</v>
      </c>
      <c r="F70">
        <v>18</v>
      </c>
      <c r="G70">
        <v>30</v>
      </c>
      <c r="I70">
        <v>540</v>
      </c>
      <c r="J70">
        <v>74</v>
      </c>
    </row>
    <row r="71" spans="1:10" x14ac:dyDescent="0.25">
      <c r="A71">
        <v>10000</v>
      </c>
      <c r="B71" t="s">
        <v>1299</v>
      </c>
      <c r="C71">
        <v>71</v>
      </c>
      <c r="D71">
        <v>2112265425554</v>
      </c>
      <c r="E71" t="s">
        <v>1005</v>
      </c>
      <c r="F71">
        <v>24</v>
      </c>
      <c r="G71">
        <v>35</v>
      </c>
      <c r="I71">
        <v>840</v>
      </c>
      <c r="J71">
        <v>75</v>
      </c>
    </row>
    <row r="72" spans="1:10" x14ac:dyDescent="0.25">
      <c r="A72">
        <v>10000</v>
      </c>
      <c r="B72" t="s">
        <v>1299</v>
      </c>
      <c r="C72">
        <v>72</v>
      </c>
      <c r="D72">
        <v>6260026101066</v>
      </c>
      <c r="E72" t="s">
        <v>960</v>
      </c>
      <c r="F72">
        <v>6</v>
      </c>
      <c r="G72">
        <v>180</v>
      </c>
      <c r="I72">
        <v>1080</v>
      </c>
      <c r="J72">
        <v>76</v>
      </c>
    </row>
    <row r="73" spans="1:10" x14ac:dyDescent="0.25">
      <c r="A73">
        <v>10000</v>
      </c>
      <c r="B73" t="s">
        <v>1299</v>
      </c>
      <c r="C73">
        <v>73</v>
      </c>
      <c r="D73">
        <v>6261149098806</v>
      </c>
      <c r="E73" t="s">
        <v>1414</v>
      </c>
      <c r="F73">
        <v>3</v>
      </c>
      <c r="G73">
        <v>37</v>
      </c>
      <c r="I73">
        <v>111</v>
      </c>
      <c r="J73">
        <v>77</v>
      </c>
    </row>
    <row r="74" spans="1:10" x14ac:dyDescent="0.25">
      <c r="A74">
        <v>10000</v>
      </c>
      <c r="B74" t="s">
        <v>1299</v>
      </c>
      <c r="C74">
        <v>74</v>
      </c>
      <c r="D74">
        <v>6261422503157</v>
      </c>
      <c r="E74" t="s">
        <v>956</v>
      </c>
      <c r="F74">
        <v>9</v>
      </c>
      <c r="G74">
        <v>30</v>
      </c>
      <c r="I74">
        <v>270</v>
      </c>
      <c r="J74">
        <v>78</v>
      </c>
    </row>
    <row r="75" spans="1:10" x14ac:dyDescent="0.25">
      <c r="A75">
        <v>10000</v>
      </c>
      <c r="B75" t="s">
        <v>1299</v>
      </c>
      <c r="C75">
        <v>75</v>
      </c>
      <c r="D75">
        <v>6261422503782</v>
      </c>
      <c r="E75" t="s">
        <v>491</v>
      </c>
      <c r="F75">
        <v>13</v>
      </c>
      <c r="G75">
        <v>30</v>
      </c>
      <c r="I75">
        <v>390</v>
      </c>
      <c r="J75">
        <v>79</v>
      </c>
    </row>
    <row r="76" spans="1:10" x14ac:dyDescent="0.25">
      <c r="A76">
        <v>10000</v>
      </c>
      <c r="B76" t="s">
        <v>1299</v>
      </c>
      <c r="C76">
        <v>76</v>
      </c>
      <c r="D76">
        <v>6261422503423</v>
      </c>
      <c r="E76" t="s">
        <v>487</v>
      </c>
      <c r="F76">
        <v>17</v>
      </c>
      <c r="G76">
        <v>30</v>
      </c>
      <c r="I76">
        <v>510</v>
      </c>
      <c r="J76">
        <v>80</v>
      </c>
    </row>
    <row r="77" spans="1:10" x14ac:dyDescent="0.25">
      <c r="A77">
        <v>10000</v>
      </c>
      <c r="B77" t="s">
        <v>1299</v>
      </c>
      <c r="C77">
        <v>77</v>
      </c>
      <c r="D77">
        <v>6261422504543</v>
      </c>
      <c r="E77" t="s">
        <v>1410</v>
      </c>
      <c r="F77">
        <v>23</v>
      </c>
      <c r="G77">
        <v>23</v>
      </c>
      <c r="I77">
        <v>529</v>
      </c>
      <c r="J77">
        <v>81</v>
      </c>
    </row>
    <row r="78" spans="1:10" x14ac:dyDescent="0.25">
      <c r="A78">
        <v>10000</v>
      </c>
      <c r="B78" t="s">
        <v>1299</v>
      </c>
      <c r="C78">
        <v>78</v>
      </c>
      <c r="D78">
        <v>6260079201225</v>
      </c>
      <c r="E78" t="s">
        <v>952</v>
      </c>
      <c r="F78">
        <v>1</v>
      </c>
      <c r="G78">
        <v>25</v>
      </c>
      <c r="I78">
        <v>25</v>
      </c>
      <c r="J78">
        <v>82</v>
      </c>
    </row>
    <row r="79" spans="1:10" x14ac:dyDescent="0.25">
      <c r="A79">
        <v>10000</v>
      </c>
      <c r="B79" t="s">
        <v>1299</v>
      </c>
      <c r="C79">
        <v>79</v>
      </c>
      <c r="D79">
        <v>6260079201225</v>
      </c>
      <c r="E79" t="s">
        <v>952</v>
      </c>
      <c r="F79">
        <v>1</v>
      </c>
      <c r="G79">
        <v>25</v>
      </c>
      <c r="I79">
        <v>25</v>
      </c>
      <c r="J79">
        <v>83</v>
      </c>
    </row>
    <row r="80" spans="1:10" x14ac:dyDescent="0.25">
      <c r="A80">
        <v>10000</v>
      </c>
      <c r="B80" t="s">
        <v>1299</v>
      </c>
      <c r="C80">
        <v>80</v>
      </c>
      <c r="D80">
        <v>6261422504543</v>
      </c>
      <c r="E80" t="s">
        <v>1410</v>
      </c>
      <c r="F80">
        <v>23</v>
      </c>
      <c r="G80">
        <v>23</v>
      </c>
      <c r="I80">
        <v>529</v>
      </c>
      <c r="J80">
        <v>84</v>
      </c>
    </row>
    <row r="81" spans="1:10" x14ac:dyDescent="0.25">
      <c r="A81">
        <v>10000</v>
      </c>
      <c r="B81" t="s">
        <v>1299</v>
      </c>
      <c r="C81">
        <v>81</v>
      </c>
      <c r="D81">
        <v>6263415901599</v>
      </c>
      <c r="E81" t="s">
        <v>893</v>
      </c>
      <c r="F81">
        <v>7</v>
      </c>
      <c r="G81">
        <v>25</v>
      </c>
      <c r="I81">
        <v>175</v>
      </c>
      <c r="J81">
        <v>85</v>
      </c>
    </row>
    <row r="82" spans="1:10" x14ac:dyDescent="0.25">
      <c r="A82">
        <v>10000</v>
      </c>
      <c r="B82" t="s">
        <v>1299</v>
      </c>
      <c r="C82">
        <v>82</v>
      </c>
      <c r="D82">
        <v>6260002931380</v>
      </c>
      <c r="E82" t="s">
        <v>399</v>
      </c>
      <c r="F82">
        <v>8</v>
      </c>
      <c r="G82">
        <v>13.5</v>
      </c>
      <c r="I82">
        <v>108</v>
      </c>
      <c r="J82">
        <v>86</v>
      </c>
    </row>
    <row r="83" spans="1:10" x14ac:dyDescent="0.25">
      <c r="A83">
        <v>10000</v>
      </c>
      <c r="B83" t="s">
        <v>1299</v>
      </c>
      <c r="C83">
        <v>83</v>
      </c>
      <c r="D83">
        <v>6260575902824</v>
      </c>
      <c r="E83" t="s">
        <v>397</v>
      </c>
      <c r="F83">
        <v>1</v>
      </c>
      <c r="G83">
        <v>20</v>
      </c>
      <c r="I83">
        <v>20</v>
      </c>
      <c r="J83">
        <v>87</v>
      </c>
    </row>
    <row r="84" spans="1:10" x14ac:dyDescent="0.25">
      <c r="A84">
        <v>10000</v>
      </c>
      <c r="B84" t="s">
        <v>1299</v>
      </c>
      <c r="C84">
        <v>84</v>
      </c>
      <c r="D84">
        <v>6260532822097</v>
      </c>
      <c r="E84" t="s">
        <v>184</v>
      </c>
      <c r="F84">
        <v>19</v>
      </c>
      <c r="G84">
        <v>32</v>
      </c>
      <c r="I84">
        <v>608</v>
      </c>
      <c r="J84">
        <v>88</v>
      </c>
    </row>
    <row r="85" spans="1:10" x14ac:dyDescent="0.25">
      <c r="A85">
        <v>10000</v>
      </c>
      <c r="B85" t="s">
        <v>1299</v>
      </c>
      <c r="C85">
        <v>85</v>
      </c>
      <c r="D85">
        <v>167220341590011</v>
      </c>
      <c r="E85" t="s">
        <v>893</v>
      </c>
      <c r="F85">
        <v>7</v>
      </c>
      <c r="G85">
        <v>25</v>
      </c>
      <c r="I85">
        <v>175</v>
      </c>
      <c r="J85">
        <v>89</v>
      </c>
    </row>
    <row r="86" spans="1:10" x14ac:dyDescent="0.25">
      <c r="A86">
        <v>10000</v>
      </c>
      <c r="B86" t="s">
        <v>1299</v>
      </c>
      <c r="C86">
        <v>86</v>
      </c>
      <c r="D86">
        <v>6261149190210</v>
      </c>
      <c r="E86" t="s">
        <v>1309</v>
      </c>
      <c r="F86">
        <v>20</v>
      </c>
      <c r="G86">
        <v>24</v>
      </c>
      <c r="I86">
        <v>480</v>
      </c>
      <c r="J86">
        <v>90</v>
      </c>
    </row>
    <row r="87" spans="1:10" x14ac:dyDescent="0.25">
      <c r="A87">
        <v>10000</v>
      </c>
      <c r="B87" t="s">
        <v>1299</v>
      </c>
      <c r="C87">
        <v>87</v>
      </c>
      <c r="D87">
        <v>6263057301481</v>
      </c>
      <c r="E87" t="s">
        <v>950</v>
      </c>
      <c r="F87">
        <v>3</v>
      </c>
      <c r="G87">
        <v>50</v>
      </c>
      <c r="I87">
        <v>150</v>
      </c>
      <c r="J87">
        <v>91</v>
      </c>
    </row>
    <row r="88" spans="1:10" x14ac:dyDescent="0.25">
      <c r="A88">
        <v>10000</v>
      </c>
      <c r="B88" t="s">
        <v>1299</v>
      </c>
      <c r="C88">
        <v>88</v>
      </c>
      <c r="D88">
        <v>6260007406463</v>
      </c>
      <c r="E88" t="s">
        <v>912</v>
      </c>
      <c r="F88">
        <v>22</v>
      </c>
      <c r="G88">
        <v>17</v>
      </c>
      <c r="I88">
        <v>374</v>
      </c>
      <c r="J88">
        <v>92</v>
      </c>
    </row>
    <row r="89" spans="1:10" x14ac:dyDescent="0.25">
      <c r="A89">
        <v>10000</v>
      </c>
      <c r="B89" t="s">
        <v>1299</v>
      </c>
      <c r="C89">
        <v>89</v>
      </c>
      <c r="D89">
        <v>6260007406487</v>
      </c>
      <c r="E89" t="s">
        <v>910</v>
      </c>
      <c r="F89">
        <v>5</v>
      </c>
      <c r="G89">
        <v>17</v>
      </c>
      <c r="I89">
        <v>85</v>
      </c>
      <c r="J89">
        <v>93</v>
      </c>
    </row>
    <row r="90" spans="1:10" x14ac:dyDescent="0.25">
      <c r="A90">
        <v>10000</v>
      </c>
      <c r="B90" t="s">
        <v>1299</v>
      </c>
      <c r="C90">
        <v>90</v>
      </c>
      <c r="D90">
        <v>2162410261960060</v>
      </c>
      <c r="E90" t="s">
        <v>1003</v>
      </c>
      <c r="F90">
        <v>8</v>
      </c>
      <c r="G90">
        <v>25</v>
      </c>
      <c r="I90">
        <v>200</v>
      </c>
      <c r="J90">
        <v>94</v>
      </c>
    </row>
    <row r="91" spans="1:10" x14ac:dyDescent="0.25">
      <c r="A91">
        <v>10000</v>
      </c>
      <c r="B91" t="s">
        <v>1299</v>
      </c>
      <c r="C91">
        <v>91</v>
      </c>
      <c r="D91">
        <v>6262619600727</v>
      </c>
      <c r="E91" t="s">
        <v>1003</v>
      </c>
      <c r="F91">
        <v>8</v>
      </c>
      <c r="G91">
        <v>25</v>
      </c>
      <c r="I91">
        <v>200</v>
      </c>
      <c r="J91">
        <v>95</v>
      </c>
    </row>
    <row r="92" spans="1:10" x14ac:dyDescent="0.25">
      <c r="A92">
        <v>10000</v>
      </c>
      <c r="B92" t="s">
        <v>1299</v>
      </c>
      <c r="C92">
        <v>92</v>
      </c>
      <c r="D92">
        <v>6261156800027</v>
      </c>
      <c r="E92" t="s">
        <v>462</v>
      </c>
      <c r="F92">
        <v>5</v>
      </c>
      <c r="G92">
        <v>35</v>
      </c>
      <c r="I92">
        <v>175</v>
      </c>
      <c r="J92">
        <v>96</v>
      </c>
    </row>
    <row r="93" spans="1:10" x14ac:dyDescent="0.25">
      <c r="A93">
        <v>10000</v>
      </c>
      <c r="B93" t="s">
        <v>1299</v>
      </c>
      <c r="C93">
        <v>93</v>
      </c>
      <c r="D93">
        <v>2162410115680000</v>
      </c>
      <c r="E93" t="s">
        <v>462</v>
      </c>
      <c r="F93">
        <v>5</v>
      </c>
      <c r="G93">
        <v>15</v>
      </c>
      <c r="I93">
        <v>75</v>
      </c>
      <c r="J93">
        <v>97</v>
      </c>
    </row>
    <row r="94" spans="1:10" x14ac:dyDescent="0.25">
      <c r="A94">
        <v>10000</v>
      </c>
      <c r="B94" t="s">
        <v>1299</v>
      </c>
      <c r="C94">
        <v>94</v>
      </c>
      <c r="D94">
        <v>2162410115680000</v>
      </c>
      <c r="E94" t="s">
        <v>1445</v>
      </c>
      <c r="F94">
        <v>7</v>
      </c>
      <c r="G94">
        <v>15</v>
      </c>
      <c r="I94">
        <v>105</v>
      </c>
      <c r="J94">
        <v>98</v>
      </c>
    </row>
    <row r="95" spans="1:10" x14ac:dyDescent="0.25">
      <c r="A95">
        <v>10000</v>
      </c>
      <c r="B95" t="s">
        <v>1299</v>
      </c>
      <c r="C95">
        <v>95</v>
      </c>
      <c r="D95">
        <v>6261156800089</v>
      </c>
      <c r="E95" t="s">
        <v>1445</v>
      </c>
      <c r="F95">
        <v>7</v>
      </c>
      <c r="G95">
        <v>15</v>
      </c>
      <c r="I95">
        <v>105</v>
      </c>
      <c r="J95">
        <v>99</v>
      </c>
    </row>
    <row r="96" spans="1:10" x14ac:dyDescent="0.25">
      <c r="A96">
        <v>10000</v>
      </c>
      <c r="B96" t="s">
        <v>1299</v>
      </c>
      <c r="C96">
        <v>96</v>
      </c>
      <c r="D96">
        <v>6260191700767</v>
      </c>
      <c r="E96" t="s">
        <v>996</v>
      </c>
      <c r="F96">
        <v>38</v>
      </c>
      <c r="G96">
        <v>15</v>
      </c>
      <c r="I96">
        <v>570</v>
      </c>
      <c r="J96">
        <v>100</v>
      </c>
    </row>
    <row r="97" spans="1:10" x14ac:dyDescent="0.25">
      <c r="A97">
        <v>10000</v>
      </c>
      <c r="B97" t="s">
        <v>1299</v>
      </c>
      <c r="C97">
        <v>97</v>
      </c>
      <c r="D97">
        <v>2162250019170010</v>
      </c>
      <c r="E97" t="s">
        <v>996</v>
      </c>
      <c r="F97">
        <v>38</v>
      </c>
      <c r="G97">
        <v>15</v>
      </c>
      <c r="I97">
        <v>570</v>
      </c>
      <c r="J97">
        <v>101</v>
      </c>
    </row>
    <row r="98" spans="1:10" x14ac:dyDescent="0.25">
      <c r="A98">
        <v>10000</v>
      </c>
      <c r="B98" t="s">
        <v>1299</v>
      </c>
      <c r="C98">
        <v>98</v>
      </c>
      <c r="D98">
        <v>6263957100184</v>
      </c>
      <c r="E98" t="s">
        <v>999</v>
      </c>
      <c r="F98">
        <v>30</v>
      </c>
      <c r="G98">
        <v>35</v>
      </c>
      <c r="I98">
        <v>1050</v>
      </c>
      <c r="J98">
        <v>102</v>
      </c>
    </row>
    <row r="99" spans="1:10" x14ac:dyDescent="0.25">
      <c r="A99">
        <v>10000</v>
      </c>
      <c r="B99" t="s">
        <v>1299</v>
      </c>
      <c r="C99">
        <v>99</v>
      </c>
      <c r="D99">
        <v>2162250395710000</v>
      </c>
      <c r="E99" t="s">
        <v>999</v>
      </c>
      <c r="F99">
        <v>30</v>
      </c>
      <c r="G99">
        <v>35</v>
      </c>
      <c r="I99">
        <v>1050</v>
      </c>
      <c r="J99">
        <v>103</v>
      </c>
    </row>
    <row r="100" spans="1:10" x14ac:dyDescent="0.25">
      <c r="A100">
        <v>10000</v>
      </c>
      <c r="B100" t="s">
        <v>1299</v>
      </c>
      <c r="C100">
        <v>100</v>
      </c>
      <c r="D100">
        <v>2162250019170010</v>
      </c>
      <c r="E100" t="s">
        <v>996</v>
      </c>
      <c r="F100">
        <v>2</v>
      </c>
      <c r="G100">
        <v>15</v>
      </c>
      <c r="I100">
        <v>30</v>
      </c>
      <c r="J100">
        <v>104</v>
      </c>
    </row>
    <row r="101" spans="1:10" x14ac:dyDescent="0.25">
      <c r="A101">
        <v>10000</v>
      </c>
      <c r="B101" t="s">
        <v>1299</v>
      </c>
      <c r="C101">
        <v>101</v>
      </c>
      <c r="D101">
        <v>6260191700767</v>
      </c>
      <c r="E101" t="s">
        <v>996</v>
      </c>
      <c r="F101">
        <v>2</v>
      </c>
      <c r="G101">
        <v>15</v>
      </c>
      <c r="I101">
        <v>30</v>
      </c>
      <c r="J101">
        <v>105</v>
      </c>
    </row>
    <row r="102" spans="1:10" x14ac:dyDescent="0.25">
      <c r="A102">
        <v>10000</v>
      </c>
      <c r="B102" t="s">
        <v>1299</v>
      </c>
      <c r="C102">
        <v>102</v>
      </c>
      <c r="D102">
        <v>6260142610053</v>
      </c>
      <c r="E102" t="s">
        <v>1191</v>
      </c>
      <c r="F102">
        <v>3</v>
      </c>
      <c r="G102">
        <v>50</v>
      </c>
      <c r="I102">
        <v>150</v>
      </c>
      <c r="J102">
        <v>106</v>
      </c>
    </row>
    <row r="103" spans="1:10" x14ac:dyDescent="0.25">
      <c r="A103">
        <v>10000</v>
      </c>
      <c r="B103" t="s">
        <v>1299</v>
      </c>
      <c r="C103">
        <v>103</v>
      </c>
      <c r="D103">
        <v>6260142650523</v>
      </c>
      <c r="E103" t="s">
        <v>993</v>
      </c>
      <c r="F103">
        <v>1</v>
      </c>
      <c r="G103">
        <v>50</v>
      </c>
      <c r="I103">
        <v>50</v>
      </c>
      <c r="J103">
        <v>107</v>
      </c>
    </row>
    <row r="104" spans="1:10" x14ac:dyDescent="0.25">
      <c r="A104">
        <v>10000</v>
      </c>
      <c r="B104" t="s">
        <v>1299</v>
      </c>
      <c r="C104">
        <v>104</v>
      </c>
      <c r="D104">
        <v>6260108300165</v>
      </c>
      <c r="E104" t="s">
        <v>965</v>
      </c>
      <c r="F104">
        <v>1</v>
      </c>
      <c r="G104">
        <v>350</v>
      </c>
      <c r="I104">
        <v>350</v>
      </c>
      <c r="J104">
        <v>108</v>
      </c>
    </row>
    <row r="105" spans="1:10" x14ac:dyDescent="0.25">
      <c r="A105">
        <v>10000</v>
      </c>
      <c r="B105" t="s">
        <v>1299</v>
      </c>
      <c r="C105">
        <v>105</v>
      </c>
      <c r="D105">
        <v>6260100509023</v>
      </c>
      <c r="E105" t="s">
        <v>972</v>
      </c>
      <c r="F105">
        <v>4</v>
      </c>
      <c r="G105">
        <v>350</v>
      </c>
      <c r="I105">
        <v>1400</v>
      </c>
      <c r="J105">
        <v>109</v>
      </c>
    </row>
    <row r="106" spans="1:10" x14ac:dyDescent="0.25">
      <c r="A106">
        <v>10000</v>
      </c>
      <c r="B106" t="s">
        <v>1299</v>
      </c>
      <c r="C106">
        <v>106</v>
      </c>
      <c r="D106">
        <v>6260152300579</v>
      </c>
      <c r="E106" t="s">
        <v>1329</v>
      </c>
      <c r="F106">
        <v>6</v>
      </c>
      <c r="G106">
        <v>130</v>
      </c>
      <c r="I106">
        <v>780</v>
      </c>
      <c r="J106">
        <v>110</v>
      </c>
    </row>
    <row r="107" spans="1:10" x14ac:dyDescent="0.25">
      <c r="A107">
        <v>10000</v>
      </c>
      <c r="B107" t="s">
        <v>1299</v>
      </c>
      <c r="C107">
        <v>107</v>
      </c>
      <c r="D107">
        <v>6260108300325</v>
      </c>
      <c r="E107" t="s">
        <v>969</v>
      </c>
      <c r="F107">
        <v>5</v>
      </c>
      <c r="G107">
        <v>130</v>
      </c>
      <c r="I107">
        <v>650</v>
      </c>
      <c r="J107">
        <v>111</v>
      </c>
    </row>
    <row r="108" spans="1:10" x14ac:dyDescent="0.25">
      <c r="A108">
        <v>10000</v>
      </c>
      <c r="B108" t="s">
        <v>1299</v>
      </c>
      <c r="C108">
        <v>108</v>
      </c>
      <c r="D108">
        <v>6260152300586</v>
      </c>
      <c r="E108" t="s">
        <v>974</v>
      </c>
      <c r="F108">
        <v>2</v>
      </c>
      <c r="G108">
        <v>130</v>
      </c>
      <c r="I108">
        <v>260</v>
      </c>
      <c r="J108">
        <v>112</v>
      </c>
    </row>
    <row r="109" spans="1:10" x14ac:dyDescent="0.25">
      <c r="A109">
        <v>10000</v>
      </c>
      <c r="B109" t="s">
        <v>1299</v>
      </c>
      <c r="C109">
        <v>109</v>
      </c>
      <c r="D109">
        <v>6260108300271</v>
      </c>
      <c r="E109" t="s">
        <v>969</v>
      </c>
      <c r="F109">
        <v>2</v>
      </c>
      <c r="G109">
        <v>130</v>
      </c>
      <c r="I109">
        <v>260</v>
      </c>
      <c r="J109">
        <v>113</v>
      </c>
    </row>
    <row r="110" spans="1:10" x14ac:dyDescent="0.25">
      <c r="A110">
        <v>10000</v>
      </c>
      <c r="B110" t="s">
        <v>1299</v>
      </c>
      <c r="C110">
        <v>110</v>
      </c>
      <c r="D110">
        <v>6262144200119</v>
      </c>
      <c r="E110" t="s">
        <v>980</v>
      </c>
      <c r="F110">
        <v>1</v>
      </c>
      <c r="G110">
        <v>70</v>
      </c>
      <c r="I110">
        <v>70</v>
      </c>
      <c r="J110">
        <v>114</v>
      </c>
    </row>
    <row r="111" spans="1:10" x14ac:dyDescent="0.25">
      <c r="A111">
        <v>10000</v>
      </c>
      <c r="B111" t="s">
        <v>1299</v>
      </c>
      <c r="C111">
        <v>111</v>
      </c>
      <c r="D111">
        <v>164200214420011</v>
      </c>
      <c r="E111" t="s">
        <v>980</v>
      </c>
      <c r="F111">
        <v>1</v>
      </c>
      <c r="G111">
        <v>70</v>
      </c>
      <c r="I111">
        <v>70</v>
      </c>
      <c r="J111">
        <v>115</v>
      </c>
    </row>
    <row r="112" spans="1:10" x14ac:dyDescent="0.25">
      <c r="A112">
        <v>10000</v>
      </c>
      <c r="B112" t="s">
        <v>1299</v>
      </c>
      <c r="C112">
        <v>112</v>
      </c>
      <c r="D112">
        <v>6260000897275</v>
      </c>
      <c r="E112" t="s">
        <v>1408</v>
      </c>
      <c r="F112">
        <v>11</v>
      </c>
      <c r="G112">
        <v>60</v>
      </c>
      <c r="I112">
        <v>660</v>
      </c>
      <c r="J112">
        <v>116</v>
      </c>
    </row>
    <row r="113" spans="1:10" x14ac:dyDescent="0.25">
      <c r="A113">
        <v>10000</v>
      </c>
      <c r="B113" t="s">
        <v>1299</v>
      </c>
      <c r="C113">
        <v>113</v>
      </c>
      <c r="D113">
        <v>6261580000017</v>
      </c>
      <c r="E113" t="s">
        <v>1229</v>
      </c>
      <c r="F113">
        <v>22</v>
      </c>
      <c r="G113">
        <v>10</v>
      </c>
      <c r="I113">
        <v>220</v>
      </c>
      <c r="J113">
        <v>117</v>
      </c>
    </row>
    <row r="114" spans="1:10" x14ac:dyDescent="0.25">
      <c r="A114">
        <v>10000</v>
      </c>
      <c r="B114" t="s">
        <v>1299</v>
      </c>
      <c r="C114">
        <v>114</v>
      </c>
      <c r="D114">
        <v>2162314158000000</v>
      </c>
      <c r="E114" t="s">
        <v>1229</v>
      </c>
      <c r="F114">
        <v>22</v>
      </c>
      <c r="G114">
        <v>10</v>
      </c>
      <c r="I114">
        <v>220</v>
      </c>
      <c r="J114">
        <v>118</v>
      </c>
    </row>
    <row r="115" spans="1:10" x14ac:dyDescent="0.25">
      <c r="A115">
        <v>10000</v>
      </c>
      <c r="B115" t="s">
        <v>1299</v>
      </c>
      <c r="C115">
        <v>115</v>
      </c>
      <c r="D115">
        <v>6261580000031</v>
      </c>
      <c r="E115" t="s">
        <v>349</v>
      </c>
      <c r="F115">
        <v>20</v>
      </c>
      <c r="G115">
        <v>5</v>
      </c>
      <c r="I115">
        <v>100</v>
      </c>
      <c r="J115">
        <v>119</v>
      </c>
    </row>
    <row r="116" spans="1:10" x14ac:dyDescent="0.25">
      <c r="A116">
        <v>10000</v>
      </c>
      <c r="B116" t="s">
        <v>1299</v>
      </c>
      <c r="C116">
        <v>116</v>
      </c>
      <c r="D116">
        <v>2162314158000000</v>
      </c>
      <c r="E116" t="s">
        <v>895</v>
      </c>
      <c r="F116">
        <v>20</v>
      </c>
      <c r="G116">
        <v>5</v>
      </c>
      <c r="I116">
        <v>100</v>
      </c>
      <c r="J116">
        <v>120</v>
      </c>
    </row>
    <row r="117" spans="1:10" x14ac:dyDescent="0.25">
      <c r="A117">
        <v>10000</v>
      </c>
      <c r="B117" t="s">
        <v>1299</v>
      </c>
      <c r="C117">
        <v>117</v>
      </c>
      <c r="D117">
        <v>160290222820002</v>
      </c>
      <c r="E117" t="s">
        <v>1400</v>
      </c>
      <c r="F117">
        <v>20</v>
      </c>
      <c r="G117">
        <v>7</v>
      </c>
      <c r="I117">
        <v>140</v>
      </c>
      <c r="J117">
        <v>121</v>
      </c>
    </row>
    <row r="118" spans="1:10" x14ac:dyDescent="0.25">
      <c r="A118">
        <v>10000</v>
      </c>
      <c r="B118" t="s">
        <v>1299</v>
      </c>
      <c r="C118">
        <v>118</v>
      </c>
      <c r="D118">
        <v>6262228200028</v>
      </c>
      <c r="E118" t="s">
        <v>1446</v>
      </c>
      <c r="F118">
        <v>20</v>
      </c>
      <c r="G118">
        <v>10</v>
      </c>
      <c r="I118">
        <v>200</v>
      </c>
      <c r="J118">
        <v>122</v>
      </c>
    </row>
    <row r="119" spans="1:10" x14ac:dyDescent="0.25">
      <c r="A119">
        <v>10000</v>
      </c>
      <c r="B119" t="s">
        <v>1299</v>
      </c>
      <c r="C119">
        <v>119</v>
      </c>
      <c r="D119">
        <v>6260124301429</v>
      </c>
      <c r="E119" t="s">
        <v>1276</v>
      </c>
      <c r="F119">
        <v>16</v>
      </c>
      <c r="G119">
        <v>8</v>
      </c>
      <c r="I119">
        <v>128</v>
      </c>
      <c r="J119">
        <v>123</v>
      </c>
    </row>
    <row r="120" spans="1:10" x14ac:dyDescent="0.25">
      <c r="A120">
        <v>10000</v>
      </c>
      <c r="B120" t="s">
        <v>1299</v>
      </c>
      <c r="C120">
        <v>120</v>
      </c>
      <c r="D120">
        <v>1100</v>
      </c>
      <c r="E120" t="s">
        <v>615</v>
      </c>
      <c r="F120">
        <v>36</v>
      </c>
      <c r="G120">
        <v>3</v>
      </c>
      <c r="I120">
        <v>108</v>
      </c>
      <c r="J120">
        <v>124</v>
      </c>
    </row>
    <row r="121" spans="1:10" x14ac:dyDescent="0.25">
      <c r="A121">
        <v>10000</v>
      </c>
      <c r="B121" t="s">
        <v>1299</v>
      </c>
      <c r="C121">
        <v>121</v>
      </c>
      <c r="D121">
        <v>3700</v>
      </c>
      <c r="E121" t="s">
        <v>1224</v>
      </c>
      <c r="F121">
        <v>8.67</v>
      </c>
      <c r="G121">
        <v>150</v>
      </c>
      <c r="I121">
        <v>1300.5</v>
      </c>
      <c r="J121">
        <v>125</v>
      </c>
    </row>
    <row r="122" spans="1:10" x14ac:dyDescent="0.25">
      <c r="A122">
        <v>10000</v>
      </c>
      <c r="B122" t="s">
        <v>1299</v>
      </c>
      <c r="C122">
        <v>122</v>
      </c>
      <c r="D122">
        <v>6800</v>
      </c>
      <c r="E122" t="s">
        <v>506</v>
      </c>
      <c r="F122">
        <v>1</v>
      </c>
      <c r="G122">
        <v>300</v>
      </c>
      <c r="I122">
        <v>300</v>
      </c>
      <c r="J122">
        <v>126</v>
      </c>
    </row>
    <row r="123" spans="1:10" x14ac:dyDescent="0.25">
      <c r="A123">
        <v>10000</v>
      </c>
      <c r="B123" t="s">
        <v>1299</v>
      </c>
      <c r="C123">
        <v>123</v>
      </c>
      <c r="D123">
        <v>6260170900294</v>
      </c>
      <c r="E123" t="s">
        <v>776</v>
      </c>
      <c r="F123">
        <v>60</v>
      </c>
      <c r="G123">
        <v>8</v>
      </c>
      <c r="I123">
        <v>480</v>
      </c>
      <c r="J123">
        <v>127</v>
      </c>
    </row>
    <row r="124" spans="1:10" x14ac:dyDescent="0.25">
      <c r="A124">
        <v>10000</v>
      </c>
      <c r="B124" t="s">
        <v>1299</v>
      </c>
      <c r="C124">
        <v>124</v>
      </c>
      <c r="D124">
        <v>6260170900522</v>
      </c>
      <c r="E124" t="s">
        <v>861</v>
      </c>
      <c r="F124">
        <v>60</v>
      </c>
      <c r="G124">
        <v>6</v>
      </c>
      <c r="I124">
        <v>360</v>
      </c>
      <c r="J124">
        <v>128</v>
      </c>
    </row>
    <row r="125" spans="1:10" x14ac:dyDescent="0.25">
      <c r="A125">
        <v>10000</v>
      </c>
      <c r="B125" t="s">
        <v>1299</v>
      </c>
      <c r="C125">
        <v>125</v>
      </c>
      <c r="D125">
        <v>6260170901840</v>
      </c>
      <c r="E125" t="s">
        <v>776</v>
      </c>
      <c r="F125">
        <v>16</v>
      </c>
      <c r="G125">
        <v>8</v>
      </c>
      <c r="I125">
        <v>128</v>
      </c>
      <c r="J125">
        <v>129</v>
      </c>
    </row>
    <row r="126" spans="1:10" x14ac:dyDescent="0.25">
      <c r="A126">
        <v>10000</v>
      </c>
      <c r="B126" t="s">
        <v>1299</v>
      </c>
      <c r="C126">
        <v>126</v>
      </c>
      <c r="D126">
        <v>6261178017779</v>
      </c>
      <c r="E126" t="s">
        <v>1298</v>
      </c>
      <c r="F126">
        <v>29</v>
      </c>
      <c r="G126">
        <v>15</v>
      </c>
      <c r="I126">
        <v>435</v>
      </c>
      <c r="J126">
        <v>130</v>
      </c>
    </row>
    <row r="127" spans="1:10" x14ac:dyDescent="0.25">
      <c r="A127">
        <v>10000</v>
      </c>
      <c r="B127" t="s">
        <v>1299</v>
      </c>
      <c r="C127">
        <v>127</v>
      </c>
      <c r="D127">
        <v>6260003111798</v>
      </c>
      <c r="E127" t="s">
        <v>283</v>
      </c>
      <c r="F127">
        <v>5</v>
      </c>
      <c r="G127">
        <v>13</v>
      </c>
      <c r="I127">
        <v>65</v>
      </c>
      <c r="J127">
        <v>131</v>
      </c>
    </row>
    <row r="128" spans="1:10" x14ac:dyDescent="0.25">
      <c r="A128">
        <v>10000</v>
      </c>
      <c r="B128" t="s">
        <v>1299</v>
      </c>
      <c r="C128">
        <v>128</v>
      </c>
      <c r="D128">
        <v>6260501003052</v>
      </c>
      <c r="E128" t="s">
        <v>1416</v>
      </c>
      <c r="F128">
        <v>15</v>
      </c>
      <c r="G128">
        <v>9</v>
      </c>
      <c r="I128">
        <v>135</v>
      </c>
      <c r="J128">
        <v>132</v>
      </c>
    </row>
    <row r="129" spans="1:10" x14ac:dyDescent="0.25">
      <c r="A129">
        <v>10000</v>
      </c>
      <c r="B129" t="s">
        <v>1299</v>
      </c>
      <c r="C129">
        <v>129</v>
      </c>
      <c r="D129">
        <v>6260170900461</v>
      </c>
      <c r="E129" t="s">
        <v>864</v>
      </c>
      <c r="F129">
        <v>5</v>
      </c>
      <c r="G129">
        <v>6</v>
      </c>
      <c r="I129">
        <v>30</v>
      </c>
      <c r="J129">
        <v>133</v>
      </c>
    </row>
    <row r="130" spans="1:10" x14ac:dyDescent="0.25">
      <c r="A130">
        <v>10000</v>
      </c>
      <c r="B130" t="s">
        <v>1299</v>
      </c>
      <c r="C130">
        <v>130</v>
      </c>
      <c r="D130">
        <v>6261178014044</v>
      </c>
      <c r="E130" t="s">
        <v>285</v>
      </c>
      <c r="F130">
        <v>34</v>
      </c>
      <c r="G130">
        <v>8</v>
      </c>
      <c r="I130">
        <v>272</v>
      </c>
      <c r="J130">
        <v>134</v>
      </c>
    </row>
    <row r="131" spans="1:10" x14ac:dyDescent="0.25">
      <c r="A131">
        <v>10000</v>
      </c>
      <c r="B131" t="s">
        <v>1299</v>
      </c>
      <c r="C131">
        <v>131</v>
      </c>
      <c r="D131">
        <v>6260111310106</v>
      </c>
      <c r="E131" t="s">
        <v>858</v>
      </c>
      <c r="F131">
        <v>27</v>
      </c>
      <c r="G131">
        <v>18</v>
      </c>
      <c r="I131">
        <v>486</v>
      </c>
      <c r="J131">
        <v>135</v>
      </c>
    </row>
    <row r="132" spans="1:10" x14ac:dyDescent="0.25">
      <c r="A132">
        <v>10000</v>
      </c>
      <c r="B132" t="s">
        <v>1299</v>
      </c>
      <c r="C132">
        <v>132</v>
      </c>
      <c r="D132">
        <v>6261178574029</v>
      </c>
      <c r="E132" t="s">
        <v>1412</v>
      </c>
      <c r="F132">
        <v>14</v>
      </c>
      <c r="G132">
        <v>20</v>
      </c>
      <c r="I132">
        <v>280</v>
      </c>
      <c r="J132">
        <v>136</v>
      </c>
    </row>
    <row r="133" spans="1:10" x14ac:dyDescent="0.25">
      <c r="A133">
        <v>10000</v>
      </c>
      <c r="B133" t="s">
        <v>1299</v>
      </c>
      <c r="C133">
        <v>133</v>
      </c>
      <c r="D133">
        <v>1300</v>
      </c>
      <c r="E133" t="s">
        <v>357</v>
      </c>
      <c r="F133">
        <v>120</v>
      </c>
      <c r="G133">
        <v>4.5</v>
      </c>
      <c r="I133">
        <v>540</v>
      </c>
      <c r="J133">
        <v>137</v>
      </c>
    </row>
    <row r="134" spans="1:10" x14ac:dyDescent="0.25">
      <c r="A134">
        <v>10000</v>
      </c>
      <c r="B134" t="s">
        <v>1299</v>
      </c>
      <c r="C134">
        <v>134</v>
      </c>
      <c r="D134">
        <v>160610198750002</v>
      </c>
      <c r="E134" t="s">
        <v>829</v>
      </c>
      <c r="F134">
        <v>28</v>
      </c>
      <c r="G134">
        <v>10</v>
      </c>
      <c r="I134">
        <v>280</v>
      </c>
      <c r="J134">
        <v>138</v>
      </c>
    </row>
    <row r="135" spans="1:10" x14ac:dyDescent="0.25">
      <c r="A135">
        <v>10000</v>
      </c>
      <c r="B135" t="s">
        <v>1299</v>
      </c>
      <c r="C135">
        <v>135</v>
      </c>
      <c r="D135">
        <v>6260268400170</v>
      </c>
      <c r="E135" t="s">
        <v>831</v>
      </c>
      <c r="F135">
        <v>11</v>
      </c>
      <c r="G135">
        <v>15</v>
      </c>
      <c r="I135">
        <v>165</v>
      </c>
      <c r="J135">
        <v>139</v>
      </c>
    </row>
    <row r="136" spans="1:10" x14ac:dyDescent="0.25">
      <c r="A136">
        <v>10000</v>
      </c>
      <c r="B136" t="s">
        <v>1299</v>
      </c>
      <c r="C136">
        <v>136</v>
      </c>
      <c r="D136">
        <v>6260002666725</v>
      </c>
      <c r="E136" t="s">
        <v>1207</v>
      </c>
      <c r="F136">
        <v>14</v>
      </c>
      <c r="G136">
        <v>10</v>
      </c>
      <c r="I136">
        <v>140</v>
      </c>
      <c r="J136">
        <v>140</v>
      </c>
    </row>
    <row r="137" spans="1:10" x14ac:dyDescent="0.25">
      <c r="A137">
        <v>10000</v>
      </c>
      <c r="B137" t="s">
        <v>1299</v>
      </c>
      <c r="C137">
        <v>137</v>
      </c>
      <c r="D137">
        <v>6260002666725</v>
      </c>
      <c r="E137" t="s">
        <v>1207</v>
      </c>
      <c r="F137">
        <v>1</v>
      </c>
      <c r="G137">
        <v>10</v>
      </c>
      <c r="I137">
        <v>10</v>
      </c>
      <c r="J137">
        <v>141</v>
      </c>
    </row>
    <row r="138" spans="1:10" x14ac:dyDescent="0.25">
      <c r="A138">
        <v>10000</v>
      </c>
      <c r="B138" t="s">
        <v>1299</v>
      </c>
      <c r="C138">
        <v>138</v>
      </c>
      <c r="D138">
        <v>6260002666725</v>
      </c>
      <c r="E138" t="s">
        <v>1207</v>
      </c>
      <c r="F138">
        <v>1</v>
      </c>
      <c r="G138">
        <v>10</v>
      </c>
      <c r="I138">
        <v>10</v>
      </c>
      <c r="J138">
        <v>142</v>
      </c>
    </row>
    <row r="139" spans="1:10" x14ac:dyDescent="0.25">
      <c r="A139">
        <v>10000</v>
      </c>
      <c r="B139" t="s">
        <v>1299</v>
      </c>
      <c r="C139">
        <v>139</v>
      </c>
      <c r="D139">
        <v>6260002666725</v>
      </c>
      <c r="E139" t="s">
        <v>1207</v>
      </c>
      <c r="F139">
        <v>1</v>
      </c>
      <c r="G139">
        <v>10</v>
      </c>
      <c r="I139">
        <v>10</v>
      </c>
      <c r="J139">
        <v>143</v>
      </c>
    </row>
    <row r="140" spans="1:10" x14ac:dyDescent="0.25">
      <c r="A140">
        <v>10000</v>
      </c>
      <c r="B140" t="s">
        <v>1299</v>
      </c>
      <c r="C140">
        <v>140</v>
      </c>
      <c r="D140">
        <v>6260002666725</v>
      </c>
      <c r="E140" t="s">
        <v>1207</v>
      </c>
      <c r="F140">
        <v>1</v>
      </c>
      <c r="G140">
        <v>10</v>
      </c>
      <c r="I140">
        <v>10</v>
      </c>
      <c r="J140">
        <v>144</v>
      </c>
    </row>
    <row r="141" spans="1:10" x14ac:dyDescent="0.25">
      <c r="A141">
        <v>10000</v>
      </c>
      <c r="B141" t="s">
        <v>1299</v>
      </c>
      <c r="C141">
        <v>141</v>
      </c>
      <c r="D141">
        <v>6260002666725</v>
      </c>
      <c r="E141" t="s">
        <v>1207</v>
      </c>
      <c r="F141">
        <v>1</v>
      </c>
      <c r="G141">
        <v>10</v>
      </c>
      <c r="I141">
        <v>10</v>
      </c>
      <c r="J141">
        <v>145</v>
      </c>
    </row>
    <row r="142" spans="1:10" x14ac:dyDescent="0.25">
      <c r="A142">
        <v>10000</v>
      </c>
      <c r="B142" t="s">
        <v>1299</v>
      </c>
      <c r="C142">
        <v>142</v>
      </c>
      <c r="D142">
        <v>6260002666725</v>
      </c>
      <c r="E142" t="s">
        <v>1207</v>
      </c>
      <c r="F142">
        <v>1</v>
      </c>
      <c r="G142">
        <v>10</v>
      </c>
      <c r="I142">
        <v>10</v>
      </c>
      <c r="J142">
        <v>146</v>
      </c>
    </row>
    <row r="143" spans="1:10" x14ac:dyDescent="0.25">
      <c r="A143">
        <v>10000</v>
      </c>
      <c r="B143" t="s">
        <v>1299</v>
      </c>
      <c r="C143">
        <v>143</v>
      </c>
      <c r="D143">
        <v>6260002666725</v>
      </c>
      <c r="E143" t="s">
        <v>1207</v>
      </c>
      <c r="F143">
        <v>11</v>
      </c>
      <c r="G143">
        <v>10</v>
      </c>
      <c r="I143">
        <v>110</v>
      </c>
      <c r="J143">
        <v>147</v>
      </c>
    </row>
    <row r="144" spans="1:10" x14ac:dyDescent="0.25">
      <c r="A144">
        <v>10000</v>
      </c>
      <c r="B144" t="s">
        <v>1299</v>
      </c>
      <c r="C144">
        <v>144</v>
      </c>
      <c r="D144">
        <v>6262036200272</v>
      </c>
      <c r="E144" t="s">
        <v>1418</v>
      </c>
      <c r="F144">
        <v>7</v>
      </c>
      <c r="G144">
        <v>8</v>
      </c>
      <c r="I144">
        <v>56</v>
      </c>
      <c r="J144">
        <v>148</v>
      </c>
    </row>
    <row r="145" spans="1:10" x14ac:dyDescent="0.25">
      <c r="A145">
        <v>10000</v>
      </c>
      <c r="B145" t="s">
        <v>1299</v>
      </c>
      <c r="C145">
        <v>145</v>
      </c>
      <c r="D145">
        <v>6263186900012</v>
      </c>
      <c r="E145" t="s">
        <v>1248</v>
      </c>
      <c r="F145">
        <v>26</v>
      </c>
      <c r="G145">
        <v>2</v>
      </c>
      <c r="I145">
        <v>52</v>
      </c>
      <c r="J145">
        <v>149</v>
      </c>
    </row>
    <row r="146" spans="1:10" x14ac:dyDescent="0.25">
      <c r="A146">
        <v>10000</v>
      </c>
      <c r="B146" t="s">
        <v>1299</v>
      </c>
      <c r="C146">
        <v>146</v>
      </c>
      <c r="D146">
        <v>160610318690001</v>
      </c>
      <c r="E146" t="s">
        <v>1248</v>
      </c>
      <c r="F146">
        <v>26</v>
      </c>
      <c r="G146">
        <v>2</v>
      </c>
      <c r="I146">
        <v>52</v>
      </c>
      <c r="J146">
        <v>150</v>
      </c>
    </row>
    <row r="147" spans="1:10" x14ac:dyDescent="0.25">
      <c r="A147">
        <v>10000</v>
      </c>
      <c r="B147" t="s">
        <v>1299</v>
      </c>
      <c r="C147">
        <v>147</v>
      </c>
      <c r="D147">
        <v>6261149128213</v>
      </c>
      <c r="E147" t="s">
        <v>855</v>
      </c>
      <c r="F147">
        <v>1</v>
      </c>
      <c r="G147">
        <v>60</v>
      </c>
      <c r="I147">
        <v>60</v>
      </c>
      <c r="J147">
        <v>151</v>
      </c>
    </row>
    <row r="148" spans="1:10" x14ac:dyDescent="0.25">
      <c r="A148">
        <v>10000</v>
      </c>
      <c r="B148" t="s">
        <v>1299</v>
      </c>
      <c r="C148">
        <v>148</v>
      </c>
      <c r="D148">
        <v>6261149128213</v>
      </c>
      <c r="E148" t="s">
        <v>855</v>
      </c>
      <c r="F148">
        <v>1</v>
      </c>
      <c r="G148">
        <v>60</v>
      </c>
      <c r="I148">
        <v>60</v>
      </c>
      <c r="J148">
        <v>152</v>
      </c>
    </row>
    <row r="149" spans="1:10" x14ac:dyDescent="0.25">
      <c r="A149">
        <v>10000</v>
      </c>
      <c r="B149" t="s">
        <v>1299</v>
      </c>
      <c r="C149">
        <v>149</v>
      </c>
      <c r="D149">
        <v>6261149128213</v>
      </c>
      <c r="E149" t="s">
        <v>855</v>
      </c>
      <c r="F149">
        <v>1</v>
      </c>
      <c r="G149">
        <v>60</v>
      </c>
      <c r="I149">
        <v>60</v>
      </c>
      <c r="J149">
        <v>153</v>
      </c>
    </row>
    <row r="150" spans="1:10" x14ac:dyDescent="0.25">
      <c r="A150">
        <v>10001</v>
      </c>
      <c r="B150" t="s">
        <v>1299</v>
      </c>
      <c r="C150">
        <v>150</v>
      </c>
      <c r="D150">
        <v>6262181500128</v>
      </c>
      <c r="E150" t="s">
        <v>726</v>
      </c>
      <c r="F150">
        <v>1</v>
      </c>
      <c r="G150">
        <v>5</v>
      </c>
      <c r="I150">
        <v>5</v>
      </c>
      <c r="J150">
        <v>7</v>
      </c>
    </row>
    <row r="151" spans="1:10" x14ac:dyDescent="0.25">
      <c r="A151">
        <v>10001</v>
      </c>
      <c r="B151" t="s">
        <v>1299</v>
      </c>
      <c r="C151">
        <v>151</v>
      </c>
      <c r="D151">
        <v>6262181500128</v>
      </c>
      <c r="E151" t="s">
        <v>726</v>
      </c>
      <c r="F151">
        <v>1</v>
      </c>
      <c r="G151">
        <v>5</v>
      </c>
      <c r="I151">
        <v>5</v>
      </c>
      <c r="J151">
        <v>8</v>
      </c>
    </row>
    <row r="152" spans="1:10" x14ac:dyDescent="0.25">
      <c r="A152">
        <v>10001</v>
      </c>
      <c r="B152" t="s">
        <v>1299</v>
      </c>
      <c r="C152">
        <v>152</v>
      </c>
      <c r="D152" t="s">
        <v>827</v>
      </c>
      <c r="E152" t="s">
        <v>726</v>
      </c>
      <c r="F152">
        <v>45</v>
      </c>
      <c r="G152">
        <v>5</v>
      </c>
      <c r="I152">
        <v>225</v>
      </c>
      <c r="J152">
        <v>9</v>
      </c>
    </row>
    <row r="153" spans="1:10" x14ac:dyDescent="0.25">
      <c r="A153">
        <v>10001</v>
      </c>
      <c r="B153" t="s">
        <v>1299</v>
      </c>
      <c r="C153">
        <v>153</v>
      </c>
      <c r="D153">
        <v>6262181500128</v>
      </c>
      <c r="E153" t="s">
        <v>726</v>
      </c>
      <c r="F153">
        <v>45</v>
      </c>
      <c r="G153">
        <v>5</v>
      </c>
      <c r="I153">
        <v>225</v>
      </c>
      <c r="J153">
        <v>10</v>
      </c>
    </row>
    <row r="154" spans="1:10" x14ac:dyDescent="0.25">
      <c r="A154">
        <v>10001</v>
      </c>
      <c r="B154" t="s">
        <v>1299</v>
      </c>
      <c r="C154">
        <v>154</v>
      </c>
      <c r="D154">
        <v>3700</v>
      </c>
      <c r="E154" t="s">
        <v>1224</v>
      </c>
      <c r="F154">
        <v>3</v>
      </c>
      <c r="G154">
        <v>150</v>
      </c>
      <c r="I154">
        <v>450</v>
      </c>
      <c r="J154">
        <v>11</v>
      </c>
    </row>
    <row r="155" spans="1:10" x14ac:dyDescent="0.25">
      <c r="A155">
        <v>10001</v>
      </c>
      <c r="B155" t="s">
        <v>1299</v>
      </c>
      <c r="C155">
        <v>155</v>
      </c>
      <c r="D155">
        <v>2800</v>
      </c>
      <c r="E155" t="s">
        <v>1038</v>
      </c>
      <c r="F155">
        <v>3.48</v>
      </c>
      <c r="G155">
        <v>70</v>
      </c>
      <c r="I155">
        <v>243.6</v>
      </c>
      <c r="J155">
        <v>12</v>
      </c>
    </row>
    <row r="156" spans="1:10" x14ac:dyDescent="0.25">
      <c r="A156">
        <v>10001</v>
      </c>
      <c r="B156" t="s">
        <v>1299</v>
      </c>
      <c r="C156">
        <v>156</v>
      </c>
      <c r="D156">
        <v>2500</v>
      </c>
      <c r="E156" t="s">
        <v>1033</v>
      </c>
      <c r="F156">
        <v>2.65</v>
      </c>
      <c r="G156">
        <v>80</v>
      </c>
      <c r="I156">
        <v>212</v>
      </c>
      <c r="J156">
        <v>13</v>
      </c>
    </row>
    <row r="157" spans="1:10" x14ac:dyDescent="0.25">
      <c r="A157">
        <v>10001</v>
      </c>
      <c r="B157" t="s">
        <v>1299</v>
      </c>
      <c r="C157">
        <v>157</v>
      </c>
      <c r="D157">
        <v>2600</v>
      </c>
      <c r="E157" t="s">
        <v>1034</v>
      </c>
      <c r="F157">
        <v>3.8</v>
      </c>
      <c r="G157">
        <v>100</v>
      </c>
      <c r="I157">
        <v>380</v>
      </c>
      <c r="J157">
        <v>14</v>
      </c>
    </row>
    <row r="158" spans="1:10" x14ac:dyDescent="0.25">
      <c r="A158">
        <v>10001</v>
      </c>
      <c r="B158" t="s">
        <v>1299</v>
      </c>
      <c r="C158">
        <v>158</v>
      </c>
      <c r="D158">
        <v>2400</v>
      </c>
      <c r="E158" t="s">
        <v>714</v>
      </c>
      <c r="F158">
        <v>10</v>
      </c>
      <c r="G158">
        <v>70</v>
      </c>
      <c r="I158">
        <v>700</v>
      </c>
      <c r="J158">
        <v>15</v>
      </c>
    </row>
    <row r="159" spans="1:10" x14ac:dyDescent="0.25">
      <c r="A159">
        <v>10001</v>
      </c>
      <c r="B159" t="s">
        <v>1299</v>
      </c>
      <c r="C159">
        <v>159</v>
      </c>
      <c r="D159">
        <v>4000</v>
      </c>
      <c r="E159" t="s">
        <v>722</v>
      </c>
      <c r="F159">
        <v>2.73</v>
      </c>
      <c r="G159">
        <v>70</v>
      </c>
      <c r="I159">
        <v>191.1</v>
      </c>
      <c r="J159">
        <v>16</v>
      </c>
    </row>
    <row r="160" spans="1:10" x14ac:dyDescent="0.25">
      <c r="A160">
        <v>10001</v>
      </c>
      <c r="B160" t="s">
        <v>1299</v>
      </c>
      <c r="C160">
        <v>160</v>
      </c>
      <c r="D160">
        <v>6260000685506</v>
      </c>
      <c r="E160" t="s">
        <v>1404</v>
      </c>
      <c r="F160">
        <v>1</v>
      </c>
      <c r="G160">
        <v>110</v>
      </c>
      <c r="I160">
        <v>110</v>
      </c>
      <c r="J160">
        <v>17</v>
      </c>
    </row>
    <row r="161" spans="1:10" x14ac:dyDescent="0.25">
      <c r="A161">
        <v>10001</v>
      </c>
      <c r="B161" t="s">
        <v>1299</v>
      </c>
      <c r="C161">
        <v>161</v>
      </c>
      <c r="D161">
        <v>6262723900058</v>
      </c>
      <c r="E161" t="s">
        <v>1406</v>
      </c>
      <c r="F161">
        <v>1</v>
      </c>
      <c r="G161">
        <v>64</v>
      </c>
      <c r="I161">
        <v>64</v>
      </c>
      <c r="J161">
        <v>18</v>
      </c>
    </row>
    <row r="162" spans="1:10" x14ac:dyDescent="0.25">
      <c r="A162">
        <v>10001</v>
      </c>
      <c r="B162" t="s">
        <v>1299</v>
      </c>
      <c r="C162">
        <v>162</v>
      </c>
      <c r="D162">
        <v>6269447802224</v>
      </c>
      <c r="E162" t="s">
        <v>1008</v>
      </c>
      <c r="F162">
        <v>13</v>
      </c>
      <c r="G162">
        <v>7</v>
      </c>
      <c r="I162">
        <v>91</v>
      </c>
      <c r="J162">
        <v>19</v>
      </c>
    </row>
    <row r="163" spans="1:10" x14ac:dyDescent="0.25">
      <c r="A163">
        <v>10001</v>
      </c>
      <c r="B163" t="s">
        <v>1299</v>
      </c>
      <c r="C163">
        <v>163</v>
      </c>
      <c r="D163">
        <v>6261005000257</v>
      </c>
      <c r="E163" t="s">
        <v>1088</v>
      </c>
      <c r="F163">
        <v>2</v>
      </c>
      <c r="G163">
        <v>45</v>
      </c>
      <c r="I163">
        <v>90</v>
      </c>
      <c r="J163">
        <v>20</v>
      </c>
    </row>
    <row r="164" spans="1:10" x14ac:dyDescent="0.25">
      <c r="A164">
        <v>10001</v>
      </c>
      <c r="B164" t="s">
        <v>1299</v>
      </c>
      <c r="C164">
        <v>164</v>
      </c>
      <c r="D164">
        <v>6700</v>
      </c>
      <c r="E164" t="s">
        <v>547</v>
      </c>
      <c r="F164">
        <v>25.310000000000002</v>
      </c>
      <c r="G164">
        <v>50</v>
      </c>
      <c r="I164">
        <v>1265.5</v>
      </c>
      <c r="J164">
        <v>21</v>
      </c>
    </row>
    <row r="165" spans="1:10" x14ac:dyDescent="0.25">
      <c r="A165">
        <v>10001</v>
      </c>
      <c r="B165" t="s">
        <v>1299</v>
      </c>
      <c r="C165">
        <v>165</v>
      </c>
      <c r="D165">
        <v>4100</v>
      </c>
      <c r="E165" t="s">
        <v>1057</v>
      </c>
      <c r="F165">
        <v>26</v>
      </c>
      <c r="G165">
        <v>120</v>
      </c>
      <c r="I165">
        <v>3120</v>
      </c>
      <c r="J165">
        <v>22</v>
      </c>
    </row>
    <row r="166" spans="1:10" x14ac:dyDescent="0.25">
      <c r="A166">
        <v>10001</v>
      </c>
      <c r="B166" t="s">
        <v>1299</v>
      </c>
      <c r="C166">
        <v>166</v>
      </c>
      <c r="D166">
        <v>7000</v>
      </c>
      <c r="E166" t="s">
        <v>485</v>
      </c>
      <c r="F166">
        <v>6.37</v>
      </c>
      <c r="G166">
        <v>80</v>
      </c>
      <c r="I166">
        <v>509.6</v>
      </c>
      <c r="J166">
        <v>23</v>
      </c>
    </row>
    <row r="167" spans="1:10" x14ac:dyDescent="0.25">
      <c r="A167">
        <v>10001</v>
      </c>
      <c r="B167" t="s">
        <v>1299</v>
      </c>
      <c r="C167">
        <v>167</v>
      </c>
      <c r="D167">
        <v>3200</v>
      </c>
      <c r="E167" t="s">
        <v>566</v>
      </c>
      <c r="F167">
        <v>3.5</v>
      </c>
      <c r="G167">
        <v>150</v>
      </c>
      <c r="I167">
        <v>525</v>
      </c>
      <c r="J167">
        <v>24</v>
      </c>
    </row>
    <row r="168" spans="1:10" x14ac:dyDescent="0.25">
      <c r="A168">
        <v>10001</v>
      </c>
      <c r="B168" t="s">
        <v>1299</v>
      </c>
      <c r="C168">
        <v>168</v>
      </c>
      <c r="D168">
        <v>3100</v>
      </c>
      <c r="E168" t="s">
        <v>718</v>
      </c>
      <c r="F168">
        <v>15</v>
      </c>
      <c r="G168">
        <v>90</v>
      </c>
      <c r="I168">
        <v>1350</v>
      </c>
      <c r="J168">
        <v>25</v>
      </c>
    </row>
    <row r="169" spans="1:10" x14ac:dyDescent="0.25">
      <c r="A169">
        <v>10001</v>
      </c>
      <c r="B169" t="s">
        <v>1299</v>
      </c>
      <c r="C169">
        <v>169</v>
      </c>
      <c r="D169">
        <v>3300</v>
      </c>
      <c r="E169" t="s">
        <v>652</v>
      </c>
      <c r="F169">
        <v>14</v>
      </c>
      <c r="G169">
        <v>150</v>
      </c>
      <c r="I169">
        <v>2100</v>
      </c>
      <c r="J169">
        <v>26</v>
      </c>
    </row>
    <row r="170" spans="1:10" x14ac:dyDescent="0.25">
      <c r="A170">
        <v>10001</v>
      </c>
      <c r="B170" t="s">
        <v>1299</v>
      </c>
      <c r="C170">
        <v>170</v>
      </c>
      <c r="D170">
        <v>6260079200914</v>
      </c>
      <c r="E170" t="s">
        <v>843</v>
      </c>
      <c r="F170">
        <v>9</v>
      </c>
      <c r="G170">
        <v>20</v>
      </c>
      <c r="I170">
        <v>180</v>
      </c>
      <c r="J170">
        <v>27</v>
      </c>
    </row>
    <row r="171" spans="1:10" x14ac:dyDescent="0.25">
      <c r="A171">
        <v>10001</v>
      </c>
      <c r="B171" t="s">
        <v>1299</v>
      </c>
      <c r="C171">
        <v>171</v>
      </c>
      <c r="D171">
        <v>6260079200839</v>
      </c>
      <c r="E171" t="s">
        <v>480</v>
      </c>
      <c r="F171">
        <v>22</v>
      </c>
      <c r="G171">
        <v>20</v>
      </c>
      <c r="I171">
        <v>440</v>
      </c>
      <c r="J171">
        <v>28</v>
      </c>
    </row>
    <row r="172" spans="1:10" x14ac:dyDescent="0.25">
      <c r="A172">
        <v>10001</v>
      </c>
      <c r="B172" t="s">
        <v>1299</v>
      </c>
      <c r="C172">
        <v>172</v>
      </c>
      <c r="D172">
        <v>8458412400024</v>
      </c>
      <c r="E172" t="s">
        <v>383</v>
      </c>
      <c r="F172">
        <v>12</v>
      </c>
      <c r="G172">
        <v>7.5</v>
      </c>
      <c r="I172">
        <v>90</v>
      </c>
      <c r="J172">
        <v>29</v>
      </c>
    </row>
    <row r="173" spans="1:10" x14ac:dyDescent="0.25">
      <c r="A173">
        <v>10001</v>
      </c>
      <c r="B173" t="s">
        <v>1299</v>
      </c>
      <c r="C173">
        <v>173</v>
      </c>
      <c r="D173">
        <v>6260575902312</v>
      </c>
      <c r="E173" t="s">
        <v>1452</v>
      </c>
      <c r="F173">
        <v>40</v>
      </c>
      <c r="G173">
        <v>5</v>
      </c>
      <c r="I173">
        <v>200</v>
      </c>
      <c r="J173">
        <v>30</v>
      </c>
    </row>
    <row r="174" spans="1:10" x14ac:dyDescent="0.25">
      <c r="A174">
        <v>10001</v>
      </c>
      <c r="B174" t="s">
        <v>1299</v>
      </c>
      <c r="C174">
        <v>174</v>
      </c>
      <c r="D174">
        <v>6260575902404</v>
      </c>
      <c r="E174" t="s">
        <v>1454</v>
      </c>
      <c r="F174">
        <v>48</v>
      </c>
      <c r="G174">
        <v>5</v>
      </c>
      <c r="I174">
        <v>240</v>
      </c>
      <c r="J174">
        <v>31</v>
      </c>
    </row>
    <row r="175" spans="1:10" x14ac:dyDescent="0.25">
      <c r="A175">
        <v>10001</v>
      </c>
      <c r="B175" t="s">
        <v>1299</v>
      </c>
      <c r="C175">
        <v>175</v>
      </c>
      <c r="D175">
        <v>6260575904330</v>
      </c>
      <c r="E175" t="s">
        <v>1104</v>
      </c>
      <c r="F175">
        <v>19</v>
      </c>
      <c r="G175">
        <v>10</v>
      </c>
      <c r="I175">
        <v>190</v>
      </c>
      <c r="J175">
        <v>32</v>
      </c>
    </row>
    <row r="176" spans="1:10" x14ac:dyDescent="0.25">
      <c r="A176">
        <v>10001</v>
      </c>
      <c r="B176" t="s">
        <v>1299</v>
      </c>
      <c r="C176">
        <v>176</v>
      </c>
      <c r="D176">
        <v>6260002926348</v>
      </c>
      <c r="E176" t="s">
        <v>1108</v>
      </c>
      <c r="F176">
        <v>20</v>
      </c>
      <c r="G176">
        <v>18</v>
      </c>
      <c r="I176">
        <v>360</v>
      </c>
      <c r="J176">
        <v>33</v>
      </c>
    </row>
    <row r="177" spans="1:10" x14ac:dyDescent="0.25">
      <c r="A177">
        <v>10001</v>
      </c>
      <c r="B177" t="s">
        <v>1299</v>
      </c>
      <c r="C177">
        <v>177</v>
      </c>
      <c r="D177">
        <v>6261178411010</v>
      </c>
      <c r="E177" t="s">
        <v>1186</v>
      </c>
      <c r="F177">
        <v>20</v>
      </c>
      <c r="G177">
        <v>15</v>
      </c>
      <c r="I177">
        <v>300</v>
      </c>
      <c r="J177">
        <v>34</v>
      </c>
    </row>
    <row r="178" spans="1:10" x14ac:dyDescent="0.25">
      <c r="A178">
        <v>10001</v>
      </c>
      <c r="B178" t="s">
        <v>1299</v>
      </c>
      <c r="C178">
        <v>178</v>
      </c>
      <c r="D178">
        <v>6265663103565</v>
      </c>
      <c r="E178" t="s">
        <v>329</v>
      </c>
      <c r="F178">
        <v>28</v>
      </c>
      <c r="G178">
        <v>15</v>
      </c>
      <c r="I178">
        <v>420</v>
      </c>
      <c r="J178">
        <v>35</v>
      </c>
    </row>
    <row r="179" spans="1:10" x14ac:dyDescent="0.25">
      <c r="A179">
        <v>10001</v>
      </c>
      <c r="B179" t="s">
        <v>1299</v>
      </c>
      <c r="C179">
        <v>179</v>
      </c>
      <c r="D179">
        <v>6260053185640</v>
      </c>
      <c r="E179" t="s">
        <v>1344</v>
      </c>
      <c r="F179">
        <v>48</v>
      </c>
      <c r="G179">
        <v>12</v>
      </c>
      <c r="I179">
        <v>576</v>
      </c>
      <c r="J179">
        <v>36</v>
      </c>
    </row>
    <row r="180" spans="1:10" x14ac:dyDescent="0.25">
      <c r="A180">
        <v>10001</v>
      </c>
      <c r="B180" t="s">
        <v>1299</v>
      </c>
      <c r="C180">
        <v>180</v>
      </c>
      <c r="D180">
        <v>162900054350642</v>
      </c>
      <c r="E180" t="s">
        <v>698</v>
      </c>
      <c r="F180">
        <v>20</v>
      </c>
      <c r="G180">
        <v>15</v>
      </c>
      <c r="I180">
        <v>300</v>
      </c>
      <c r="J180">
        <v>37</v>
      </c>
    </row>
    <row r="181" spans="1:10" x14ac:dyDescent="0.25">
      <c r="A181">
        <v>10001</v>
      </c>
      <c r="B181" t="s">
        <v>1299</v>
      </c>
      <c r="C181">
        <v>181</v>
      </c>
      <c r="D181">
        <v>6260543504289</v>
      </c>
      <c r="E181" t="s">
        <v>698</v>
      </c>
      <c r="F181">
        <v>20</v>
      </c>
      <c r="G181">
        <v>15</v>
      </c>
      <c r="I181">
        <v>300</v>
      </c>
      <c r="J181">
        <v>38</v>
      </c>
    </row>
    <row r="182" spans="1:10" x14ac:dyDescent="0.25">
      <c r="A182">
        <v>10001</v>
      </c>
      <c r="B182" t="s">
        <v>1299</v>
      </c>
      <c r="C182">
        <v>182</v>
      </c>
      <c r="D182">
        <v>6260543505347</v>
      </c>
      <c r="E182" t="s">
        <v>1457</v>
      </c>
      <c r="F182">
        <v>30</v>
      </c>
      <c r="G182">
        <v>8</v>
      </c>
      <c r="I182">
        <v>240</v>
      </c>
      <c r="J182">
        <v>39</v>
      </c>
    </row>
    <row r="183" spans="1:10" x14ac:dyDescent="0.25">
      <c r="A183">
        <v>10001</v>
      </c>
      <c r="B183" t="s">
        <v>1299</v>
      </c>
      <c r="C183">
        <v>183</v>
      </c>
      <c r="D183">
        <v>162900054350801</v>
      </c>
      <c r="E183" t="s">
        <v>1457</v>
      </c>
      <c r="F183">
        <v>30</v>
      </c>
      <c r="G183">
        <v>8</v>
      </c>
      <c r="I183">
        <v>240</v>
      </c>
      <c r="J183">
        <v>40</v>
      </c>
    </row>
    <row r="184" spans="1:10" x14ac:dyDescent="0.25">
      <c r="A184">
        <v>10001</v>
      </c>
      <c r="B184" t="s">
        <v>1299</v>
      </c>
      <c r="C184">
        <v>184</v>
      </c>
      <c r="D184">
        <v>6260002926379</v>
      </c>
      <c r="E184" t="s">
        <v>1422</v>
      </c>
      <c r="F184">
        <v>30</v>
      </c>
      <c r="G184">
        <v>21</v>
      </c>
      <c r="I184">
        <v>630</v>
      </c>
      <c r="J184">
        <v>41</v>
      </c>
    </row>
    <row r="185" spans="1:10" x14ac:dyDescent="0.25">
      <c r="A185">
        <v>10002</v>
      </c>
      <c r="B185" t="s">
        <v>1458</v>
      </c>
      <c r="C185">
        <v>185</v>
      </c>
      <c r="D185">
        <v>2162314158000000</v>
      </c>
      <c r="E185" t="s">
        <v>1229</v>
      </c>
      <c r="F185">
        <v>1</v>
      </c>
      <c r="G185">
        <v>10</v>
      </c>
      <c r="I185">
        <v>10</v>
      </c>
      <c r="J185">
        <v>7</v>
      </c>
    </row>
    <row r="186" spans="1:10" x14ac:dyDescent="0.25">
      <c r="A186">
        <v>10003</v>
      </c>
      <c r="B186" t="s">
        <v>1299</v>
      </c>
      <c r="C186">
        <v>186</v>
      </c>
      <c r="D186">
        <v>6260469900509</v>
      </c>
      <c r="E186" t="s">
        <v>1115</v>
      </c>
      <c r="F186">
        <v>14</v>
      </c>
      <c r="G186">
        <v>10</v>
      </c>
      <c r="I186">
        <v>140</v>
      </c>
      <c r="J186">
        <v>7</v>
      </c>
    </row>
    <row r="187" spans="1:10" x14ac:dyDescent="0.25">
      <c r="A187">
        <v>10003</v>
      </c>
      <c r="B187" t="s">
        <v>1299</v>
      </c>
      <c r="C187">
        <v>187</v>
      </c>
      <c r="D187">
        <v>162510046990021</v>
      </c>
      <c r="E187" t="s">
        <v>1115</v>
      </c>
      <c r="F187">
        <v>14</v>
      </c>
      <c r="G187">
        <v>10</v>
      </c>
      <c r="I187">
        <v>140</v>
      </c>
      <c r="J187">
        <v>8</v>
      </c>
    </row>
    <row r="188" spans="1:10" x14ac:dyDescent="0.25">
      <c r="A188">
        <v>10003</v>
      </c>
      <c r="B188" t="s">
        <v>1299</v>
      </c>
      <c r="C188">
        <v>188</v>
      </c>
      <c r="D188">
        <v>6262690600074</v>
      </c>
      <c r="E188" t="s">
        <v>1200</v>
      </c>
      <c r="F188">
        <v>5</v>
      </c>
      <c r="G188">
        <v>10</v>
      </c>
      <c r="I188">
        <v>50</v>
      </c>
      <c r="J188">
        <v>9</v>
      </c>
    </row>
    <row r="189" spans="1:10" x14ac:dyDescent="0.25">
      <c r="A189">
        <v>10003</v>
      </c>
      <c r="B189" t="s">
        <v>1299</v>
      </c>
      <c r="C189">
        <v>189</v>
      </c>
      <c r="D189">
        <v>2000</v>
      </c>
      <c r="E189" t="s">
        <v>1024</v>
      </c>
      <c r="F189">
        <v>8.7750000000000004</v>
      </c>
      <c r="G189">
        <v>100</v>
      </c>
      <c r="I189">
        <v>877.5</v>
      </c>
      <c r="J189">
        <v>10</v>
      </c>
    </row>
    <row r="190" spans="1:10" x14ac:dyDescent="0.25">
      <c r="A190">
        <v>10003</v>
      </c>
      <c r="B190" t="s">
        <v>1299</v>
      </c>
      <c r="C190">
        <v>190</v>
      </c>
      <c r="D190">
        <v>2100</v>
      </c>
      <c r="E190" t="s">
        <v>1025</v>
      </c>
      <c r="F190">
        <v>10.734999999999999</v>
      </c>
      <c r="G190">
        <v>120</v>
      </c>
      <c r="I190">
        <v>1288.1999999999998</v>
      </c>
      <c r="J190">
        <v>11</v>
      </c>
    </row>
    <row r="191" spans="1:10" x14ac:dyDescent="0.25">
      <c r="A191">
        <v>10003</v>
      </c>
      <c r="B191" t="s">
        <v>1299</v>
      </c>
      <c r="C191">
        <v>191</v>
      </c>
      <c r="D191">
        <v>6260022324025</v>
      </c>
      <c r="E191" t="s">
        <v>740</v>
      </c>
      <c r="F191">
        <v>6</v>
      </c>
      <c r="G191">
        <v>30</v>
      </c>
      <c r="I191">
        <v>180</v>
      </c>
      <c r="J191">
        <v>12</v>
      </c>
    </row>
    <row r="192" spans="1:10" x14ac:dyDescent="0.25">
      <c r="A192">
        <v>10003</v>
      </c>
      <c r="B192" t="s">
        <v>1299</v>
      </c>
      <c r="C192">
        <v>192</v>
      </c>
      <c r="D192">
        <v>6260806400020</v>
      </c>
      <c r="E192" t="s">
        <v>754</v>
      </c>
      <c r="F192">
        <v>28</v>
      </c>
      <c r="G192">
        <v>45</v>
      </c>
      <c r="I192">
        <v>1260</v>
      </c>
      <c r="J192">
        <v>13</v>
      </c>
    </row>
    <row r="193" spans="1:10" x14ac:dyDescent="0.25">
      <c r="A193">
        <v>10003</v>
      </c>
      <c r="B193" t="s">
        <v>1299</v>
      </c>
      <c r="C193">
        <v>193</v>
      </c>
      <c r="D193">
        <v>6260055843036</v>
      </c>
      <c r="E193" t="s">
        <v>736</v>
      </c>
      <c r="F193">
        <v>20</v>
      </c>
      <c r="G193">
        <v>35</v>
      </c>
      <c r="I193">
        <v>700</v>
      </c>
      <c r="J193">
        <v>14</v>
      </c>
    </row>
    <row r="194" spans="1:10" x14ac:dyDescent="0.25">
      <c r="A194">
        <v>10003</v>
      </c>
      <c r="B194" t="s">
        <v>1299</v>
      </c>
      <c r="C194">
        <v>194</v>
      </c>
      <c r="D194">
        <v>6261845300173</v>
      </c>
      <c r="E194" t="s">
        <v>736</v>
      </c>
      <c r="F194">
        <v>1</v>
      </c>
      <c r="G194">
        <v>35</v>
      </c>
      <c r="I194">
        <v>35</v>
      </c>
      <c r="J194">
        <v>15</v>
      </c>
    </row>
    <row r="195" spans="1:10" x14ac:dyDescent="0.25">
      <c r="A195">
        <v>10003</v>
      </c>
      <c r="B195" t="s">
        <v>1299</v>
      </c>
      <c r="C195">
        <v>195</v>
      </c>
      <c r="D195">
        <v>6260806400068</v>
      </c>
      <c r="E195" t="s">
        <v>746</v>
      </c>
      <c r="F195">
        <v>8</v>
      </c>
      <c r="G195">
        <v>35</v>
      </c>
      <c r="I195">
        <v>280</v>
      </c>
      <c r="J195">
        <v>16</v>
      </c>
    </row>
    <row r="196" spans="1:10" x14ac:dyDescent="0.25">
      <c r="A196">
        <v>10003</v>
      </c>
      <c r="B196" t="s">
        <v>1299</v>
      </c>
      <c r="C196">
        <v>196</v>
      </c>
      <c r="D196">
        <v>6260079211316</v>
      </c>
      <c r="E196" t="s">
        <v>1427</v>
      </c>
      <c r="F196">
        <v>1</v>
      </c>
      <c r="G196">
        <v>30</v>
      </c>
      <c r="I196">
        <v>30</v>
      </c>
      <c r="J196">
        <v>17</v>
      </c>
    </row>
    <row r="197" spans="1:10" x14ac:dyDescent="0.25">
      <c r="A197">
        <v>10003</v>
      </c>
      <c r="B197" t="s">
        <v>1299</v>
      </c>
      <c r="C197">
        <v>197</v>
      </c>
      <c r="D197">
        <v>6260079211316</v>
      </c>
      <c r="E197" t="s">
        <v>1427</v>
      </c>
      <c r="F197">
        <v>1</v>
      </c>
      <c r="G197">
        <v>30</v>
      </c>
      <c r="I197">
        <v>30</v>
      </c>
      <c r="J197">
        <v>18</v>
      </c>
    </row>
    <row r="198" spans="1:10" x14ac:dyDescent="0.25">
      <c r="A198">
        <v>10003</v>
      </c>
      <c r="B198" t="s">
        <v>1299</v>
      </c>
      <c r="C198">
        <v>198</v>
      </c>
      <c r="D198">
        <v>6260079211316</v>
      </c>
      <c r="E198" t="s">
        <v>1427</v>
      </c>
      <c r="F198">
        <v>1</v>
      </c>
      <c r="G198">
        <v>30</v>
      </c>
      <c r="I198">
        <v>30</v>
      </c>
      <c r="J198">
        <v>19</v>
      </c>
    </row>
    <row r="199" spans="1:10" x14ac:dyDescent="0.25">
      <c r="A199">
        <v>10003</v>
      </c>
      <c r="B199" t="s">
        <v>1299</v>
      </c>
      <c r="C199">
        <v>199</v>
      </c>
      <c r="D199">
        <v>6260079211316</v>
      </c>
      <c r="E199" t="s">
        <v>1427</v>
      </c>
      <c r="F199">
        <v>1</v>
      </c>
      <c r="G199">
        <v>30</v>
      </c>
      <c r="I199">
        <v>30</v>
      </c>
      <c r="J199">
        <v>20</v>
      </c>
    </row>
    <row r="200" spans="1:10" x14ac:dyDescent="0.25">
      <c r="A200">
        <v>10003</v>
      </c>
      <c r="B200" t="s">
        <v>1299</v>
      </c>
      <c r="C200">
        <v>200</v>
      </c>
      <c r="D200">
        <v>6260079211323</v>
      </c>
      <c r="E200" t="s">
        <v>1429</v>
      </c>
      <c r="F200">
        <v>1</v>
      </c>
      <c r="G200">
        <v>30</v>
      </c>
      <c r="I200">
        <v>30</v>
      </c>
      <c r="J200">
        <v>21</v>
      </c>
    </row>
    <row r="201" spans="1:10" x14ac:dyDescent="0.25">
      <c r="A201">
        <v>10003</v>
      </c>
      <c r="B201" t="s">
        <v>1299</v>
      </c>
      <c r="C201">
        <v>201</v>
      </c>
      <c r="D201">
        <v>6260079211323</v>
      </c>
      <c r="E201" t="s">
        <v>1429</v>
      </c>
      <c r="F201">
        <v>1</v>
      </c>
      <c r="G201">
        <v>30</v>
      </c>
      <c r="I201">
        <v>30</v>
      </c>
      <c r="J201">
        <v>22</v>
      </c>
    </row>
    <row r="202" spans="1:10" x14ac:dyDescent="0.25">
      <c r="A202">
        <v>10003</v>
      </c>
      <c r="B202" t="s">
        <v>1299</v>
      </c>
      <c r="C202">
        <v>202</v>
      </c>
      <c r="D202">
        <v>6260079211323</v>
      </c>
      <c r="E202" t="s">
        <v>1429</v>
      </c>
      <c r="F202">
        <v>1</v>
      </c>
      <c r="G202">
        <v>30</v>
      </c>
      <c r="I202">
        <v>30</v>
      </c>
      <c r="J202">
        <v>23</v>
      </c>
    </row>
    <row r="203" spans="1:10" x14ac:dyDescent="0.25">
      <c r="A203">
        <v>10003</v>
      </c>
      <c r="B203" t="s">
        <v>1299</v>
      </c>
      <c r="C203">
        <v>203</v>
      </c>
      <c r="D203">
        <v>6260079211323</v>
      </c>
      <c r="E203" t="s">
        <v>1429</v>
      </c>
      <c r="F203">
        <v>1</v>
      </c>
      <c r="G203">
        <v>30</v>
      </c>
      <c r="I203">
        <v>30</v>
      </c>
      <c r="J203">
        <v>24</v>
      </c>
    </row>
    <row r="204" spans="1:10" x14ac:dyDescent="0.25">
      <c r="A204">
        <v>10003</v>
      </c>
      <c r="B204" t="s">
        <v>1299</v>
      </c>
      <c r="C204">
        <v>204</v>
      </c>
      <c r="D204">
        <v>6260079211293</v>
      </c>
      <c r="E204" t="s">
        <v>1431</v>
      </c>
      <c r="F204">
        <v>5</v>
      </c>
      <c r="G204">
        <v>30</v>
      </c>
      <c r="I204">
        <v>150</v>
      </c>
      <c r="J204">
        <v>25</v>
      </c>
    </row>
    <row r="205" spans="1:10" x14ac:dyDescent="0.25">
      <c r="A205">
        <v>10003</v>
      </c>
      <c r="B205" t="s">
        <v>1299</v>
      </c>
      <c r="C205">
        <v>205</v>
      </c>
      <c r="D205">
        <v>6261149146071</v>
      </c>
      <c r="E205" t="s">
        <v>845</v>
      </c>
      <c r="F205">
        <v>6</v>
      </c>
      <c r="G205">
        <v>30</v>
      </c>
      <c r="I205">
        <v>180</v>
      </c>
      <c r="J205">
        <v>26</v>
      </c>
    </row>
    <row r="206" spans="1:10" x14ac:dyDescent="0.25">
      <c r="A206">
        <v>10003</v>
      </c>
      <c r="B206" t="s">
        <v>1299</v>
      </c>
      <c r="C206">
        <v>206</v>
      </c>
      <c r="D206">
        <v>6261149146088</v>
      </c>
      <c r="E206" t="s">
        <v>847</v>
      </c>
      <c r="F206">
        <v>8</v>
      </c>
      <c r="G206">
        <v>30</v>
      </c>
      <c r="I206">
        <v>240</v>
      </c>
      <c r="J206">
        <v>27</v>
      </c>
    </row>
    <row r="207" spans="1:10" x14ac:dyDescent="0.25">
      <c r="A207">
        <v>10003</v>
      </c>
      <c r="B207" t="s">
        <v>1299</v>
      </c>
      <c r="C207">
        <v>207</v>
      </c>
      <c r="D207">
        <v>6260079277138</v>
      </c>
      <c r="E207" t="s">
        <v>1433</v>
      </c>
      <c r="F207">
        <v>11</v>
      </c>
      <c r="G207">
        <v>24</v>
      </c>
      <c r="I207">
        <v>264</v>
      </c>
      <c r="J207">
        <v>28</v>
      </c>
    </row>
    <row r="208" spans="1:10" x14ac:dyDescent="0.25">
      <c r="A208">
        <v>10003</v>
      </c>
      <c r="B208" t="s">
        <v>1299</v>
      </c>
      <c r="C208">
        <v>208</v>
      </c>
      <c r="D208">
        <v>6261149146231</v>
      </c>
      <c r="E208" t="s">
        <v>1460</v>
      </c>
      <c r="F208">
        <v>6</v>
      </c>
      <c r="G208">
        <v>25</v>
      </c>
      <c r="I208">
        <v>150</v>
      </c>
      <c r="J208">
        <v>29</v>
      </c>
    </row>
    <row r="209" spans="1:10" x14ac:dyDescent="0.25">
      <c r="A209">
        <v>10003</v>
      </c>
      <c r="B209" t="s">
        <v>1299</v>
      </c>
      <c r="C209">
        <v>209</v>
      </c>
      <c r="D209">
        <v>7900</v>
      </c>
      <c r="E209" t="s">
        <v>1462</v>
      </c>
      <c r="F209">
        <v>1</v>
      </c>
      <c r="G209">
        <v>280</v>
      </c>
      <c r="I209">
        <v>280</v>
      </c>
      <c r="J209">
        <v>30</v>
      </c>
    </row>
    <row r="210" spans="1:10" x14ac:dyDescent="0.25">
      <c r="A210">
        <v>10003</v>
      </c>
      <c r="B210" t="s">
        <v>1299</v>
      </c>
      <c r="C210">
        <v>210</v>
      </c>
      <c r="D210">
        <v>7500</v>
      </c>
      <c r="E210" t="s">
        <v>1387</v>
      </c>
      <c r="F210">
        <v>54</v>
      </c>
      <c r="G210">
        <v>2</v>
      </c>
      <c r="I210">
        <v>108</v>
      </c>
      <c r="J210">
        <v>31</v>
      </c>
    </row>
    <row r="211" spans="1:10" x14ac:dyDescent="0.25">
      <c r="A211">
        <v>10003</v>
      </c>
      <c r="B211" t="s">
        <v>1299</v>
      </c>
      <c r="C211">
        <v>211</v>
      </c>
      <c r="D211">
        <v>7400</v>
      </c>
      <c r="E211" t="s">
        <v>1385</v>
      </c>
      <c r="F211">
        <v>39</v>
      </c>
      <c r="G211">
        <v>6</v>
      </c>
      <c r="I211">
        <v>234</v>
      </c>
      <c r="J211">
        <v>32</v>
      </c>
    </row>
    <row r="212" spans="1:10" x14ac:dyDescent="0.25">
      <c r="A212">
        <v>10003</v>
      </c>
      <c r="B212" t="s">
        <v>1299</v>
      </c>
      <c r="C212">
        <v>212</v>
      </c>
      <c r="D212">
        <v>5100</v>
      </c>
      <c r="E212" t="s">
        <v>1221</v>
      </c>
      <c r="F212">
        <v>153</v>
      </c>
      <c r="G212">
        <v>2</v>
      </c>
      <c r="I212">
        <v>306</v>
      </c>
      <c r="J212">
        <v>33</v>
      </c>
    </row>
    <row r="213" spans="1:10" x14ac:dyDescent="0.25">
      <c r="A213">
        <v>10003</v>
      </c>
      <c r="B213" t="s">
        <v>1299</v>
      </c>
      <c r="C213">
        <v>213</v>
      </c>
      <c r="D213">
        <v>6263380901228</v>
      </c>
      <c r="E213" t="s">
        <v>1233</v>
      </c>
      <c r="F213">
        <v>6</v>
      </c>
      <c r="G213">
        <v>10</v>
      </c>
      <c r="I213">
        <v>60</v>
      </c>
      <c r="J213">
        <v>34</v>
      </c>
    </row>
    <row r="214" spans="1:10" x14ac:dyDescent="0.25">
      <c r="A214">
        <v>10003</v>
      </c>
      <c r="B214" t="s">
        <v>1299</v>
      </c>
      <c r="C214">
        <v>214</v>
      </c>
      <c r="D214">
        <v>6260109281555</v>
      </c>
      <c r="E214" t="s">
        <v>1252</v>
      </c>
      <c r="F214">
        <v>14</v>
      </c>
      <c r="G214">
        <v>12</v>
      </c>
      <c r="I214">
        <v>168</v>
      </c>
      <c r="J214">
        <v>35</v>
      </c>
    </row>
    <row r="215" spans="1:10" x14ac:dyDescent="0.25">
      <c r="A215">
        <v>10003</v>
      </c>
      <c r="B215" t="s">
        <v>1299</v>
      </c>
      <c r="C215">
        <v>215</v>
      </c>
      <c r="D215">
        <v>5200</v>
      </c>
      <c r="E215" t="s">
        <v>866</v>
      </c>
      <c r="F215">
        <v>265</v>
      </c>
      <c r="G215">
        <v>1</v>
      </c>
      <c r="I215">
        <v>265</v>
      </c>
      <c r="J215">
        <v>36</v>
      </c>
    </row>
    <row r="216" spans="1:10" x14ac:dyDescent="0.25">
      <c r="A216">
        <v>10003</v>
      </c>
      <c r="B216" t="s">
        <v>1299</v>
      </c>
      <c r="C216">
        <v>216</v>
      </c>
      <c r="D216">
        <v>4900</v>
      </c>
      <c r="E216" t="s">
        <v>1381</v>
      </c>
      <c r="F216">
        <v>28</v>
      </c>
      <c r="G216">
        <v>4</v>
      </c>
      <c r="I216">
        <v>112</v>
      </c>
      <c r="J216">
        <v>37</v>
      </c>
    </row>
    <row r="217" spans="1:10" x14ac:dyDescent="0.25">
      <c r="A217">
        <v>10003</v>
      </c>
      <c r="B217" t="s">
        <v>1299</v>
      </c>
      <c r="C217">
        <v>217</v>
      </c>
      <c r="D217">
        <v>5000</v>
      </c>
      <c r="E217" t="s">
        <v>1207</v>
      </c>
      <c r="F217">
        <v>34</v>
      </c>
      <c r="G217">
        <v>2</v>
      </c>
      <c r="I217">
        <v>68</v>
      </c>
      <c r="J217">
        <v>38</v>
      </c>
    </row>
    <row r="218" spans="1:10" x14ac:dyDescent="0.25">
      <c r="A218">
        <v>10003</v>
      </c>
      <c r="B218" t="s">
        <v>1299</v>
      </c>
      <c r="C218">
        <v>218</v>
      </c>
      <c r="D218">
        <v>6260474216800</v>
      </c>
      <c r="E218" t="s">
        <v>1245</v>
      </c>
      <c r="F218">
        <v>30</v>
      </c>
      <c r="G218">
        <v>5</v>
      </c>
      <c r="I218">
        <v>150</v>
      </c>
      <c r="J218">
        <v>39</v>
      </c>
    </row>
    <row r="219" spans="1:10" x14ac:dyDescent="0.25">
      <c r="A219">
        <v>10003</v>
      </c>
      <c r="B219" t="s">
        <v>1299</v>
      </c>
      <c r="C219">
        <v>219</v>
      </c>
      <c r="D219">
        <v>6269948100638</v>
      </c>
      <c r="E219" t="s">
        <v>1199</v>
      </c>
      <c r="F219">
        <v>47</v>
      </c>
      <c r="G219">
        <v>8</v>
      </c>
      <c r="I219">
        <v>376</v>
      </c>
      <c r="J219">
        <v>40</v>
      </c>
    </row>
    <row r="220" spans="1:10" x14ac:dyDescent="0.25">
      <c r="A220">
        <v>10004</v>
      </c>
      <c r="B220" t="s">
        <v>1458</v>
      </c>
      <c r="C220">
        <v>220</v>
      </c>
      <c r="D220">
        <v>6260002931380</v>
      </c>
      <c r="E220" t="s">
        <v>399</v>
      </c>
      <c r="F220">
        <v>1</v>
      </c>
      <c r="G220">
        <v>16</v>
      </c>
      <c r="I220">
        <v>16</v>
      </c>
      <c r="J220">
        <v>7</v>
      </c>
    </row>
    <row r="221" spans="1:10" x14ac:dyDescent="0.25">
      <c r="A221">
        <v>10005</v>
      </c>
      <c r="B221" t="s">
        <v>1299</v>
      </c>
      <c r="C221">
        <v>221</v>
      </c>
      <c r="D221">
        <v>6260474216800</v>
      </c>
      <c r="E221" t="s">
        <v>1245</v>
      </c>
      <c r="F221">
        <v>40</v>
      </c>
      <c r="G221">
        <v>5</v>
      </c>
      <c r="I221">
        <v>200</v>
      </c>
      <c r="J221">
        <v>7</v>
      </c>
    </row>
    <row r="222" spans="1:10" x14ac:dyDescent="0.25">
      <c r="A222">
        <v>10005</v>
      </c>
      <c r="B222" t="s">
        <v>1299</v>
      </c>
      <c r="C222">
        <v>222</v>
      </c>
      <c r="D222">
        <v>6260138002121</v>
      </c>
      <c r="E222" t="s">
        <v>1332</v>
      </c>
      <c r="F222">
        <v>18</v>
      </c>
      <c r="G222">
        <v>10</v>
      </c>
      <c r="I222">
        <v>180</v>
      </c>
      <c r="J222">
        <v>8</v>
      </c>
    </row>
    <row r="223" spans="1:10" x14ac:dyDescent="0.25">
      <c r="A223">
        <v>10005</v>
      </c>
      <c r="B223" t="s">
        <v>1299</v>
      </c>
      <c r="C223">
        <v>223</v>
      </c>
      <c r="D223">
        <v>162240047420017</v>
      </c>
      <c r="E223" t="s">
        <v>1240</v>
      </c>
      <c r="F223">
        <v>1</v>
      </c>
      <c r="G223">
        <v>10</v>
      </c>
      <c r="I223">
        <v>10</v>
      </c>
      <c r="J223">
        <v>9</v>
      </c>
    </row>
    <row r="224" spans="1:10" x14ac:dyDescent="0.25">
      <c r="A224">
        <v>10005</v>
      </c>
      <c r="B224" t="s">
        <v>1299</v>
      </c>
      <c r="C224">
        <v>224</v>
      </c>
      <c r="D224">
        <v>162240047420017</v>
      </c>
      <c r="E224" t="s">
        <v>1240</v>
      </c>
      <c r="F224">
        <v>1</v>
      </c>
      <c r="G224">
        <v>10</v>
      </c>
      <c r="I224">
        <v>10</v>
      </c>
      <c r="J224">
        <v>10</v>
      </c>
    </row>
    <row r="225" spans="1:10" x14ac:dyDescent="0.25">
      <c r="A225">
        <v>10005</v>
      </c>
      <c r="B225" t="s">
        <v>1299</v>
      </c>
      <c r="C225">
        <v>225</v>
      </c>
      <c r="D225">
        <v>8936036022933</v>
      </c>
      <c r="E225" t="s">
        <v>1464</v>
      </c>
      <c r="F225">
        <v>20</v>
      </c>
      <c r="G225">
        <v>8</v>
      </c>
      <c r="I225">
        <v>160</v>
      </c>
      <c r="J225">
        <v>11</v>
      </c>
    </row>
    <row r="226" spans="1:10" x14ac:dyDescent="0.25">
      <c r="A226">
        <v>10005</v>
      </c>
      <c r="B226" t="s">
        <v>1299</v>
      </c>
      <c r="C226">
        <v>226</v>
      </c>
      <c r="D226">
        <v>6260138002169</v>
      </c>
      <c r="E226" t="s">
        <v>1239</v>
      </c>
      <c r="F226">
        <v>11</v>
      </c>
      <c r="G226">
        <v>10</v>
      </c>
      <c r="I226">
        <v>110</v>
      </c>
      <c r="J226">
        <v>12</v>
      </c>
    </row>
    <row r="227" spans="1:10" x14ac:dyDescent="0.25">
      <c r="A227">
        <v>10006</v>
      </c>
      <c r="B227" t="s">
        <v>1299</v>
      </c>
      <c r="C227">
        <v>227</v>
      </c>
      <c r="D227">
        <v>5300</v>
      </c>
      <c r="E227" t="s">
        <v>1208</v>
      </c>
      <c r="F227">
        <v>33</v>
      </c>
      <c r="G227">
        <v>2</v>
      </c>
      <c r="I227">
        <v>66</v>
      </c>
      <c r="J227">
        <v>7</v>
      </c>
    </row>
    <row r="228" spans="1:10" x14ac:dyDescent="0.25">
      <c r="A228">
        <v>10006</v>
      </c>
      <c r="B228" t="s">
        <v>1299</v>
      </c>
      <c r="C228">
        <v>228</v>
      </c>
      <c r="D228">
        <v>6260138002169</v>
      </c>
      <c r="E228" t="s">
        <v>1239</v>
      </c>
      <c r="F228">
        <v>19</v>
      </c>
      <c r="G228">
        <v>10</v>
      </c>
      <c r="I228">
        <v>190</v>
      </c>
      <c r="J228">
        <v>8</v>
      </c>
    </row>
    <row r="229" spans="1:10" x14ac:dyDescent="0.25">
      <c r="A229">
        <v>10006</v>
      </c>
      <c r="B229" t="s">
        <v>1299</v>
      </c>
      <c r="C229">
        <v>229</v>
      </c>
      <c r="D229">
        <v>6260138000011</v>
      </c>
      <c r="E229" t="s">
        <v>866</v>
      </c>
      <c r="F229">
        <v>3</v>
      </c>
      <c r="G229">
        <v>10</v>
      </c>
      <c r="I229">
        <v>30</v>
      </c>
      <c r="J229">
        <v>9</v>
      </c>
    </row>
    <row r="230" spans="1:10" x14ac:dyDescent="0.25">
      <c r="A230">
        <v>10006</v>
      </c>
      <c r="B230" t="s">
        <v>1299</v>
      </c>
      <c r="C230">
        <v>230</v>
      </c>
      <c r="D230">
        <v>6260138002138</v>
      </c>
      <c r="E230" t="s">
        <v>1241</v>
      </c>
      <c r="F230">
        <v>34</v>
      </c>
      <c r="G230">
        <v>10</v>
      </c>
      <c r="I230">
        <v>340</v>
      </c>
      <c r="J230">
        <v>10</v>
      </c>
    </row>
    <row r="231" spans="1:10" x14ac:dyDescent="0.25">
      <c r="A231">
        <v>10006</v>
      </c>
      <c r="B231" t="s">
        <v>1299</v>
      </c>
      <c r="C231">
        <v>231</v>
      </c>
      <c r="D231">
        <v>6261149074541</v>
      </c>
      <c r="E231" t="s">
        <v>1243</v>
      </c>
      <c r="F231">
        <v>1</v>
      </c>
      <c r="G231">
        <v>10</v>
      </c>
      <c r="I231">
        <v>10</v>
      </c>
      <c r="J231">
        <v>11</v>
      </c>
    </row>
    <row r="232" spans="1:10" x14ac:dyDescent="0.25">
      <c r="A232">
        <v>10006</v>
      </c>
      <c r="B232" t="s">
        <v>1299</v>
      </c>
      <c r="C232">
        <v>232</v>
      </c>
      <c r="D232">
        <v>8902061156820</v>
      </c>
      <c r="E232" t="s">
        <v>1263</v>
      </c>
      <c r="F232">
        <v>3</v>
      </c>
      <c r="G232">
        <v>6.5</v>
      </c>
      <c r="I232">
        <v>19.5</v>
      </c>
      <c r="J232">
        <v>12</v>
      </c>
    </row>
    <row r="233" spans="1:10" x14ac:dyDescent="0.25">
      <c r="A233">
        <v>10006</v>
      </c>
      <c r="B233" t="s">
        <v>1299</v>
      </c>
      <c r="C233">
        <v>233</v>
      </c>
      <c r="D233">
        <v>6260138003319</v>
      </c>
      <c r="E233" t="s">
        <v>1258</v>
      </c>
      <c r="F233">
        <v>34</v>
      </c>
      <c r="G233">
        <v>10</v>
      </c>
      <c r="I233">
        <v>340</v>
      </c>
      <c r="J233">
        <v>13</v>
      </c>
    </row>
    <row r="234" spans="1:10" x14ac:dyDescent="0.25">
      <c r="A234">
        <v>10006</v>
      </c>
      <c r="B234" t="s">
        <v>1299</v>
      </c>
      <c r="C234">
        <v>234</v>
      </c>
      <c r="D234">
        <v>6260567198587</v>
      </c>
      <c r="E234" t="s">
        <v>1203</v>
      </c>
      <c r="F234">
        <v>24</v>
      </c>
      <c r="G234">
        <v>12</v>
      </c>
      <c r="I234">
        <v>288</v>
      </c>
      <c r="J234">
        <v>14</v>
      </c>
    </row>
    <row r="235" spans="1:10" x14ac:dyDescent="0.25">
      <c r="A235">
        <v>10006</v>
      </c>
      <c r="B235" t="s">
        <v>1299</v>
      </c>
      <c r="C235">
        <v>235</v>
      </c>
      <c r="D235">
        <v>162230056710017</v>
      </c>
      <c r="E235" t="s">
        <v>1203</v>
      </c>
      <c r="F235">
        <v>24</v>
      </c>
      <c r="G235">
        <v>12</v>
      </c>
      <c r="I235">
        <v>288</v>
      </c>
      <c r="J235">
        <v>15</v>
      </c>
    </row>
    <row r="236" spans="1:10" x14ac:dyDescent="0.25">
      <c r="A236">
        <v>10006</v>
      </c>
      <c r="B236" t="s">
        <v>1299</v>
      </c>
      <c r="C236">
        <v>236</v>
      </c>
      <c r="D236">
        <v>6260567101723</v>
      </c>
      <c r="E236" t="s">
        <v>1466</v>
      </c>
      <c r="F236">
        <v>40</v>
      </c>
      <c r="G236">
        <v>5</v>
      </c>
      <c r="I236">
        <v>200</v>
      </c>
      <c r="J236">
        <v>16</v>
      </c>
    </row>
    <row r="237" spans="1:10" x14ac:dyDescent="0.25">
      <c r="A237">
        <v>10006</v>
      </c>
      <c r="B237" t="s">
        <v>1299</v>
      </c>
      <c r="C237">
        <v>237</v>
      </c>
      <c r="D237">
        <v>1169910018400000</v>
      </c>
      <c r="E237" t="s">
        <v>590</v>
      </c>
      <c r="F237">
        <v>75</v>
      </c>
      <c r="G237">
        <v>1</v>
      </c>
      <c r="I237">
        <v>75</v>
      </c>
      <c r="J237">
        <v>17</v>
      </c>
    </row>
    <row r="238" spans="1:10" x14ac:dyDescent="0.25">
      <c r="A238">
        <v>10006</v>
      </c>
      <c r="B238" t="s">
        <v>1299</v>
      </c>
      <c r="C238">
        <v>238</v>
      </c>
      <c r="D238">
        <v>6260000700025</v>
      </c>
      <c r="E238" t="s">
        <v>1256</v>
      </c>
      <c r="F238">
        <v>9</v>
      </c>
      <c r="G238">
        <v>8</v>
      </c>
      <c r="I238">
        <v>72</v>
      </c>
      <c r="J238">
        <v>18</v>
      </c>
    </row>
    <row r="239" spans="1:10" x14ac:dyDescent="0.25">
      <c r="A239">
        <v>10006</v>
      </c>
      <c r="B239" t="s">
        <v>1299</v>
      </c>
      <c r="C239">
        <v>239</v>
      </c>
      <c r="D239">
        <v>6260000700032</v>
      </c>
      <c r="E239" t="s">
        <v>1257</v>
      </c>
      <c r="F239">
        <v>20</v>
      </c>
      <c r="G239">
        <v>8</v>
      </c>
      <c r="I239">
        <v>160</v>
      </c>
      <c r="J239">
        <v>19</v>
      </c>
    </row>
    <row r="240" spans="1:10" x14ac:dyDescent="0.25">
      <c r="A240">
        <v>10006</v>
      </c>
      <c r="B240" t="s">
        <v>1299</v>
      </c>
      <c r="C240">
        <v>240</v>
      </c>
      <c r="D240">
        <v>5200</v>
      </c>
      <c r="E240" t="s">
        <v>866</v>
      </c>
      <c r="F240">
        <v>90</v>
      </c>
      <c r="G240">
        <v>1</v>
      </c>
      <c r="I240">
        <v>90</v>
      </c>
      <c r="J240">
        <v>20</v>
      </c>
    </row>
    <row r="241" spans="1:10" x14ac:dyDescent="0.25">
      <c r="A241">
        <v>10006</v>
      </c>
      <c r="B241" t="s">
        <v>1299</v>
      </c>
      <c r="C241">
        <v>241</v>
      </c>
      <c r="D241">
        <v>5000</v>
      </c>
      <c r="E241" t="s">
        <v>1207</v>
      </c>
      <c r="F241">
        <v>67</v>
      </c>
      <c r="G241">
        <v>2</v>
      </c>
      <c r="I241">
        <v>134</v>
      </c>
      <c r="J241">
        <v>21</v>
      </c>
    </row>
    <row r="242" spans="1:10" x14ac:dyDescent="0.25">
      <c r="A242">
        <v>10006</v>
      </c>
      <c r="B242" t="s">
        <v>1299</v>
      </c>
      <c r="C242">
        <v>242</v>
      </c>
      <c r="D242">
        <v>6260000771995</v>
      </c>
      <c r="E242" t="s">
        <v>1268</v>
      </c>
      <c r="F242">
        <v>4</v>
      </c>
      <c r="G242">
        <v>25</v>
      </c>
      <c r="I242">
        <v>100</v>
      </c>
      <c r="J242">
        <v>22</v>
      </c>
    </row>
    <row r="243" spans="1:10" x14ac:dyDescent="0.25">
      <c r="A243">
        <v>10006</v>
      </c>
      <c r="B243" t="s">
        <v>1299</v>
      </c>
      <c r="C243">
        <v>243</v>
      </c>
      <c r="D243">
        <v>6200</v>
      </c>
      <c r="E243" t="s">
        <v>381</v>
      </c>
      <c r="F243">
        <v>12</v>
      </c>
      <c r="G243">
        <v>15</v>
      </c>
      <c r="I243">
        <v>180</v>
      </c>
      <c r="J243">
        <v>23</v>
      </c>
    </row>
    <row r="244" spans="1:10" x14ac:dyDescent="0.25">
      <c r="A244">
        <v>10006</v>
      </c>
      <c r="B244" t="s">
        <v>1299</v>
      </c>
      <c r="C244">
        <v>244</v>
      </c>
      <c r="D244">
        <v>1661983229391</v>
      </c>
      <c r="E244" t="s">
        <v>826</v>
      </c>
      <c r="F244">
        <v>1</v>
      </c>
      <c r="G244">
        <v>15</v>
      </c>
      <c r="I244">
        <v>15</v>
      </c>
      <c r="J244">
        <v>24</v>
      </c>
    </row>
    <row r="245" spans="1:10" x14ac:dyDescent="0.25">
      <c r="A245">
        <v>10006</v>
      </c>
      <c r="B245" t="s">
        <v>1299</v>
      </c>
      <c r="C245">
        <v>245</v>
      </c>
      <c r="D245">
        <v>2300</v>
      </c>
      <c r="E245" t="s">
        <v>1029</v>
      </c>
      <c r="F245">
        <v>15</v>
      </c>
      <c r="G245">
        <v>20</v>
      </c>
      <c r="I245">
        <v>300</v>
      </c>
      <c r="J245">
        <v>25</v>
      </c>
    </row>
    <row r="246" spans="1:10" x14ac:dyDescent="0.25">
      <c r="A246">
        <v>10006</v>
      </c>
      <c r="B246" t="s">
        <v>1299</v>
      </c>
      <c r="C246">
        <v>246</v>
      </c>
      <c r="D246">
        <v>6260748000371</v>
      </c>
      <c r="E246" t="s">
        <v>1235</v>
      </c>
      <c r="F246">
        <v>40</v>
      </c>
      <c r="G246">
        <v>7</v>
      </c>
      <c r="I246">
        <v>280</v>
      </c>
      <c r="J246">
        <v>26</v>
      </c>
    </row>
    <row r="247" spans="1:10" x14ac:dyDescent="0.25">
      <c r="A247">
        <v>10006</v>
      </c>
      <c r="B247" t="s">
        <v>1299</v>
      </c>
      <c r="C247">
        <v>247</v>
      </c>
      <c r="D247">
        <v>6263380901228</v>
      </c>
      <c r="E247" t="s">
        <v>1233</v>
      </c>
      <c r="F247">
        <v>24</v>
      </c>
      <c r="G247">
        <v>10</v>
      </c>
      <c r="I247">
        <v>240</v>
      </c>
      <c r="J247">
        <v>27</v>
      </c>
    </row>
    <row r="248" spans="1:10" x14ac:dyDescent="0.25">
      <c r="A248">
        <v>10007</v>
      </c>
      <c r="B248" t="s">
        <v>1458</v>
      </c>
      <c r="C248">
        <v>248</v>
      </c>
      <c r="D248">
        <v>2400</v>
      </c>
      <c r="E248" t="s">
        <v>714</v>
      </c>
      <c r="F248">
        <v>0.77500000000000002</v>
      </c>
      <c r="G248">
        <v>80</v>
      </c>
      <c r="I248">
        <v>62</v>
      </c>
      <c r="J248">
        <v>7</v>
      </c>
    </row>
    <row r="249" spans="1:10" x14ac:dyDescent="0.25">
      <c r="A249">
        <v>10008</v>
      </c>
      <c r="B249" t="s">
        <v>1458</v>
      </c>
      <c r="C249">
        <v>249</v>
      </c>
      <c r="D249">
        <v>6268612401767</v>
      </c>
      <c r="E249" t="s">
        <v>643</v>
      </c>
      <c r="F249">
        <v>1</v>
      </c>
      <c r="G249">
        <v>27</v>
      </c>
      <c r="I249">
        <v>27</v>
      </c>
      <c r="J249">
        <v>7</v>
      </c>
    </row>
    <row r="250" spans="1:10" x14ac:dyDescent="0.25">
      <c r="A250">
        <v>10008</v>
      </c>
      <c r="B250" t="s">
        <v>1458</v>
      </c>
      <c r="C250">
        <v>250</v>
      </c>
      <c r="D250">
        <v>7500</v>
      </c>
      <c r="E250" t="s">
        <v>1387</v>
      </c>
      <c r="F250">
        <v>1</v>
      </c>
      <c r="G250">
        <v>2</v>
      </c>
      <c r="I250">
        <v>2</v>
      </c>
      <c r="J250">
        <v>8</v>
      </c>
    </row>
    <row r="251" spans="1:10" x14ac:dyDescent="0.25">
      <c r="A251">
        <v>10009</v>
      </c>
      <c r="B251" t="s">
        <v>1299</v>
      </c>
      <c r="C251">
        <v>251</v>
      </c>
      <c r="D251">
        <v>6260140300130</v>
      </c>
      <c r="E251" t="s">
        <v>963</v>
      </c>
      <c r="F251">
        <v>7</v>
      </c>
      <c r="G251">
        <v>35</v>
      </c>
      <c r="I251">
        <v>245</v>
      </c>
      <c r="J251">
        <v>7</v>
      </c>
    </row>
    <row r="252" spans="1:10" x14ac:dyDescent="0.25">
      <c r="A252">
        <v>10009</v>
      </c>
      <c r="B252" t="s">
        <v>1299</v>
      </c>
      <c r="C252">
        <v>252</v>
      </c>
      <c r="D252">
        <v>6260140300154</v>
      </c>
      <c r="E252" t="s">
        <v>458</v>
      </c>
      <c r="F252">
        <v>7</v>
      </c>
      <c r="G252">
        <v>35</v>
      </c>
      <c r="I252">
        <v>245</v>
      </c>
      <c r="J252">
        <v>8</v>
      </c>
    </row>
    <row r="253" spans="1:10" x14ac:dyDescent="0.25">
      <c r="A253">
        <v>10009</v>
      </c>
      <c r="B253" t="s">
        <v>1299</v>
      </c>
      <c r="C253">
        <v>253</v>
      </c>
      <c r="D253">
        <v>6260140300338</v>
      </c>
      <c r="E253" t="s">
        <v>963</v>
      </c>
      <c r="F253">
        <v>7</v>
      </c>
      <c r="G253">
        <v>35</v>
      </c>
      <c r="I253">
        <v>245</v>
      </c>
      <c r="J253">
        <v>9</v>
      </c>
    </row>
    <row r="254" spans="1:10" x14ac:dyDescent="0.25">
      <c r="A254">
        <v>10010</v>
      </c>
      <c r="B254" t="s">
        <v>1458</v>
      </c>
      <c r="C254">
        <v>254</v>
      </c>
      <c r="D254">
        <v>6265554201035</v>
      </c>
      <c r="E254" t="s">
        <v>1436</v>
      </c>
      <c r="F254">
        <v>1</v>
      </c>
      <c r="G254">
        <v>750</v>
      </c>
      <c r="I254">
        <v>750</v>
      </c>
      <c r="J254">
        <v>7</v>
      </c>
    </row>
    <row r="255" spans="1:10" x14ac:dyDescent="0.25">
      <c r="A255">
        <v>10011</v>
      </c>
      <c r="B255" t="s">
        <v>1458</v>
      </c>
      <c r="C255">
        <v>255</v>
      </c>
      <c r="D255">
        <v>6260308304444</v>
      </c>
      <c r="E255" t="s">
        <v>1062</v>
      </c>
      <c r="F255">
        <v>1</v>
      </c>
      <c r="G255">
        <v>35</v>
      </c>
      <c r="I255">
        <v>35</v>
      </c>
      <c r="J255">
        <v>7</v>
      </c>
    </row>
    <row r="256" spans="1:10" x14ac:dyDescent="0.25">
      <c r="A256">
        <v>10012</v>
      </c>
      <c r="B256" t="s">
        <v>1458</v>
      </c>
      <c r="C256">
        <v>256</v>
      </c>
      <c r="D256">
        <v>6261178017779</v>
      </c>
      <c r="E256" t="s">
        <v>1298</v>
      </c>
      <c r="F256">
        <v>1</v>
      </c>
      <c r="G256">
        <v>15</v>
      </c>
      <c r="I256">
        <v>15</v>
      </c>
      <c r="J256">
        <v>7</v>
      </c>
    </row>
    <row r="257" spans="1:10" x14ac:dyDescent="0.25">
      <c r="A257">
        <v>10012</v>
      </c>
      <c r="B257" t="s">
        <v>1458</v>
      </c>
      <c r="C257">
        <v>257</v>
      </c>
      <c r="D257">
        <v>6262723900058</v>
      </c>
      <c r="E257" t="s">
        <v>1406</v>
      </c>
      <c r="F257">
        <v>1</v>
      </c>
      <c r="G257">
        <v>72</v>
      </c>
      <c r="I257">
        <v>72</v>
      </c>
      <c r="J257">
        <v>8</v>
      </c>
    </row>
    <row r="258" spans="1:10" x14ac:dyDescent="0.25">
      <c r="A258">
        <v>10013</v>
      </c>
      <c r="B258" t="s">
        <v>1458</v>
      </c>
      <c r="C258">
        <v>258</v>
      </c>
      <c r="D258">
        <v>6269948100638</v>
      </c>
      <c r="E258" t="s">
        <v>1199</v>
      </c>
      <c r="F258">
        <v>1</v>
      </c>
      <c r="G258">
        <v>8</v>
      </c>
      <c r="I258">
        <v>8</v>
      </c>
      <c r="J258">
        <v>7</v>
      </c>
    </row>
    <row r="259" spans="1:10" x14ac:dyDescent="0.25">
      <c r="A259">
        <v>10014</v>
      </c>
      <c r="B259" t="s">
        <v>1458</v>
      </c>
      <c r="C259">
        <v>259</v>
      </c>
      <c r="D259">
        <v>6269948100638</v>
      </c>
      <c r="E259" t="s">
        <v>1199</v>
      </c>
      <c r="F259">
        <v>2</v>
      </c>
      <c r="G259">
        <v>8</v>
      </c>
      <c r="I259">
        <v>16</v>
      </c>
      <c r="J259">
        <v>7</v>
      </c>
    </row>
    <row r="260" spans="1:10" x14ac:dyDescent="0.25">
      <c r="A260">
        <v>10014</v>
      </c>
      <c r="B260" t="s">
        <v>1458</v>
      </c>
      <c r="C260">
        <v>260</v>
      </c>
      <c r="D260">
        <v>6263186900012</v>
      </c>
      <c r="E260" t="s">
        <v>1248</v>
      </c>
      <c r="F260">
        <v>2</v>
      </c>
      <c r="G260">
        <v>2</v>
      </c>
      <c r="I260">
        <v>4</v>
      </c>
      <c r="J260">
        <v>8</v>
      </c>
    </row>
    <row r="261" spans="1:10" x14ac:dyDescent="0.25">
      <c r="A261">
        <v>10015</v>
      </c>
      <c r="B261" t="s">
        <v>1458</v>
      </c>
      <c r="C261">
        <v>261</v>
      </c>
      <c r="D261">
        <v>6269948100638</v>
      </c>
      <c r="E261" t="s">
        <v>1199</v>
      </c>
      <c r="F261">
        <v>1</v>
      </c>
      <c r="G261">
        <v>8</v>
      </c>
      <c r="I261">
        <v>8</v>
      </c>
      <c r="J261">
        <v>7</v>
      </c>
    </row>
    <row r="262" spans="1:10" x14ac:dyDescent="0.25">
      <c r="A262">
        <v>10015</v>
      </c>
      <c r="B262" t="s">
        <v>1458</v>
      </c>
      <c r="C262">
        <v>262</v>
      </c>
      <c r="D262">
        <v>7500</v>
      </c>
      <c r="E262" t="s">
        <v>1387</v>
      </c>
      <c r="F262">
        <v>1</v>
      </c>
      <c r="G262">
        <v>2</v>
      </c>
      <c r="I262">
        <v>2</v>
      </c>
      <c r="J262">
        <v>8</v>
      </c>
    </row>
    <row r="263" spans="1:10" x14ac:dyDescent="0.25">
      <c r="A263">
        <v>10016</v>
      </c>
      <c r="B263" t="s">
        <v>1458</v>
      </c>
      <c r="C263">
        <v>263</v>
      </c>
      <c r="D263">
        <v>7400</v>
      </c>
      <c r="E263" t="s">
        <v>1385</v>
      </c>
      <c r="F263">
        <v>8</v>
      </c>
      <c r="G263">
        <v>6</v>
      </c>
      <c r="I263">
        <v>48</v>
      </c>
      <c r="J263">
        <v>7</v>
      </c>
    </row>
    <row r="264" spans="1:10" x14ac:dyDescent="0.25">
      <c r="A264">
        <v>10017</v>
      </c>
      <c r="B264" t="s">
        <v>1458</v>
      </c>
      <c r="C264">
        <v>264</v>
      </c>
      <c r="D264">
        <v>6261422503157</v>
      </c>
      <c r="E264" t="s">
        <v>956</v>
      </c>
      <c r="F264">
        <v>2</v>
      </c>
      <c r="G264">
        <v>30</v>
      </c>
      <c r="I264">
        <v>60</v>
      </c>
      <c r="J264">
        <v>7</v>
      </c>
    </row>
    <row r="265" spans="1:10" x14ac:dyDescent="0.25">
      <c r="A265">
        <v>10018</v>
      </c>
      <c r="B265" t="s">
        <v>1458</v>
      </c>
      <c r="C265">
        <v>265</v>
      </c>
      <c r="D265">
        <v>6261178574029</v>
      </c>
      <c r="E265" t="s">
        <v>1412</v>
      </c>
      <c r="F265">
        <v>1</v>
      </c>
      <c r="G265">
        <v>25</v>
      </c>
      <c r="I265">
        <v>25</v>
      </c>
      <c r="J265">
        <v>7</v>
      </c>
    </row>
    <row r="266" spans="1:10" x14ac:dyDescent="0.25">
      <c r="A266">
        <v>10018</v>
      </c>
      <c r="B266" t="s">
        <v>1458</v>
      </c>
      <c r="C266">
        <v>266</v>
      </c>
      <c r="D266">
        <v>6269948100638</v>
      </c>
      <c r="E266" t="s">
        <v>1199</v>
      </c>
      <c r="F266">
        <v>1</v>
      </c>
      <c r="G266">
        <v>8</v>
      </c>
      <c r="I266">
        <v>8</v>
      </c>
      <c r="J266">
        <v>8</v>
      </c>
    </row>
    <row r="267" spans="1:10" x14ac:dyDescent="0.25">
      <c r="A267">
        <v>10019</v>
      </c>
      <c r="B267" t="s">
        <v>1458</v>
      </c>
      <c r="C267">
        <v>267</v>
      </c>
      <c r="D267">
        <v>6269948100638</v>
      </c>
      <c r="E267" t="s">
        <v>1199</v>
      </c>
      <c r="F267">
        <v>3</v>
      </c>
      <c r="G267">
        <v>8</v>
      </c>
      <c r="I267">
        <v>24</v>
      </c>
      <c r="J267">
        <v>7</v>
      </c>
    </row>
    <row r="268" spans="1:10" x14ac:dyDescent="0.25">
      <c r="A268">
        <v>10019</v>
      </c>
      <c r="B268" t="s">
        <v>1458</v>
      </c>
      <c r="C268">
        <v>268</v>
      </c>
      <c r="D268">
        <v>5200</v>
      </c>
      <c r="E268" t="s">
        <v>866</v>
      </c>
      <c r="F268">
        <v>1</v>
      </c>
      <c r="G268">
        <v>1</v>
      </c>
      <c r="I268">
        <v>1</v>
      </c>
      <c r="J268">
        <v>8</v>
      </c>
    </row>
    <row r="269" spans="1:10" x14ac:dyDescent="0.25">
      <c r="A269">
        <v>10020</v>
      </c>
      <c r="B269" t="s">
        <v>1299</v>
      </c>
      <c r="C269">
        <v>269</v>
      </c>
      <c r="D269">
        <v>6263812801249</v>
      </c>
      <c r="E269" t="s">
        <v>1168</v>
      </c>
      <c r="F269">
        <v>13</v>
      </c>
      <c r="G269">
        <v>20</v>
      </c>
      <c r="I269">
        <v>260</v>
      </c>
      <c r="J269">
        <v>7</v>
      </c>
    </row>
    <row r="270" spans="1:10" x14ac:dyDescent="0.25">
      <c r="A270">
        <v>10020</v>
      </c>
      <c r="B270" t="s">
        <v>1299</v>
      </c>
      <c r="C270">
        <v>270</v>
      </c>
      <c r="D270">
        <v>6261847503275</v>
      </c>
      <c r="E270" t="s">
        <v>1090</v>
      </c>
      <c r="F270">
        <v>33</v>
      </c>
      <c r="G270">
        <v>18</v>
      </c>
      <c r="I270">
        <v>594</v>
      </c>
      <c r="J270">
        <v>8</v>
      </c>
    </row>
    <row r="271" spans="1:10" x14ac:dyDescent="0.25">
      <c r="A271">
        <v>10020</v>
      </c>
      <c r="B271" t="s">
        <v>1299</v>
      </c>
      <c r="C271">
        <v>271</v>
      </c>
      <c r="D271">
        <v>6261847503244</v>
      </c>
      <c r="E271" t="s">
        <v>598</v>
      </c>
      <c r="F271">
        <v>25</v>
      </c>
      <c r="G271">
        <v>18</v>
      </c>
      <c r="I271">
        <v>450</v>
      </c>
      <c r="J271">
        <v>9</v>
      </c>
    </row>
    <row r="272" spans="1:10" x14ac:dyDescent="0.25">
      <c r="A272">
        <v>10021</v>
      </c>
      <c r="B272" t="s">
        <v>1458</v>
      </c>
      <c r="C272">
        <v>272</v>
      </c>
      <c r="D272">
        <v>2600</v>
      </c>
      <c r="E272" t="s">
        <v>1034</v>
      </c>
      <c r="F272">
        <v>0.19</v>
      </c>
      <c r="G272">
        <v>110</v>
      </c>
      <c r="I272">
        <v>20.9</v>
      </c>
      <c r="J272">
        <v>7</v>
      </c>
    </row>
    <row r="273" spans="1:10" x14ac:dyDescent="0.25">
      <c r="A273">
        <v>10021</v>
      </c>
      <c r="B273" t="s">
        <v>1458</v>
      </c>
      <c r="C273">
        <v>273</v>
      </c>
      <c r="D273">
        <v>6269948100638</v>
      </c>
      <c r="E273" t="s">
        <v>1199</v>
      </c>
      <c r="F273">
        <v>5</v>
      </c>
      <c r="G273">
        <v>8</v>
      </c>
      <c r="I273">
        <v>40</v>
      </c>
      <c r="J273">
        <v>8</v>
      </c>
    </row>
    <row r="274" spans="1:10" x14ac:dyDescent="0.25">
      <c r="A274">
        <v>10021</v>
      </c>
      <c r="B274" t="s">
        <v>1458</v>
      </c>
      <c r="C274">
        <v>274</v>
      </c>
      <c r="D274">
        <v>5200</v>
      </c>
      <c r="E274" t="s">
        <v>866</v>
      </c>
      <c r="F274">
        <v>1</v>
      </c>
      <c r="G274">
        <v>1</v>
      </c>
      <c r="I274">
        <v>1</v>
      </c>
      <c r="J274">
        <v>9</v>
      </c>
    </row>
    <row r="275" spans="1:10" x14ac:dyDescent="0.25">
      <c r="A275">
        <v>10020</v>
      </c>
      <c r="B275" t="s">
        <v>1299</v>
      </c>
      <c r="C275">
        <v>275</v>
      </c>
      <c r="D275">
        <v>6261178411010</v>
      </c>
      <c r="E275" t="s">
        <v>1186</v>
      </c>
      <c r="F275">
        <v>5</v>
      </c>
      <c r="G275">
        <v>15</v>
      </c>
      <c r="I275">
        <v>75</v>
      </c>
      <c r="J275">
        <v>10</v>
      </c>
    </row>
    <row r="276" spans="1:10" x14ac:dyDescent="0.25">
      <c r="A276">
        <v>10020</v>
      </c>
      <c r="B276" t="s">
        <v>1299</v>
      </c>
      <c r="C276">
        <v>276</v>
      </c>
      <c r="D276">
        <v>6260002926379</v>
      </c>
      <c r="E276" t="s">
        <v>1422</v>
      </c>
      <c r="F276">
        <v>4</v>
      </c>
      <c r="G276">
        <v>21</v>
      </c>
      <c r="I276">
        <v>84</v>
      </c>
      <c r="J276">
        <v>11</v>
      </c>
    </row>
    <row r="277" spans="1:10" x14ac:dyDescent="0.25">
      <c r="A277">
        <v>10020</v>
      </c>
      <c r="B277" t="s">
        <v>1299</v>
      </c>
      <c r="C277">
        <v>277</v>
      </c>
      <c r="D277">
        <v>6260543504289</v>
      </c>
      <c r="E277" t="s">
        <v>698</v>
      </c>
      <c r="F277">
        <v>4</v>
      </c>
      <c r="G277">
        <v>15</v>
      </c>
      <c r="I277">
        <v>60</v>
      </c>
      <c r="J277">
        <v>12</v>
      </c>
    </row>
    <row r="278" spans="1:10" x14ac:dyDescent="0.25">
      <c r="A278">
        <v>10020</v>
      </c>
      <c r="B278" t="s">
        <v>1299</v>
      </c>
      <c r="C278">
        <v>278</v>
      </c>
      <c r="D278">
        <v>162900054350642</v>
      </c>
      <c r="E278" t="s">
        <v>698</v>
      </c>
      <c r="F278">
        <v>4</v>
      </c>
      <c r="G278">
        <v>15</v>
      </c>
      <c r="I278">
        <v>60</v>
      </c>
      <c r="J278">
        <v>13</v>
      </c>
    </row>
    <row r="279" spans="1:10" x14ac:dyDescent="0.25">
      <c r="A279">
        <v>10020</v>
      </c>
      <c r="B279" t="s">
        <v>1299</v>
      </c>
      <c r="C279">
        <v>279</v>
      </c>
      <c r="D279">
        <v>6261178014334</v>
      </c>
      <c r="E279" t="s">
        <v>1096</v>
      </c>
      <c r="F279">
        <v>13</v>
      </c>
      <c r="G279">
        <v>4</v>
      </c>
      <c r="I279">
        <v>52</v>
      </c>
      <c r="J279">
        <v>14</v>
      </c>
    </row>
    <row r="280" spans="1:10" x14ac:dyDescent="0.25">
      <c r="A280">
        <v>10020</v>
      </c>
      <c r="B280" t="s">
        <v>1299</v>
      </c>
      <c r="C280">
        <v>280</v>
      </c>
      <c r="D280">
        <v>6260002926348</v>
      </c>
      <c r="E280" t="s">
        <v>1108</v>
      </c>
      <c r="F280">
        <v>12</v>
      </c>
      <c r="G280">
        <v>18</v>
      </c>
      <c r="I280">
        <v>216</v>
      </c>
      <c r="J280">
        <v>15</v>
      </c>
    </row>
    <row r="281" spans="1:10" x14ac:dyDescent="0.25">
      <c r="A281">
        <v>10020</v>
      </c>
      <c r="B281" t="s">
        <v>1299</v>
      </c>
      <c r="C281">
        <v>281</v>
      </c>
      <c r="D281">
        <v>6260002926362</v>
      </c>
      <c r="E281" t="s">
        <v>1394</v>
      </c>
      <c r="F281">
        <v>17</v>
      </c>
      <c r="G281">
        <v>18</v>
      </c>
      <c r="I281">
        <v>306</v>
      </c>
      <c r="J281">
        <v>16</v>
      </c>
    </row>
    <row r="282" spans="1:10" x14ac:dyDescent="0.25">
      <c r="A282">
        <v>10020</v>
      </c>
      <c r="B282" t="s">
        <v>1299</v>
      </c>
      <c r="C282">
        <v>282</v>
      </c>
      <c r="D282">
        <v>6265663103565</v>
      </c>
      <c r="E282" t="s">
        <v>329</v>
      </c>
      <c r="F282">
        <v>13</v>
      </c>
      <c r="G282">
        <v>4</v>
      </c>
      <c r="I282">
        <v>52</v>
      </c>
      <c r="J282">
        <v>17</v>
      </c>
    </row>
    <row r="283" spans="1:10" x14ac:dyDescent="0.25">
      <c r="A283">
        <v>10020</v>
      </c>
      <c r="B283" t="s">
        <v>1299</v>
      </c>
      <c r="C283">
        <v>283</v>
      </c>
      <c r="D283">
        <v>6263812800334</v>
      </c>
      <c r="E283" t="s">
        <v>1094</v>
      </c>
      <c r="F283">
        <v>19</v>
      </c>
      <c r="G283">
        <v>15</v>
      </c>
      <c r="I283">
        <v>285</v>
      </c>
      <c r="J283">
        <v>18</v>
      </c>
    </row>
    <row r="284" spans="1:10" x14ac:dyDescent="0.25">
      <c r="A284">
        <v>10020</v>
      </c>
      <c r="B284" t="s">
        <v>1299</v>
      </c>
      <c r="C284">
        <v>284</v>
      </c>
      <c r="D284">
        <v>6260053186333</v>
      </c>
      <c r="E284" t="s">
        <v>1346</v>
      </c>
      <c r="F284">
        <v>20</v>
      </c>
      <c r="G284">
        <v>15</v>
      </c>
      <c r="I284">
        <v>300</v>
      </c>
      <c r="J284">
        <v>19</v>
      </c>
    </row>
    <row r="285" spans="1:10" x14ac:dyDescent="0.25">
      <c r="A285">
        <v>10020</v>
      </c>
      <c r="B285" t="s">
        <v>1299</v>
      </c>
      <c r="C285">
        <v>285</v>
      </c>
      <c r="D285">
        <v>6260053185640</v>
      </c>
      <c r="E285" t="s">
        <v>1344</v>
      </c>
      <c r="F285">
        <v>105</v>
      </c>
      <c r="G285">
        <v>10.5</v>
      </c>
      <c r="I285">
        <v>1102.5</v>
      </c>
      <c r="J285">
        <v>20</v>
      </c>
    </row>
    <row r="286" spans="1:10" x14ac:dyDescent="0.25">
      <c r="A286">
        <v>10020</v>
      </c>
      <c r="B286" t="s">
        <v>1299</v>
      </c>
      <c r="C286">
        <v>286</v>
      </c>
      <c r="D286">
        <v>6260053186241</v>
      </c>
      <c r="E286" t="s">
        <v>1179</v>
      </c>
      <c r="F286">
        <v>9</v>
      </c>
      <c r="G286">
        <v>23</v>
      </c>
      <c r="I286">
        <v>207</v>
      </c>
      <c r="J286">
        <v>21</v>
      </c>
    </row>
    <row r="287" spans="1:10" x14ac:dyDescent="0.25">
      <c r="A287">
        <v>10020</v>
      </c>
      <c r="B287" t="s">
        <v>1299</v>
      </c>
      <c r="C287">
        <v>287</v>
      </c>
      <c r="D287">
        <v>6260575904309</v>
      </c>
      <c r="E287" t="s">
        <v>1098</v>
      </c>
      <c r="F287">
        <v>22</v>
      </c>
      <c r="G287">
        <v>10</v>
      </c>
      <c r="I287">
        <v>220</v>
      </c>
      <c r="J287">
        <v>22</v>
      </c>
    </row>
    <row r="288" spans="1:10" x14ac:dyDescent="0.25">
      <c r="A288">
        <v>10020</v>
      </c>
      <c r="B288" t="s">
        <v>1299</v>
      </c>
      <c r="C288">
        <v>288</v>
      </c>
      <c r="D288">
        <v>6260575904279</v>
      </c>
      <c r="E288" t="s">
        <v>1102</v>
      </c>
      <c r="F288">
        <v>16</v>
      </c>
      <c r="G288">
        <v>10</v>
      </c>
      <c r="I288">
        <v>160</v>
      </c>
      <c r="J288">
        <v>23</v>
      </c>
    </row>
    <row r="289" spans="1:10" x14ac:dyDescent="0.25">
      <c r="A289">
        <v>10020</v>
      </c>
      <c r="B289" t="s">
        <v>1299</v>
      </c>
      <c r="C289">
        <v>289</v>
      </c>
      <c r="D289">
        <v>6260543505682</v>
      </c>
      <c r="E289" t="s">
        <v>1425</v>
      </c>
      <c r="F289">
        <v>1</v>
      </c>
      <c r="G289">
        <v>1.8</v>
      </c>
      <c r="I289">
        <v>1.8</v>
      </c>
      <c r="J289">
        <v>24</v>
      </c>
    </row>
    <row r="290" spans="1:10" x14ac:dyDescent="0.25">
      <c r="A290">
        <v>10020</v>
      </c>
      <c r="B290" t="s">
        <v>1299</v>
      </c>
      <c r="C290">
        <v>290</v>
      </c>
      <c r="D290">
        <v>162900054350821</v>
      </c>
      <c r="E290" t="s">
        <v>1425</v>
      </c>
      <c r="F290">
        <v>52</v>
      </c>
      <c r="G290">
        <v>4</v>
      </c>
      <c r="I290">
        <v>208</v>
      </c>
      <c r="J290">
        <v>25</v>
      </c>
    </row>
    <row r="291" spans="1:10" x14ac:dyDescent="0.25">
      <c r="A291">
        <v>10020</v>
      </c>
      <c r="B291" t="s">
        <v>1299</v>
      </c>
      <c r="C291">
        <v>291</v>
      </c>
      <c r="D291">
        <v>6260575904330</v>
      </c>
      <c r="E291" t="s">
        <v>1104</v>
      </c>
      <c r="F291">
        <v>7</v>
      </c>
      <c r="G291">
        <v>10</v>
      </c>
      <c r="I291">
        <v>70</v>
      </c>
      <c r="J291">
        <v>26</v>
      </c>
    </row>
    <row r="292" spans="1:10" x14ac:dyDescent="0.25">
      <c r="A292">
        <v>10020</v>
      </c>
      <c r="B292" t="s">
        <v>1299</v>
      </c>
      <c r="C292">
        <v>292</v>
      </c>
      <c r="D292">
        <v>6260575900769</v>
      </c>
      <c r="E292" t="s">
        <v>1092</v>
      </c>
      <c r="F292">
        <v>17</v>
      </c>
      <c r="G292">
        <v>5</v>
      </c>
      <c r="I292">
        <v>85</v>
      </c>
      <c r="J292">
        <v>27</v>
      </c>
    </row>
    <row r="293" spans="1:10" x14ac:dyDescent="0.25">
      <c r="A293">
        <v>10020</v>
      </c>
      <c r="B293" t="s">
        <v>1299</v>
      </c>
      <c r="C293">
        <v>293</v>
      </c>
      <c r="D293">
        <v>6260575902312</v>
      </c>
      <c r="E293" t="s">
        <v>1452</v>
      </c>
      <c r="F293">
        <v>9</v>
      </c>
      <c r="G293">
        <v>5</v>
      </c>
      <c r="I293">
        <v>45</v>
      </c>
      <c r="J293">
        <v>28</v>
      </c>
    </row>
    <row r="294" spans="1:10" x14ac:dyDescent="0.25">
      <c r="A294">
        <v>10020</v>
      </c>
      <c r="B294" t="s">
        <v>1299</v>
      </c>
      <c r="C294">
        <v>294</v>
      </c>
      <c r="D294">
        <v>6260543505668</v>
      </c>
      <c r="E294" t="s">
        <v>1183</v>
      </c>
      <c r="F294">
        <v>8</v>
      </c>
      <c r="G294">
        <v>5</v>
      </c>
      <c r="I294">
        <v>40</v>
      </c>
      <c r="J294">
        <v>29</v>
      </c>
    </row>
    <row r="295" spans="1:10" x14ac:dyDescent="0.25">
      <c r="A295">
        <v>10020</v>
      </c>
      <c r="B295" t="s">
        <v>1299</v>
      </c>
      <c r="C295">
        <v>295</v>
      </c>
      <c r="D295">
        <v>6265663103961</v>
      </c>
      <c r="E295" t="s">
        <v>1184</v>
      </c>
      <c r="F295">
        <v>2</v>
      </c>
      <c r="G295">
        <v>15</v>
      </c>
      <c r="I295">
        <v>30</v>
      </c>
      <c r="J295">
        <v>30</v>
      </c>
    </row>
    <row r="296" spans="1:10" x14ac:dyDescent="0.25">
      <c r="A296">
        <v>10020</v>
      </c>
      <c r="B296" t="s">
        <v>1299</v>
      </c>
      <c r="C296">
        <v>296</v>
      </c>
      <c r="D296">
        <v>6260543503855</v>
      </c>
      <c r="E296" t="s">
        <v>239</v>
      </c>
      <c r="F296">
        <v>1</v>
      </c>
      <c r="G296">
        <v>4.5</v>
      </c>
      <c r="I296">
        <v>4.5</v>
      </c>
      <c r="J296">
        <v>31</v>
      </c>
    </row>
    <row r="297" spans="1:10" x14ac:dyDescent="0.25">
      <c r="A297">
        <v>10020</v>
      </c>
      <c r="B297" t="s">
        <v>1299</v>
      </c>
      <c r="C297">
        <v>297</v>
      </c>
      <c r="D297">
        <v>162900054350626</v>
      </c>
      <c r="E297" t="s">
        <v>239</v>
      </c>
      <c r="F297">
        <v>90</v>
      </c>
      <c r="G297">
        <v>5</v>
      </c>
      <c r="I297">
        <v>450</v>
      </c>
      <c r="J297">
        <v>32</v>
      </c>
    </row>
    <row r="298" spans="1:10" x14ac:dyDescent="0.25">
      <c r="A298">
        <v>10020</v>
      </c>
      <c r="B298" t="s">
        <v>1299</v>
      </c>
      <c r="C298">
        <v>298</v>
      </c>
      <c r="D298">
        <v>6265663104265</v>
      </c>
      <c r="E298" t="s">
        <v>1338</v>
      </c>
      <c r="F298">
        <v>15</v>
      </c>
      <c r="G298">
        <v>10</v>
      </c>
      <c r="I298">
        <v>150</v>
      </c>
      <c r="J298">
        <v>33</v>
      </c>
    </row>
    <row r="299" spans="1:10" x14ac:dyDescent="0.25">
      <c r="A299">
        <v>10020</v>
      </c>
      <c r="B299" t="s">
        <v>1299</v>
      </c>
      <c r="C299">
        <v>299</v>
      </c>
      <c r="D299">
        <v>6260469900509</v>
      </c>
      <c r="E299" t="s">
        <v>1115</v>
      </c>
      <c r="F299">
        <v>7</v>
      </c>
      <c r="G299">
        <v>10</v>
      </c>
      <c r="I299">
        <v>70</v>
      </c>
      <c r="J299">
        <v>34</v>
      </c>
    </row>
    <row r="300" spans="1:10" x14ac:dyDescent="0.25">
      <c r="A300">
        <v>10020</v>
      </c>
      <c r="B300" t="s">
        <v>1299</v>
      </c>
      <c r="C300">
        <v>300</v>
      </c>
      <c r="D300">
        <v>162510046990021</v>
      </c>
      <c r="E300" t="s">
        <v>1115</v>
      </c>
      <c r="F300">
        <v>7</v>
      </c>
      <c r="G300">
        <v>10</v>
      </c>
      <c r="I300">
        <v>70</v>
      </c>
      <c r="J300">
        <v>35</v>
      </c>
    </row>
    <row r="301" spans="1:10" x14ac:dyDescent="0.25">
      <c r="A301">
        <v>10020</v>
      </c>
      <c r="B301" t="s">
        <v>1299</v>
      </c>
      <c r="C301">
        <v>301</v>
      </c>
      <c r="D301">
        <v>6260469900110</v>
      </c>
      <c r="E301" t="s">
        <v>1124</v>
      </c>
      <c r="F301">
        <v>17</v>
      </c>
      <c r="G301">
        <v>7</v>
      </c>
      <c r="I301">
        <v>119</v>
      </c>
      <c r="J301">
        <v>36</v>
      </c>
    </row>
    <row r="302" spans="1:10" x14ac:dyDescent="0.25">
      <c r="A302">
        <v>10020</v>
      </c>
      <c r="B302" t="s">
        <v>1299</v>
      </c>
      <c r="C302">
        <v>302</v>
      </c>
      <c r="D302">
        <v>162510046990122</v>
      </c>
      <c r="E302" t="s">
        <v>1124</v>
      </c>
      <c r="F302">
        <v>17</v>
      </c>
      <c r="G302">
        <v>7</v>
      </c>
      <c r="I302">
        <v>119</v>
      </c>
      <c r="J302">
        <v>37</v>
      </c>
    </row>
    <row r="303" spans="1:10" x14ac:dyDescent="0.25">
      <c r="A303">
        <v>10020</v>
      </c>
      <c r="B303" t="s">
        <v>1299</v>
      </c>
      <c r="C303">
        <v>303</v>
      </c>
      <c r="D303">
        <v>6261149024867</v>
      </c>
      <c r="E303" t="s">
        <v>1470</v>
      </c>
      <c r="F303">
        <v>19</v>
      </c>
      <c r="G303">
        <v>10</v>
      </c>
      <c r="I303">
        <v>190</v>
      </c>
      <c r="J303">
        <v>38</v>
      </c>
    </row>
    <row r="304" spans="1:10" x14ac:dyDescent="0.25">
      <c r="A304">
        <v>10020</v>
      </c>
      <c r="B304" t="s">
        <v>1299</v>
      </c>
      <c r="C304">
        <v>304</v>
      </c>
      <c r="D304">
        <v>6260176502508</v>
      </c>
      <c r="E304" t="s">
        <v>1119</v>
      </c>
      <c r="F304">
        <v>76</v>
      </c>
      <c r="G304">
        <v>3.1</v>
      </c>
      <c r="I304">
        <v>235.6</v>
      </c>
      <c r="J304">
        <v>39</v>
      </c>
    </row>
    <row r="305" spans="1:10" x14ac:dyDescent="0.25">
      <c r="A305">
        <v>10020</v>
      </c>
      <c r="B305" t="s">
        <v>1299</v>
      </c>
      <c r="C305">
        <v>305</v>
      </c>
      <c r="D305">
        <v>162300017650160</v>
      </c>
      <c r="E305" t="s">
        <v>1119</v>
      </c>
      <c r="F305">
        <v>76</v>
      </c>
      <c r="G305">
        <v>3.1</v>
      </c>
      <c r="I305">
        <v>235.6</v>
      </c>
      <c r="J305">
        <v>40</v>
      </c>
    </row>
    <row r="306" spans="1:10" x14ac:dyDescent="0.25">
      <c r="A306">
        <v>10020</v>
      </c>
      <c r="B306" t="s">
        <v>1299</v>
      </c>
      <c r="C306">
        <v>306</v>
      </c>
      <c r="D306">
        <v>6269100604011</v>
      </c>
      <c r="E306" t="s">
        <v>1082</v>
      </c>
      <c r="F306">
        <v>3</v>
      </c>
      <c r="G306">
        <v>15</v>
      </c>
      <c r="I306">
        <v>45</v>
      </c>
      <c r="J306">
        <v>41</v>
      </c>
    </row>
    <row r="307" spans="1:10" x14ac:dyDescent="0.25">
      <c r="A307">
        <v>10020</v>
      </c>
      <c r="B307" t="s">
        <v>1299</v>
      </c>
      <c r="C307">
        <v>307</v>
      </c>
      <c r="D307">
        <v>162810910060001</v>
      </c>
      <c r="E307" t="s">
        <v>1082</v>
      </c>
      <c r="F307">
        <v>3</v>
      </c>
      <c r="G307">
        <v>15</v>
      </c>
      <c r="I307">
        <v>45</v>
      </c>
      <c r="J307">
        <v>42</v>
      </c>
    </row>
    <row r="308" spans="1:10" x14ac:dyDescent="0.25">
      <c r="A308">
        <v>10020</v>
      </c>
      <c r="B308" t="s">
        <v>1299</v>
      </c>
      <c r="C308">
        <v>308</v>
      </c>
      <c r="D308">
        <v>6269100604028</v>
      </c>
      <c r="E308" t="s">
        <v>1085</v>
      </c>
      <c r="F308">
        <v>3</v>
      </c>
      <c r="G308">
        <v>15</v>
      </c>
      <c r="I308">
        <v>45</v>
      </c>
      <c r="J308">
        <v>43</v>
      </c>
    </row>
    <row r="309" spans="1:10" x14ac:dyDescent="0.25">
      <c r="A309">
        <v>10020</v>
      </c>
      <c r="B309" t="s">
        <v>1299</v>
      </c>
      <c r="C309">
        <v>309</v>
      </c>
      <c r="D309">
        <v>162810910060002</v>
      </c>
      <c r="E309" t="s">
        <v>1085</v>
      </c>
      <c r="F309">
        <v>3</v>
      </c>
      <c r="G309">
        <v>15</v>
      </c>
      <c r="I309">
        <v>45</v>
      </c>
      <c r="J309">
        <v>44</v>
      </c>
    </row>
    <row r="310" spans="1:10" x14ac:dyDescent="0.25">
      <c r="A310">
        <v>10020</v>
      </c>
      <c r="B310" t="s">
        <v>1299</v>
      </c>
      <c r="C310">
        <v>310</v>
      </c>
      <c r="D310">
        <v>6260501000440</v>
      </c>
      <c r="E310" t="s">
        <v>641</v>
      </c>
      <c r="F310">
        <v>20</v>
      </c>
      <c r="G310">
        <v>10</v>
      </c>
      <c r="I310">
        <v>200</v>
      </c>
      <c r="J310">
        <v>45</v>
      </c>
    </row>
    <row r="311" spans="1:10" x14ac:dyDescent="0.25">
      <c r="A311">
        <v>10020</v>
      </c>
      <c r="B311" t="s">
        <v>1299</v>
      </c>
      <c r="C311">
        <v>311</v>
      </c>
      <c r="D311">
        <v>6261178540284</v>
      </c>
      <c r="E311" t="s">
        <v>551</v>
      </c>
      <c r="F311">
        <v>56</v>
      </c>
      <c r="G311">
        <v>3.1</v>
      </c>
      <c r="I311">
        <v>173.6</v>
      </c>
      <c r="J311">
        <v>46</v>
      </c>
    </row>
    <row r="312" spans="1:10" x14ac:dyDescent="0.25">
      <c r="A312">
        <v>10020</v>
      </c>
      <c r="B312" t="s">
        <v>1299</v>
      </c>
      <c r="C312">
        <v>312</v>
      </c>
      <c r="D312">
        <v>6260404400200</v>
      </c>
      <c r="E312" t="s">
        <v>1113</v>
      </c>
      <c r="F312">
        <v>70</v>
      </c>
      <c r="G312">
        <v>5</v>
      </c>
      <c r="I312">
        <v>350</v>
      </c>
      <c r="J312">
        <v>47</v>
      </c>
    </row>
    <row r="313" spans="1:10" x14ac:dyDescent="0.25">
      <c r="A313">
        <v>10020</v>
      </c>
      <c r="B313" t="s">
        <v>1299</v>
      </c>
      <c r="C313">
        <v>313</v>
      </c>
      <c r="D313">
        <v>6260918500175</v>
      </c>
      <c r="E313" t="s">
        <v>1123</v>
      </c>
      <c r="F313">
        <v>27</v>
      </c>
      <c r="G313">
        <v>10</v>
      </c>
      <c r="I313">
        <v>270</v>
      </c>
      <c r="J313">
        <v>48</v>
      </c>
    </row>
    <row r="314" spans="1:10" x14ac:dyDescent="0.25">
      <c r="A314">
        <v>10020</v>
      </c>
      <c r="B314" t="s">
        <v>1299</v>
      </c>
      <c r="C314">
        <v>314</v>
      </c>
      <c r="D314">
        <v>6262477911973</v>
      </c>
      <c r="E314" t="s">
        <v>1135</v>
      </c>
      <c r="F314">
        <v>10</v>
      </c>
      <c r="G314">
        <v>15</v>
      </c>
      <c r="I314">
        <v>150</v>
      </c>
      <c r="J314">
        <v>49</v>
      </c>
    </row>
    <row r="315" spans="1:10" x14ac:dyDescent="0.25">
      <c r="A315">
        <v>10020</v>
      </c>
      <c r="B315" t="s">
        <v>1299</v>
      </c>
      <c r="C315">
        <v>315</v>
      </c>
      <c r="D315">
        <v>6262477911157</v>
      </c>
      <c r="E315" t="s">
        <v>1133</v>
      </c>
      <c r="F315">
        <v>4</v>
      </c>
      <c r="G315">
        <v>20</v>
      </c>
      <c r="I315">
        <v>80</v>
      </c>
      <c r="J315">
        <v>50</v>
      </c>
    </row>
    <row r="316" spans="1:10" x14ac:dyDescent="0.25">
      <c r="A316">
        <v>10020</v>
      </c>
      <c r="B316" t="s">
        <v>1299</v>
      </c>
      <c r="C316">
        <v>316</v>
      </c>
      <c r="D316">
        <v>6261149065136</v>
      </c>
      <c r="E316" t="s">
        <v>1142</v>
      </c>
      <c r="F316">
        <v>1</v>
      </c>
      <c r="G316">
        <v>5</v>
      </c>
      <c r="I316">
        <v>5</v>
      </c>
      <c r="J316">
        <v>51</v>
      </c>
    </row>
    <row r="317" spans="1:10" x14ac:dyDescent="0.25">
      <c r="A317">
        <v>10020</v>
      </c>
      <c r="B317" t="s">
        <v>1299</v>
      </c>
      <c r="C317">
        <v>317</v>
      </c>
      <c r="D317">
        <v>6261149065112</v>
      </c>
      <c r="E317" t="s">
        <v>1139</v>
      </c>
      <c r="F317">
        <v>1</v>
      </c>
      <c r="G317">
        <v>5</v>
      </c>
      <c r="I317">
        <v>5</v>
      </c>
      <c r="J317">
        <v>52</v>
      </c>
    </row>
    <row r="318" spans="1:10" x14ac:dyDescent="0.25">
      <c r="A318">
        <v>10020</v>
      </c>
      <c r="B318" t="s">
        <v>1299</v>
      </c>
      <c r="C318">
        <v>318</v>
      </c>
      <c r="D318">
        <v>6261149065594</v>
      </c>
      <c r="E318" t="s">
        <v>287</v>
      </c>
      <c r="F318">
        <v>1</v>
      </c>
      <c r="G318">
        <v>5</v>
      </c>
      <c r="I318">
        <v>5</v>
      </c>
      <c r="J318">
        <v>53</v>
      </c>
    </row>
    <row r="319" spans="1:10" x14ac:dyDescent="0.25">
      <c r="A319">
        <v>10020</v>
      </c>
      <c r="B319" t="s">
        <v>1299</v>
      </c>
      <c r="C319">
        <v>319</v>
      </c>
      <c r="D319">
        <v>6261149065679</v>
      </c>
      <c r="E319" t="s">
        <v>1144</v>
      </c>
      <c r="F319">
        <v>1</v>
      </c>
      <c r="G319">
        <v>5</v>
      </c>
      <c r="I319">
        <v>5</v>
      </c>
      <c r="J319">
        <v>54</v>
      </c>
    </row>
    <row r="320" spans="1:10" x14ac:dyDescent="0.25">
      <c r="A320">
        <v>10020</v>
      </c>
      <c r="B320" t="s">
        <v>1299</v>
      </c>
      <c r="C320">
        <v>320</v>
      </c>
      <c r="D320">
        <v>6261149065112</v>
      </c>
      <c r="E320" t="s">
        <v>1139</v>
      </c>
      <c r="F320">
        <v>1</v>
      </c>
      <c r="G320">
        <v>5</v>
      </c>
      <c r="I320">
        <v>5</v>
      </c>
      <c r="J320">
        <v>55</v>
      </c>
    </row>
    <row r="321" spans="1:10" x14ac:dyDescent="0.25">
      <c r="A321">
        <v>10020</v>
      </c>
      <c r="B321" t="s">
        <v>1299</v>
      </c>
      <c r="C321">
        <v>321</v>
      </c>
      <c r="D321">
        <v>6261149065112</v>
      </c>
      <c r="E321" t="s">
        <v>1139</v>
      </c>
      <c r="F321">
        <v>1</v>
      </c>
      <c r="G321">
        <v>5</v>
      </c>
      <c r="I321">
        <v>5</v>
      </c>
      <c r="J321">
        <v>56</v>
      </c>
    </row>
    <row r="322" spans="1:10" x14ac:dyDescent="0.25">
      <c r="A322">
        <v>10020</v>
      </c>
      <c r="B322" t="s">
        <v>1299</v>
      </c>
      <c r="C322">
        <v>322</v>
      </c>
      <c r="D322">
        <v>6261149065679</v>
      </c>
      <c r="E322" t="s">
        <v>1144</v>
      </c>
      <c r="F322">
        <v>1</v>
      </c>
      <c r="G322">
        <v>5</v>
      </c>
      <c r="I322">
        <v>5</v>
      </c>
      <c r="J322">
        <v>57</v>
      </c>
    </row>
    <row r="323" spans="1:10" x14ac:dyDescent="0.25">
      <c r="A323">
        <v>10020</v>
      </c>
      <c r="B323" t="s">
        <v>1299</v>
      </c>
      <c r="C323">
        <v>323</v>
      </c>
      <c r="D323">
        <v>6261149065679</v>
      </c>
      <c r="E323" t="s">
        <v>1144</v>
      </c>
      <c r="F323">
        <v>1</v>
      </c>
      <c r="G323">
        <v>5</v>
      </c>
      <c r="I323">
        <v>5</v>
      </c>
      <c r="J323">
        <v>58</v>
      </c>
    </row>
    <row r="324" spans="1:10" x14ac:dyDescent="0.25">
      <c r="A324">
        <v>10020</v>
      </c>
      <c r="B324" t="s">
        <v>1299</v>
      </c>
      <c r="C324">
        <v>324</v>
      </c>
      <c r="D324">
        <v>6261149065679</v>
      </c>
      <c r="E324" t="s">
        <v>1144</v>
      </c>
      <c r="F324">
        <v>1</v>
      </c>
      <c r="G324">
        <v>5</v>
      </c>
      <c r="I324">
        <v>5</v>
      </c>
      <c r="J324">
        <v>59</v>
      </c>
    </row>
    <row r="325" spans="1:10" x14ac:dyDescent="0.25">
      <c r="A325">
        <v>10020</v>
      </c>
      <c r="B325" t="s">
        <v>1299</v>
      </c>
      <c r="C325">
        <v>325</v>
      </c>
      <c r="D325">
        <v>6261149065679</v>
      </c>
      <c r="E325" t="s">
        <v>1144</v>
      </c>
      <c r="F325">
        <v>1</v>
      </c>
      <c r="G325">
        <v>5</v>
      </c>
      <c r="I325">
        <v>5</v>
      </c>
      <c r="J325">
        <v>60</v>
      </c>
    </row>
    <row r="326" spans="1:10" x14ac:dyDescent="0.25">
      <c r="A326">
        <v>10020</v>
      </c>
      <c r="B326" t="s">
        <v>1299</v>
      </c>
      <c r="C326">
        <v>326</v>
      </c>
      <c r="D326">
        <v>6261149065679</v>
      </c>
      <c r="E326" t="s">
        <v>1144</v>
      </c>
      <c r="F326">
        <v>1</v>
      </c>
      <c r="G326">
        <v>5</v>
      </c>
      <c r="I326">
        <v>5</v>
      </c>
      <c r="J326">
        <v>61</v>
      </c>
    </row>
    <row r="327" spans="1:10" x14ac:dyDescent="0.25">
      <c r="A327">
        <v>10022</v>
      </c>
      <c r="B327" t="s">
        <v>1299</v>
      </c>
      <c r="C327">
        <v>327</v>
      </c>
      <c r="D327">
        <v>6260053186241</v>
      </c>
      <c r="E327" t="s">
        <v>1179</v>
      </c>
      <c r="F327">
        <v>12</v>
      </c>
      <c r="G327">
        <v>23</v>
      </c>
      <c r="I327">
        <v>276</v>
      </c>
      <c r="J327">
        <v>7</v>
      </c>
    </row>
    <row r="328" spans="1:10" x14ac:dyDescent="0.25">
      <c r="A328">
        <v>10022</v>
      </c>
      <c r="B328" t="s">
        <v>1299</v>
      </c>
      <c r="C328">
        <v>328</v>
      </c>
      <c r="D328">
        <v>6263812801249</v>
      </c>
      <c r="E328" t="s">
        <v>1168</v>
      </c>
      <c r="F328">
        <v>7</v>
      </c>
      <c r="G328">
        <v>20</v>
      </c>
      <c r="I328">
        <v>140</v>
      </c>
      <c r="J328">
        <v>8</v>
      </c>
    </row>
    <row r="329" spans="1:10" x14ac:dyDescent="0.25">
      <c r="A329">
        <v>10022</v>
      </c>
      <c r="B329" t="s">
        <v>1299</v>
      </c>
      <c r="C329">
        <v>329</v>
      </c>
      <c r="D329">
        <v>6263812801225</v>
      </c>
      <c r="E329" t="s">
        <v>1189</v>
      </c>
      <c r="F329">
        <v>1</v>
      </c>
      <c r="G329">
        <v>20</v>
      </c>
      <c r="I329">
        <v>20</v>
      </c>
      <c r="J329">
        <v>9</v>
      </c>
    </row>
    <row r="330" spans="1:10" x14ac:dyDescent="0.25">
      <c r="A330">
        <v>10022</v>
      </c>
      <c r="B330" t="s">
        <v>1299</v>
      </c>
      <c r="C330">
        <v>330</v>
      </c>
      <c r="D330">
        <v>6261178411010</v>
      </c>
      <c r="E330" t="s">
        <v>1186</v>
      </c>
      <c r="F330">
        <v>9</v>
      </c>
      <c r="G330">
        <v>15</v>
      </c>
      <c r="I330">
        <v>135</v>
      </c>
      <c r="J330">
        <v>10</v>
      </c>
    </row>
    <row r="331" spans="1:10" x14ac:dyDescent="0.25">
      <c r="A331">
        <v>10022</v>
      </c>
      <c r="B331" t="s">
        <v>1299</v>
      </c>
      <c r="C331">
        <v>331</v>
      </c>
      <c r="D331">
        <v>6263812801393</v>
      </c>
      <c r="E331" t="s">
        <v>805</v>
      </c>
      <c r="F331">
        <v>3</v>
      </c>
      <c r="G331">
        <v>35</v>
      </c>
      <c r="I331">
        <v>105</v>
      </c>
      <c r="J331">
        <v>11</v>
      </c>
    </row>
    <row r="332" spans="1:10" x14ac:dyDescent="0.25">
      <c r="A332">
        <v>10022</v>
      </c>
      <c r="B332" t="s">
        <v>1299</v>
      </c>
      <c r="C332">
        <v>332</v>
      </c>
      <c r="D332">
        <v>6260575900769</v>
      </c>
      <c r="E332" t="s">
        <v>1092</v>
      </c>
      <c r="F332">
        <v>1</v>
      </c>
      <c r="G332">
        <v>5</v>
      </c>
      <c r="I332">
        <v>5</v>
      </c>
      <c r="J332">
        <v>12</v>
      </c>
    </row>
    <row r="333" spans="1:10" x14ac:dyDescent="0.25">
      <c r="A333">
        <v>10022</v>
      </c>
      <c r="B333" t="s">
        <v>1299</v>
      </c>
      <c r="C333">
        <v>333</v>
      </c>
      <c r="D333">
        <v>6263812801386</v>
      </c>
      <c r="E333" t="s">
        <v>1189</v>
      </c>
      <c r="F333">
        <v>1</v>
      </c>
      <c r="G333">
        <v>15</v>
      </c>
      <c r="I333">
        <v>15</v>
      </c>
      <c r="J333">
        <v>13</v>
      </c>
    </row>
    <row r="334" spans="1:10" x14ac:dyDescent="0.25">
      <c r="A334">
        <v>10023</v>
      </c>
      <c r="B334" t="s">
        <v>1299</v>
      </c>
      <c r="C334">
        <v>334</v>
      </c>
      <c r="D334">
        <v>6269988500269</v>
      </c>
      <c r="E334" t="s">
        <v>852</v>
      </c>
      <c r="F334">
        <v>26</v>
      </c>
      <c r="G334">
        <v>10</v>
      </c>
      <c r="I334">
        <v>260</v>
      </c>
      <c r="J334">
        <v>7</v>
      </c>
    </row>
    <row r="335" spans="1:10" x14ac:dyDescent="0.25">
      <c r="A335">
        <v>10023</v>
      </c>
      <c r="B335" t="s">
        <v>1299</v>
      </c>
      <c r="C335">
        <v>335</v>
      </c>
      <c r="D335">
        <v>6261149146071</v>
      </c>
      <c r="E335" t="s">
        <v>845</v>
      </c>
      <c r="F335">
        <v>3</v>
      </c>
      <c r="G335">
        <v>30</v>
      </c>
      <c r="I335">
        <v>90</v>
      </c>
      <c r="J335">
        <v>8</v>
      </c>
    </row>
    <row r="336" spans="1:10" x14ac:dyDescent="0.25">
      <c r="A336">
        <v>10023</v>
      </c>
      <c r="B336" t="s">
        <v>1299</v>
      </c>
      <c r="C336">
        <v>336</v>
      </c>
      <c r="D336">
        <v>6261149146088</v>
      </c>
      <c r="E336" t="s">
        <v>847</v>
      </c>
      <c r="F336">
        <v>1</v>
      </c>
      <c r="G336">
        <v>30</v>
      </c>
      <c r="I336">
        <v>30</v>
      </c>
      <c r="J336">
        <v>9</v>
      </c>
    </row>
    <row r="337" spans="1:10" x14ac:dyDescent="0.25">
      <c r="A337">
        <v>10023</v>
      </c>
      <c r="B337" t="s">
        <v>1299</v>
      </c>
      <c r="C337">
        <v>337</v>
      </c>
      <c r="D337">
        <v>6260806400068</v>
      </c>
      <c r="E337" t="s">
        <v>746</v>
      </c>
      <c r="F337">
        <v>5</v>
      </c>
      <c r="G337">
        <v>35</v>
      </c>
      <c r="I337">
        <v>175</v>
      </c>
      <c r="J337">
        <v>10</v>
      </c>
    </row>
    <row r="338" spans="1:10" x14ac:dyDescent="0.25">
      <c r="A338">
        <v>10023</v>
      </c>
      <c r="B338" t="s">
        <v>1299</v>
      </c>
      <c r="C338">
        <v>338</v>
      </c>
      <c r="D338">
        <v>6261149146125</v>
      </c>
      <c r="E338" t="s">
        <v>1390</v>
      </c>
      <c r="F338">
        <v>4</v>
      </c>
      <c r="G338">
        <v>24</v>
      </c>
      <c r="I338">
        <v>96</v>
      </c>
      <c r="J338">
        <v>11</v>
      </c>
    </row>
    <row r="339" spans="1:10" x14ac:dyDescent="0.25">
      <c r="A339">
        <v>10023</v>
      </c>
      <c r="B339" t="s">
        <v>1299</v>
      </c>
      <c r="C339">
        <v>339</v>
      </c>
      <c r="D339">
        <v>6260079211316</v>
      </c>
      <c r="E339" t="s">
        <v>1427</v>
      </c>
      <c r="F339">
        <v>1</v>
      </c>
      <c r="G339">
        <v>30</v>
      </c>
      <c r="I339">
        <v>30</v>
      </c>
      <c r="J339">
        <v>12</v>
      </c>
    </row>
    <row r="340" spans="1:10" x14ac:dyDescent="0.25">
      <c r="A340">
        <v>10023</v>
      </c>
      <c r="B340" t="s">
        <v>1299</v>
      </c>
      <c r="C340">
        <v>340</v>
      </c>
      <c r="D340">
        <v>6260079211323</v>
      </c>
      <c r="E340" t="s">
        <v>1429</v>
      </c>
      <c r="F340">
        <v>1</v>
      </c>
      <c r="G340">
        <v>30</v>
      </c>
      <c r="I340">
        <v>30</v>
      </c>
      <c r="J340">
        <v>13</v>
      </c>
    </row>
    <row r="341" spans="1:10" x14ac:dyDescent="0.25">
      <c r="A341">
        <v>10023</v>
      </c>
      <c r="B341" t="s">
        <v>1299</v>
      </c>
      <c r="C341">
        <v>341</v>
      </c>
      <c r="D341">
        <v>6262916600253</v>
      </c>
      <c r="E341" t="s">
        <v>1079</v>
      </c>
      <c r="F341">
        <v>3</v>
      </c>
      <c r="G341">
        <v>40</v>
      </c>
      <c r="I341">
        <v>120</v>
      </c>
      <c r="J341">
        <v>14</v>
      </c>
    </row>
    <row r="342" spans="1:10" x14ac:dyDescent="0.25">
      <c r="A342">
        <v>10023</v>
      </c>
      <c r="B342" t="s">
        <v>1299</v>
      </c>
      <c r="C342">
        <v>342</v>
      </c>
      <c r="D342">
        <v>6260079211293</v>
      </c>
      <c r="E342" t="s">
        <v>1431</v>
      </c>
      <c r="F342">
        <v>1</v>
      </c>
      <c r="G342">
        <v>30</v>
      </c>
      <c r="I342">
        <v>30</v>
      </c>
      <c r="J342">
        <v>15</v>
      </c>
    </row>
    <row r="343" spans="1:10" x14ac:dyDescent="0.25">
      <c r="A343">
        <v>10023</v>
      </c>
      <c r="B343" t="s">
        <v>1299</v>
      </c>
      <c r="C343">
        <v>343</v>
      </c>
      <c r="D343">
        <v>6260501700111</v>
      </c>
      <c r="E343" t="s">
        <v>738</v>
      </c>
      <c r="F343">
        <v>2</v>
      </c>
      <c r="G343">
        <v>15</v>
      </c>
      <c r="I343">
        <v>30</v>
      </c>
      <c r="J343">
        <v>16</v>
      </c>
    </row>
    <row r="344" spans="1:10" x14ac:dyDescent="0.25">
      <c r="A344">
        <v>10023</v>
      </c>
      <c r="B344" t="s">
        <v>1299</v>
      </c>
      <c r="C344">
        <v>344</v>
      </c>
      <c r="D344">
        <v>6260055843036</v>
      </c>
      <c r="E344" t="s">
        <v>736</v>
      </c>
      <c r="F344">
        <v>1</v>
      </c>
      <c r="G344">
        <v>35</v>
      </c>
      <c r="I344">
        <v>35</v>
      </c>
      <c r="J344">
        <v>17</v>
      </c>
    </row>
    <row r="345" spans="1:10" x14ac:dyDescent="0.25">
      <c r="A345">
        <v>10023</v>
      </c>
      <c r="B345" t="s">
        <v>1299</v>
      </c>
      <c r="C345">
        <v>345</v>
      </c>
      <c r="D345">
        <v>6260022324025</v>
      </c>
      <c r="E345" t="s">
        <v>740</v>
      </c>
      <c r="F345">
        <v>3</v>
      </c>
      <c r="G345">
        <v>30</v>
      </c>
      <c r="I345">
        <v>90</v>
      </c>
      <c r="J345">
        <v>18</v>
      </c>
    </row>
    <row r="346" spans="1:10" x14ac:dyDescent="0.25">
      <c r="A346">
        <v>10023</v>
      </c>
      <c r="B346" t="s">
        <v>1299</v>
      </c>
      <c r="C346">
        <v>346</v>
      </c>
      <c r="D346">
        <v>6261149146101</v>
      </c>
      <c r="E346" t="s">
        <v>1293</v>
      </c>
      <c r="F346">
        <v>2</v>
      </c>
      <c r="G346">
        <v>30</v>
      </c>
      <c r="I346">
        <v>60</v>
      </c>
      <c r="J346">
        <v>19</v>
      </c>
    </row>
    <row r="347" spans="1:10" x14ac:dyDescent="0.25">
      <c r="A347">
        <v>10023</v>
      </c>
      <c r="B347" t="s">
        <v>1299</v>
      </c>
      <c r="C347">
        <v>347</v>
      </c>
      <c r="D347">
        <v>6261845300173</v>
      </c>
      <c r="E347" t="s">
        <v>736</v>
      </c>
      <c r="F347">
        <v>2</v>
      </c>
      <c r="G347">
        <v>35</v>
      </c>
      <c r="I347">
        <v>70</v>
      </c>
      <c r="J347">
        <v>20</v>
      </c>
    </row>
    <row r="348" spans="1:10" x14ac:dyDescent="0.25">
      <c r="A348">
        <v>10023</v>
      </c>
      <c r="B348" t="s">
        <v>1299</v>
      </c>
      <c r="C348">
        <v>348</v>
      </c>
      <c r="D348">
        <v>6262412625057</v>
      </c>
      <c r="E348" t="s">
        <v>850</v>
      </c>
      <c r="F348">
        <v>1</v>
      </c>
      <c r="G348">
        <v>10</v>
      </c>
      <c r="I348">
        <v>10</v>
      </c>
      <c r="J348">
        <v>21</v>
      </c>
    </row>
    <row r="349" spans="1:10" x14ac:dyDescent="0.25">
      <c r="A349">
        <v>10023</v>
      </c>
      <c r="B349" t="s">
        <v>1299</v>
      </c>
      <c r="C349">
        <v>349</v>
      </c>
      <c r="D349">
        <v>6260079277138</v>
      </c>
      <c r="E349" t="s">
        <v>1433</v>
      </c>
      <c r="F349">
        <v>1</v>
      </c>
      <c r="G349">
        <v>24</v>
      </c>
      <c r="I349">
        <v>24</v>
      </c>
      <c r="J349">
        <v>22</v>
      </c>
    </row>
    <row r="350" spans="1:10" x14ac:dyDescent="0.25">
      <c r="A350">
        <v>10024</v>
      </c>
      <c r="B350" t="s">
        <v>1458</v>
      </c>
      <c r="C350">
        <v>350</v>
      </c>
      <c r="D350">
        <v>6260575902404</v>
      </c>
      <c r="E350" t="s">
        <v>1454</v>
      </c>
      <c r="F350">
        <v>1</v>
      </c>
      <c r="G350">
        <v>5</v>
      </c>
      <c r="I350">
        <v>5</v>
      </c>
      <c r="J350">
        <v>7</v>
      </c>
    </row>
    <row r="351" spans="1:10" x14ac:dyDescent="0.25">
      <c r="A351">
        <v>10024</v>
      </c>
      <c r="B351" t="s">
        <v>1458</v>
      </c>
      <c r="C351">
        <v>351</v>
      </c>
      <c r="D351">
        <v>6260002926348</v>
      </c>
      <c r="E351" t="s">
        <v>1108</v>
      </c>
      <c r="F351">
        <v>1</v>
      </c>
      <c r="G351">
        <v>18</v>
      </c>
      <c r="I351">
        <v>18</v>
      </c>
      <c r="J351">
        <v>8</v>
      </c>
    </row>
    <row r="352" spans="1:10" x14ac:dyDescent="0.25">
      <c r="A352">
        <v>10024</v>
      </c>
      <c r="B352" t="s">
        <v>1458</v>
      </c>
      <c r="C352">
        <v>352</v>
      </c>
      <c r="D352">
        <v>6261149024867</v>
      </c>
      <c r="E352" t="s">
        <v>1470</v>
      </c>
      <c r="F352">
        <v>1</v>
      </c>
      <c r="G352">
        <v>10</v>
      </c>
      <c r="I352">
        <v>10</v>
      </c>
      <c r="J352">
        <v>9</v>
      </c>
    </row>
    <row r="353" spans="1:10" x14ac:dyDescent="0.25">
      <c r="A353">
        <v>10024</v>
      </c>
      <c r="B353" t="s">
        <v>1458</v>
      </c>
      <c r="C353">
        <v>353</v>
      </c>
      <c r="D353">
        <v>6263812800334</v>
      </c>
      <c r="E353" t="s">
        <v>1094</v>
      </c>
      <c r="F353">
        <v>1</v>
      </c>
      <c r="G353">
        <v>18</v>
      </c>
      <c r="I353">
        <v>18</v>
      </c>
      <c r="J353">
        <v>10</v>
      </c>
    </row>
    <row r="354" spans="1:10" x14ac:dyDescent="0.25">
      <c r="A354">
        <v>10024</v>
      </c>
      <c r="B354" t="s">
        <v>1458</v>
      </c>
      <c r="C354">
        <v>354</v>
      </c>
      <c r="D354">
        <v>6260109281555</v>
      </c>
      <c r="E354" t="s">
        <v>1252</v>
      </c>
      <c r="F354">
        <v>1</v>
      </c>
      <c r="G354">
        <v>12</v>
      </c>
      <c r="I354">
        <v>12</v>
      </c>
      <c r="J354">
        <v>11</v>
      </c>
    </row>
    <row r="355" spans="1:10" x14ac:dyDescent="0.25">
      <c r="A355">
        <v>10024</v>
      </c>
      <c r="B355" t="s">
        <v>1458</v>
      </c>
      <c r="C355">
        <v>355</v>
      </c>
      <c r="D355">
        <v>6260109281555</v>
      </c>
      <c r="E355" t="s">
        <v>1252</v>
      </c>
      <c r="F355">
        <v>1</v>
      </c>
      <c r="G355">
        <v>12</v>
      </c>
      <c r="I355">
        <v>12</v>
      </c>
      <c r="J355">
        <v>12</v>
      </c>
    </row>
    <row r="356" spans="1:10" x14ac:dyDescent="0.25">
      <c r="A356">
        <v>10025</v>
      </c>
      <c r="B356" t="s">
        <v>1458</v>
      </c>
      <c r="C356">
        <v>356</v>
      </c>
      <c r="D356">
        <v>6260010509878</v>
      </c>
      <c r="E356" t="s">
        <v>924</v>
      </c>
      <c r="F356">
        <v>1</v>
      </c>
      <c r="G356">
        <v>17</v>
      </c>
      <c r="I356">
        <v>17</v>
      </c>
      <c r="J356">
        <v>7</v>
      </c>
    </row>
    <row r="357" spans="1:10" x14ac:dyDescent="0.25">
      <c r="A357">
        <v>10025</v>
      </c>
      <c r="B357" t="s">
        <v>1458</v>
      </c>
      <c r="C357">
        <v>357</v>
      </c>
      <c r="D357">
        <v>6260031000026</v>
      </c>
      <c r="E357" t="s">
        <v>546</v>
      </c>
      <c r="F357">
        <v>1</v>
      </c>
      <c r="G357">
        <v>30</v>
      </c>
      <c r="I357">
        <v>30</v>
      </c>
      <c r="J357">
        <v>8</v>
      </c>
    </row>
    <row r="358" spans="1:10" x14ac:dyDescent="0.25">
      <c r="A358">
        <v>10025</v>
      </c>
      <c r="B358" t="s">
        <v>1458</v>
      </c>
      <c r="C358">
        <v>358</v>
      </c>
      <c r="D358">
        <v>6261178411010</v>
      </c>
      <c r="E358" t="s">
        <v>1186</v>
      </c>
      <c r="F358">
        <v>1</v>
      </c>
      <c r="G358">
        <v>15</v>
      </c>
      <c r="I358">
        <v>15</v>
      </c>
      <c r="J358">
        <v>9</v>
      </c>
    </row>
    <row r="359" spans="1:10" x14ac:dyDescent="0.25">
      <c r="A359">
        <v>10025</v>
      </c>
      <c r="B359" t="s">
        <v>1458</v>
      </c>
      <c r="C359">
        <v>359</v>
      </c>
      <c r="D359">
        <v>6260575904279</v>
      </c>
      <c r="E359" t="s">
        <v>1102</v>
      </c>
      <c r="F359">
        <v>1</v>
      </c>
      <c r="G359">
        <v>10</v>
      </c>
      <c r="I359">
        <v>10</v>
      </c>
      <c r="J359">
        <v>10</v>
      </c>
    </row>
    <row r="360" spans="1:10" x14ac:dyDescent="0.25">
      <c r="A360">
        <v>10025</v>
      </c>
      <c r="B360" t="s">
        <v>1458</v>
      </c>
      <c r="C360">
        <v>360</v>
      </c>
      <c r="D360">
        <v>5200</v>
      </c>
      <c r="E360" t="s">
        <v>866</v>
      </c>
      <c r="F360">
        <v>1</v>
      </c>
      <c r="G360">
        <v>1</v>
      </c>
      <c r="I360">
        <v>1</v>
      </c>
      <c r="J360">
        <v>11</v>
      </c>
    </row>
    <row r="361" spans="1:10" x14ac:dyDescent="0.25">
      <c r="A361">
        <v>10023</v>
      </c>
      <c r="B361" t="s">
        <v>1299</v>
      </c>
      <c r="C361">
        <v>361</v>
      </c>
      <c r="D361">
        <v>6262003402647</v>
      </c>
      <c r="E361" t="s">
        <v>816</v>
      </c>
      <c r="F361">
        <v>10</v>
      </c>
      <c r="G361">
        <v>36</v>
      </c>
      <c r="I361">
        <v>360</v>
      </c>
      <c r="J361">
        <v>23</v>
      </c>
    </row>
    <row r="362" spans="1:10" x14ac:dyDescent="0.25">
      <c r="A362">
        <v>10023</v>
      </c>
      <c r="B362" t="s">
        <v>1299</v>
      </c>
      <c r="C362">
        <v>362</v>
      </c>
      <c r="D362">
        <v>6262003400629</v>
      </c>
      <c r="E362" t="s">
        <v>182</v>
      </c>
      <c r="F362">
        <v>6</v>
      </c>
      <c r="G362">
        <v>36</v>
      </c>
      <c r="I362">
        <v>216</v>
      </c>
      <c r="J362">
        <v>24</v>
      </c>
    </row>
    <row r="363" spans="1:10" x14ac:dyDescent="0.25">
      <c r="A363">
        <v>10023</v>
      </c>
      <c r="B363" t="s">
        <v>1299</v>
      </c>
      <c r="C363">
        <v>363</v>
      </c>
      <c r="D363">
        <v>6262003402647</v>
      </c>
      <c r="E363" t="s">
        <v>816</v>
      </c>
      <c r="F363">
        <v>1</v>
      </c>
      <c r="G363">
        <v>36</v>
      </c>
      <c r="I363">
        <v>36</v>
      </c>
      <c r="J363">
        <v>25</v>
      </c>
    </row>
    <row r="364" spans="1:10" x14ac:dyDescent="0.25">
      <c r="A364">
        <v>10023</v>
      </c>
      <c r="B364" t="s">
        <v>1299</v>
      </c>
      <c r="C364">
        <v>364</v>
      </c>
      <c r="D364">
        <v>6265826100134</v>
      </c>
      <c r="E364" t="s">
        <v>814</v>
      </c>
      <c r="F364">
        <v>6</v>
      </c>
      <c r="G364">
        <v>19</v>
      </c>
      <c r="I364">
        <v>114</v>
      </c>
      <c r="J364">
        <v>26</v>
      </c>
    </row>
    <row r="365" spans="1:10" x14ac:dyDescent="0.25">
      <c r="A365">
        <v>10023</v>
      </c>
      <c r="B365" t="s">
        <v>1299</v>
      </c>
      <c r="C365">
        <v>365</v>
      </c>
      <c r="D365">
        <v>6265826100028</v>
      </c>
      <c r="E365" t="s">
        <v>712</v>
      </c>
      <c r="F365">
        <v>5</v>
      </c>
      <c r="G365">
        <v>19</v>
      </c>
      <c r="I365">
        <v>95</v>
      </c>
      <c r="J365">
        <v>27</v>
      </c>
    </row>
    <row r="366" spans="1:10" x14ac:dyDescent="0.25">
      <c r="A366">
        <v>10023</v>
      </c>
      <c r="B366" t="s">
        <v>1299</v>
      </c>
      <c r="C366">
        <v>366</v>
      </c>
      <c r="D366">
        <v>6269365700077</v>
      </c>
      <c r="E366" t="s">
        <v>264</v>
      </c>
      <c r="F366">
        <v>15</v>
      </c>
      <c r="G366">
        <v>17</v>
      </c>
      <c r="I366">
        <v>255</v>
      </c>
      <c r="J366">
        <v>28</v>
      </c>
    </row>
    <row r="367" spans="1:10" x14ac:dyDescent="0.25">
      <c r="A367">
        <v>10023</v>
      </c>
      <c r="B367" t="s">
        <v>1299</v>
      </c>
      <c r="C367">
        <v>367</v>
      </c>
      <c r="D367">
        <v>6269365700091</v>
      </c>
      <c r="E367" t="s">
        <v>272</v>
      </c>
      <c r="F367">
        <v>29</v>
      </c>
      <c r="G367">
        <v>17</v>
      </c>
      <c r="I367">
        <v>493</v>
      </c>
      <c r="J367">
        <v>29</v>
      </c>
    </row>
    <row r="368" spans="1:10" x14ac:dyDescent="0.25">
      <c r="A368">
        <v>10023</v>
      </c>
      <c r="B368" t="s">
        <v>1299</v>
      </c>
      <c r="C368">
        <v>368</v>
      </c>
      <c r="D368">
        <v>6262003401954</v>
      </c>
      <c r="E368" t="s">
        <v>1302</v>
      </c>
      <c r="F368">
        <v>1</v>
      </c>
      <c r="G368">
        <v>53</v>
      </c>
      <c r="I368">
        <v>53</v>
      </c>
      <c r="J368">
        <v>30</v>
      </c>
    </row>
    <row r="369" spans="1:10" x14ac:dyDescent="0.25">
      <c r="A369">
        <v>10023</v>
      </c>
      <c r="B369" t="s">
        <v>1299</v>
      </c>
      <c r="C369">
        <v>369</v>
      </c>
      <c r="D369">
        <v>6262003401961</v>
      </c>
      <c r="E369" t="s">
        <v>818</v>
      </c>
      <c r="F369">
        <v>6</v>
      </c>
      <c r="G369">
        <v>53</v>
      </c>
      <c r="I369">
        <v>318</v>
      </c>
      <c r="J369">
        <v>31</v>
      </c>
    </row>
    <row r="370" spans="1:10" x14ac:dyDescent="0.25">
      <c r="A370">
        <v>10023</v>
      </c>
      <c r="B370" t="s">
        <v>1299</v>
      </c>
      <c r="C370">
        <v>370</v>
      </c>
      <c r="D370">
        <v>6269365700152</v>
      </c>
      <c r="E370" t="s">
        <v>266</v>
      </c>
      <c r="F370">
        <v>10</v>
      </c>
      <c r="G370">
        <v>18</v>
      </c>
      <c r="I370">
        <v>180</v>
      </c>
      <c r="J370">
        <v>32</v>
      </c>
    </row>
    <row r="371" spans="1:10" x14ac:dyDescent="0.25">
      <c r="A371">
        <v>10023</v>
      </c>
      <c r="B371" t="s">
        <v>1299</v>
      </c>
      <c r="C371">
        <v>371</v>
      </c>
      <c r="D371">
        <v>6269365700084</v>
      </c>
      <c r="E371" t="s">
        <v>268</v>
      </c>
      <c r="F371">
        <v>7</v>
      </c>
      <c r="G371">
        <v>17</v>
      </c>
      <c r="I371">
        <v>119</v>
      </c>
      <c r="J371">
        <v>33</v>
      </c>
    </row>
    <row r="372" spans="1:10" x14ac:dyDescent="0.25">
      <c r="A372">
        <v>10023</v>
      </c>
      <c r="B372" t="s">
        <v>1299</v>
      </c>
      <c r="C372">
        <v>372</v>
      </c>
      <c r="D372">
        <v>6263336000012</v>
      </c>
      <c r="E372" t="s">
        <v>234</v>
      </c>
      <c r="F372">
        <v>5</v>
      </c>
      <c r="G372">
        <v>30</v>
      </c>
      <c r="I372">
        <v>150</v>
      </c>
      <c r="J372">
        <v>34</v>
      </c>
    </row>
    <row r="373" spans="1:10" x14ac:dyDescent="0.25">
      <c r="A373">
        <v>10023</v>
      </c>
      <c r="B373" t="s">
        <v>1299</v>
      </c>
      <c r="C373">
        <v>373</v>
      </c>
      <c r="D373">
        <v>6269365700251</v>
      </c>
      <c r="E373" t="s">
        <v>820</v>
      </c>
      <c r="F373">
        <v>5</v>
      </c>
      <c r="G373">
        <v>19</v>
      </c>
      <c r="I373">
        <v>95</v>
      </c>
      <c r="J373">
        <v>35</v>
      </c>
    </row>
    <row r="374" spans="1:10" x14ac:dyDescent="0.25">
      <c r="A374">
        <v>10023</v>
      </c>
      <c r="B374" t="s">
        <v>1299</v>
      </c>
      <c r="C374">
        <v>374</v>
      </c>
      <c r="D374">
        <v>6268167900012</v>
      </c>
      <c r="E374" t="s">
        <v>1305</v>
      </c>
      <c r="F374">
        <v>3</v>
      </c>
      <c r="G374">
        <v>21</v>
      </c>
      <c r="I374">
        <v>63</v>
      </c>
      <c r="J374">
        <v>36</v>
      </c>
    </row>
    <row r="375" spans="1:10" x14ac:dyDescent="0.25">
      <c r="A375">
        <v>10023</v>
      </c>
      <c r="B375" t="s">
        <v>1299</v>
      </c>
      <c r="C375">
        <v>375</v>
      </c>
      <c r="D375">
        <v>6268167900050</v>
      </c>
      <c r="E375" t="s">
        <v>1306</v>
      </c>
      <c r="F375">
        <v>7</v>
      </c>
      <c r="G375">
        <v>21.5</v>
      </c>
      <c r="I375">
        <v>150.5</v>
      </c>
      <c r="J375">
        <v>37</v>
      </c>
    </row>
    <row r="376" spans="1:10" x14ac:dyDescent="0.25">
      <c r="A376">
        <v>10026</v>
      </c>
      <c r="B376" t="s">
        <v>1458</v>
      </c>
      <c r="C376">
        <v>376</v>
      </c>
      <c r="D376">
        <v>6260543504289</v>
      </c>
      <c r="E376" t="s">
        <v>698</v>
      </c>
      <c r="F376">
        <v>1</v>
      </c>
      <c r="G376">
        <v>15</v>
      </c>
      <c r="I376">
        <v>15</v>
      </c>
      <c r="J376">
        <v>7</v>
      </c>
    </row>
    <row r="377" spans="1:10" x14ac:dyDescent="0.25">
      <c r="A377">
        <v>10026</v>
      </c>
      <c r="B377" t="s">
        <v>1458</v>
      </c>
      <c r="C377">
        <v>377</v>
      </c>
      <c r="D377">
        <v>6260543503855</v>
      </c>
      <c r="E377" t="s">
        <v>239</v>
      </c>
      <c r="F377">
        <v>1</v>
      </c>
      <c r="G377">
        <v>5</v>
      </c>
      <c r="I377">
        <v>5</v>
      </c>
      <c r="J377">
        <v>8</v>
      </c>
    </row>
    <row r="378" spans="1:10" x14ac:dyDescent="0.25">
      <c r="A378">
        <v>10026</v>
      </c>
      <c r="B378" t="s">
        <v>1458</v>
      </c>
      <c r="C378">
        <v>378</v>
      </c>
      <c r="D378">
        <v>6260268400170</v>
      </c>
      <c r="E378" t="s">
        <v>831</v>
      </c>
      <c r="F378">
        <v>1</v>
      </c>
      <c r="G378">
        <v>15</v>
      </c>
      <c r="I378">
        <v>15</v>
      </c>
      <c r="J378">
        <v>9</v>
      </c>
    </row>
    <row r="379" spans="1:10" x14ac:dyDescent="0.25">
      <c r="A379">
        <v>10026</v>
      </c>
      <c r="B379" t="s">
        <v>1458</v>
      </c>
      <c r="C379">
        <v>379</v>
      </c>
      <c r="D379">
        <v>1169910018400000</v>
      </c>
      <c r="E379" t="s">
        <v>590</v>
      </c>
      <c r="F379">
        <v>1</v>
      </c>
      <c r="G379">
        <v>1</v>
      </c>
      <c r="I379">
        <v>1</v>
      </c>
      <c r="J379">
        <v>10</v>
      </c>
    </row>
    <row r="380" spans="1:10" x14ac:dyDescent="0.25">
      <c r="A380">
        <v>10026</v>
      </c>
      <c r="B380" t="s">
        <v>1458</v>
      </c>
      <c r="C380">
        <v>380</v>
      </c>
      <c r="D380">
        <v>6262477911157</v>
      </c>
      <c r="E380" t="s">
        <v>1133</v>
      </c>
      <c r="F380">
        <v>1</v>
      </c>
      <c r="G380">
        <v>20</v>
      </c>
      <c r="I380">
        <v>20</v>
      </c>
      <c r="J380">
        <v>11</v>
      </c>
    </row>
    <row r="381" spans="1:10" x14ac:dyDescent="0.25">
      <c r="A381">
        <v>10026</v>
      </c>
      <c r="B381" t="s">
        <v>1458</v>
      </c>
      <c r="C381">
        <v>381</v>
      </c>
      <c r="D381">
        <v>6260575902404</v>
      </c>
      <c r="E381" t="s">
        <v>1454</v>
      </c>
      <c r="F381">
        <v>1</v>
      </c>
      <c r="G381">
        <v>5</v>
      </c>
      <c r="I381">
        <v>5</v>
      </c>
      <c r="J381">
        <v>12</v>
      </c>
    </row>
    <row r="382" spans="1:10" x14ac:dyDescent="0.25">
      <c r="A382">
        <v>10026</v>
      </c>
      <c r="B382" t="s">
        <v>1458</v>
      </c>
      <c r="C382">
        <v>382</v>
      </c>
      <c r="D382">
        <v>6261149065112</v>
      </c>
      <c r="E382" t="s">
        <v>1139</v>
      </c>
      <c r="F382">
        <v>1</v>
      </c>
      <c r="G382">
        <v>5</v>
      </c>
      <c r="I382">
        <v>5</v>
      </c>
      <c r="J382">
        <v>13</v>
      </c>
    </row>
    <row r="383" spans="1:10" x14ac:dyDescent="0.25">
      <c r="A383">
        <v>10026</v>
      </c>
      <c r="B383" t="s">
        <v>1458</v>
      </c>
      <c r="C383">
        <v>383</v>
      </c>
      <c r="D383">
        <v>5200</v>
      </c>
      <c r="E383" t="s">
        <v>866</v>
      </c>
      <c r="F383">
        <v>1</v>
      </c>
      <c r="G383">
        <v>1</v>
      </c>
      <c r="I383">
        <v>1</v>
      </c>
      <c r="J383">
        <v>14</v>
      </c>
    </row>
    <row r="384" spans="1:10" x14ac:dyDescent="0.25">
      <c r="A384">
        <v>10023</v>
      </c>
      <c r="B384" t="s">
        <v>1299</v>
      </c>
      <c r="C384">
        <v>384</v>
      </c>
      <c r="D384">
        <v>6268666400556</v>
      </c>
      <c r="E384" t="s">
        <v>835</v>
      </c>
      <c r="F384">
        <v>14</v>
      </c>
      <c r="G384">
        <v>10</v>
      </c>
      <c r="I384">
        <v>140</v>
      </c>
      <c r="J384">
        <v>38</v>
      </c>
    </row>
    <row r="385" spans="1:10" x14ac:dyDescent="0.25">
      <c r="A385">
        <v>10023</v>
      </c>
      <c r="B385" t="s">
        <v>1299</v>
      </c>
      <c r="C385">
        <v>385</v>
      </c>
      <c r="D385">
        <v>6268666401553</v>
      </c>
      <c r="E385" t="s">
        <v>836</v>
      </c>
      <c r="F385">
        <v>5</v>
      </c>
      <c r="G385">
        <v>10</v>
      </c>
      <c r="I385">
        <v>50</v>
      </c>
      <c r="J385">
        <v>39</v>
      </c>
    </row>
    <row r="386" spans="1:10" x14ac:dyDescent="0.25">
      <c r="A386">
        <v>10023</v>
      </c>
      <c r="B386" t="s">
        <v>1299</v>
      </c>
      <c r="C386">
        <v>386</v>
      </c>
      <c r="D386">
        <v>6262003400124</v>
      </c>
      <c r="E386" t="s">
        <v>696</v>
      </c>
      <c r="F386">
        <v>2</v>
      </c>
      <c r="G386">
        <v>35</v>
      </c>
      <c r="I386">
        <v>70</v>
      </c>
      <c r="J386">
        <v>40</v>
      </c>
    </row>
    <row r="387" spans="1:10" x14ac:dyDescent="0.25">
      <c r="A387">
        <v>10023</v>
      </c>
      <c r="B387" t="s">
        <v>1299</v>
      </c>
      <c r="C387">
        <v>387</v>
      </c>
      <c r="D387">
        <v>6261204000164</v>
      </c>
      <c r="E387" t="s">
        <v>1473</v>
      </c>
      <c r="F387">
        <v>6</v>
      </c>
      <c r="G387">
        <v>16</v>
      </c>
      <c r="I387">
        <v>96</v>
      </c>
      <c r="J387">
        <v>41</v>
      </c>
    </row>
    <row r="388" spans="1:10" x14ac:dyDescent="0.25">
      <c r="A388">
        <v>10023</v>
      </c>
      <c r="B388" t="s">
        <v>1299</v>
      </c>
      <c r="C388">
        <v>388</v>
      </c>
      <c r="D388">
        <v>6260931400834</v>
      </c>
      <c r="E388" t="s">
        <v>700</v>
      </c>
      <c r="F388">
        <v>2</v>
      </c>
      <c r="G388">
        <v>30</v>
      </c>
      <c r="I388">
        <v>60</v>
      </c>
      <c r="J388">
        <v>42</v>
      </c>
    </row>
    <row r="389" spans="1:10" x14ac:dyDescent="0.25">
      <c r="A389">
        <v>10023</v>
      </c>
      <c r="B389" t="s">
        <v>1299</v>
      </c>
      <c r="C389">
        <v>389</v>
      </c>
      <c r="D389">
        <v>6268666401188</v>
      </c>
      <c r="E389" t="s">
        <v>839</v>
      </c>
      <c r="F389">
        <v>3</v>
      </c>
      <c r="G389">
        <v>14</v>
      </c>
      <c r="I389">
        <v>42</v>
      </c>
      <c r="J389">
        <v>43</v>
      </c>
    </row>
    <row r="390" spans="1:10" x14ac:dyDescent="0.25">
      <c r="A390">
        <v>10023</v>
      </c>
      <c r="B390" t="s">
        <v>1299</v>
      </c>
      <c r="C390">
        <v>390</v>
      </c>
      <c r="D390">
        <v>6261204000133</v>
      </c>
      <c r="E390" t="s">
        <v>262</v>
      </c>
      <c r="F390">
        <v>4</v>
      </c>
      <c r="G390">
        <v>16</v>
      </c>
      <c r="I390">
        <v>64</v>
      </c>
      <c r="J390">
        <v>44</v>
      </c>
    </row>
    <row r="391" spans="1:10" x14ac:dyDescent="0.25">
      <c r="A391">
        <v>10023</v>
      </c>
      <c r="B391" t="s">
        <v>1299</v>
      </c>
      <c r="C391">
        <v>391</v>
      </c>
      <c r="D391">
        <v>6268612400074</v>
      </c>
      <c r="E391" t="s">
        <v>365</v>
      </c>
      <c r="F391">
        <v>5</v>
      </c>
      <c r="G391">
        <v>35</v>
      </c>
      <c r="I391">
        <v>175</v>
      </c>
      <c r="J391">
        <v>45</v>
      </c>
    </row>
    <row r="392" spans="1:10" x14ac:dyDescent="0.25">
      <c r="A392">
        <v>10023</v>
      </c>
      <c r="B392" t="s">
        <v>1299</v>
      </c>
      <c r="C392">
        <v>392</v>
      </c>
      <c r="D392">
        <v>6265826100844</v>
      </c>
      <c r="E392" t="s">
        <v>1220</v>
      </c>
      <c r="F392">
        <v>1</v>
      </c>
      <c r="G392">
        <v>17</v>
      </c>
      <c r="I392">
        <v>17</v>
      </c>
      <c r="J392">
        <v>46</v>
      </c>
    </row>
    <row r="393" spans="1:10" x14ac:dyDescent="0.25">
      <c r="A393">
        <v>10023</v>
      </c>
      <c r="B393" t="s">
        <v>1299</v>
      </c>
      <c r="C393">
        <v>393</v>
      </c>
      <c r="D393">
        <v>6265826100837</v>
      </c>
      <c r="E393" t="s">
        <v>704</v>
      </c>
      <c r="F393">
        <v>4</v>
      </c>
      <c r="G393">
        <v>17</v>
      </c>
      <c r="I393">
        <v>68</v>
      </c>
      <c r="J393">
        <v>47</v>
      </c>
    </row>
    <row r="394" spans="1:10" x14ac:dyDescent="0.25">
      <c r="A394">
        <v>10023</v>
      </c>
      <c r="B394" t="s">
        <v>1299</v>
      </c>
      <c r="C394">
        <v>394</v>
      </c>
      <c r="D394">
        <v>6265826100868</v>
      </c>
      <c r="E394" t="s">
        <v>708</v>
      </c>
      <c r="F394">
        <v>9</v>
      </c>
      <c r="G394">
        <v>17</v>
      </c>
      <c r="I394">
        <v>153</v>
      </c>
      <c r="J394">
        <v>48</v>
      </c>
    </row>
    <row r="395" spans="1:10" x14ac:dyDescent="0.25">
      <c r="A395">
        <v>10027</v>
      </c>
      <c r="B395" t="s">
        <v>1458</v>
      </c>
      <c r="C395">
        <v>395</v>
      </c>
      <c r="D395">
        <v>6260806400068</v>
      </c>
      <c r="E395" t="s">
        <v>746</v>
      </c>
      <c r="F395">
        <v>3</v>
      </c>
      <c r="G395">
        <v>35</v>
      </c>
      <c r="I395">
        <v>105</v>
      </c>
      <c r="J395">
        <v>7</v>
      </c>
    </row>
    <row r="396" spans="1:10" x14ac:dyDescent="0.25">
      <c r="A396">
        <v>10027</v>
      </c>
      <c r="B396" t="s">
        <v>1458</v>
      </c>
      <c r="C396">
        <v>396</v>
      </c>
      <c r="D396">
        <v>6260806400020</v>
      </c>
      <c r="E396" t="s">
        <v>754</v>
      </c>
      <c r="F396">
        <v>3</v>
      </c>
      <c r="G396">
        <v>45</v>
      </c>
      <c r="I396">
        <v>135</v>
      </c>
      <c r="J396">
        <v>8</v>
      </c>
    </row>
    <row r="397" spans="1:10" x14ac:dyDescent="0.25">
      <c r="A397">
        <v>10027</v>
      </c>
      <c r="B397" t="s">
        <v>1458</v>
      </c>
      <c r="C397">
        <v>397</v>
      </c>
      <c r="D397">
        <v>6260002931380</v>
      </c>
      <c r="E397" t="s">
        <v>399</v>
      </c>
      <c r="F397">
        <v>3</v>
      </c>
      <c r="G397">
        <v>16</v>
      </c>
      <c r="I397">
        <v>48</v>
      </c>
      <c r="J397">
        <v>9</v>
      </c>
    </row>
    <row r="398" spans="1:10" x14ac:dyDescent="0.25">
      <c r="A398">
        <v>10027</v>
      </c>
      <c r="B398" t="s">
        <v>1458</v>
      </c>
      <c r="C398">
        <v>398</v>
      </c>
      <c r="D398">
        <v>3500</v>
      </c>
      <c r="E398" t="s">
        <v>1049</v>
      </c>
      <c r="F398">
        <v>1</v>
      </c>
      <c r="G398">
        <v>40</v>
      </c>
      <c r="I398">
        <v>40</v>
      </c>
      <c r="J398">
        <v>10</v>
      </c>
    </row>
    <row r="399" spans="1:10" x14ac:dyDescent="0.25">
      <c r="A399">
        <v>10028</v>
      </c>
      <c r="B399" t="s">
        <v>1458</v>
      </c>
      <c r="C399">
        <v>399</v>
      </c>
      <c r="D399">
        <v>6265663103961</v>
      </c>
      <c r="E399" t="s">
        <v>1184</v>
      </c>
      <c r="F399">
        <v>2</v>
      </c>
      <c r="G399">
        <v>15</v>
      </c>
      <c r="I399">
        <v>30</v>
      </c>
      <c r="J399">
        <v>7</v>
      </c>
    </row>
    <row r="400" spans="1:10" x14ac:dyDescent="0.25">
      <c r="A400">
        <v>10029</v>
      </c>
      <c r="B400" t="s">
        <v>1458</v>
      </c>
      <c r="C400">
        <v>400</v>
      </c>
      <c r="D400">
        <v>6261005000257</v>
      </c>
      <c r="E400" t="s">
        <v>1088</v>
      </c>
      <c r="F400">
        <v>1</v>
      </c>
      <c r="G400">
        <v>45</v>
      </c>
      <c r="I400">
        <v>45</v>
      </c>
      <c r="J400">
        <v>7</v>
      </c>
    </row>
    <row r="401" spans="1:10" x14ac:dyDescent="0.25">
      <c r="A401">
        <v>10030</v>
      </c>
      <c r="B401" t="s">
        <v>1299</v>
      </c>
      <c r="C401">
        <v>401</v>
      </c>
      <c r="D401">
        <v>6260004276212</v>
      </c>
      <c r="E401" t="s">
        <v>1290</v>
      </c>
      <c r="F401">
        <v>40</v>
      </c>
      <c r="G401">
        <v>15</v>
      </c>
      <c r="I401">
        <v>600</v>
      </c>
      <c r="J401">
        <v>7</v>
      </c>
    </row>
    <row r="402" spans="1:10" x14ac:dyDescent="0.25">
      <c r="A402">
        <v>10030</v>
      </c>
      <c r="B402" t="s">
        <v>1299</v>
      </c>
      <c r="C402">
        <v>402</v>
      </c>
      <c r="D402">
        <v>6269893300695</v>
      </c>
      <c r="E402" t="s">
        <v>1288</v>
      </c>
      <c r="F402">
        <v>6</v>
      </c>
      <c r="G402">
        <v>7</v>
      </c>
      <c r="I402">
        <v>42</v>
      </c>
      <c r="J402">
        <v>8</v>
      </c>
    </row>
    <row r="403" spans="1:10" x14ac:dyDescent="0.25">
      <c r="A403">
        <v>10030</v>
      </c>
      <c r="B403" t="s">
        <v>1299</v>
      </c>
      <c r="C403">
        <v>403</v>
      </c>
      <c r="D403">
        <v>6262532300070</v>
      </c>
      <c r="E403" t="s">
        <v>1289</v>
      </c>
      <c r="F403">
        <v>21</v>
      </c>
      <c r="G403">
        <v>15</v>
      </c>
      <c r="I403">
        <v>315</v>
      </c>
      <c r="J403">
        <v>9</v>
      </c>
    </row>
    <row r="404" spans="1:10" x14ac:dyDescent="0.25">
      <c r="A404">
        <v>10030</v>
      </c>
      <c r="B404" t="s">
        <v>1299</v>
      </c>
      <c r="C404">
        <v>404</v>
      </c>
      <c r="D404">
        <v>6262532300087</v>
      </c>
      <c r="E404" t="s">
        <v>1476</v>
      </c>
      <c r="F404">
        <v>1</v>
      </c>
      <c r="G404">
        <v>12</v>
      </c>
      <c r="I404">
        <v>12</v>
      </c>
      <c r="J404">
        <v>10</v>
      </c>
    </row>
    <row r="405" spans="1:10" x14ac:dyDescent="0.25">
      <c r="A405">
        <v>10030</v>
      </c>
      <c r="B405" t="s">
        <v>1299</v>
      </c>
      <c r="C405">
        <v>405</v>
      </c>
      <c r="D405">
        <v>6262167101516</v>
      </c>
      <c r="E405" t="s">
        <v>1297</v>
      </c>
      <c r="F405">
        <v>9</v>
      </c>
      <c r="G405">
        <v>25</v>
      </c>
      <c r="I405">
        <v>225</v>
      </c>
      <c r="J405">
        <v>11</v>
      </c>
    </row>
    <row r="406" spans="1:10" x14ac:dyDescent="0.25">
      <c r="A406">
        <v>10030</v>
      </c>
      <c r="B406" t="s">
        <v>1299</v>
      </c>
      <c r="C406">
        <v>406</v>
      </c>
      <c r="D406">
        <v>162810216710010</v>
      </c>
      <c r="E406" t="s">
        <v>1297</v>
      </c>
      <c r="F406">
        <v>9</v>
      </c>
      <c r="G406">
        <v>25</v>
      </c>
      <c r="I406">
        <v>225</v>
      </c>
      <c r="J406">
        <v>12</v>
      </c>
    </row>
    <row r="407" spans="1:10" x14ac:dyDescent="0.25">
      <c r="A407">
        <v>10031</v>
      </c>
      <c r="B407" t="s">
        <v>1458</v>
      </c>
      <c r="C407">
        <v>407</v>
      </c>
      <c r="D407">
        <v>6269365700084</v>
      </c>
      <c r="E407" t="s">
        <v>268</v>
      </c>
      <c r="F407">
        <v>1</v>
      </c>
      <c r="G407">
        <v>18</v>
      </c>
      <c r="I407">
        <v>18</v>
      </c>
      <c r="J407">
        <v>7</v>
      </c>
    </row>
    <row r="408" spans="1:10" x14ac:dyDescent="0.25">
      <c r="A408">
        <v>10032</v>
      </c>
      <c r="B408" t="s">
        <v>1299</v>
      </c>
      <c r="C408">
        <v>408</v>
      </c>
      <c r="D408">
        <v>6260063202139</v>
      </c>
      <c r="E408" t="s">
        <v>1361</v>
      </c>
      <c r="F408">
        <v>32</v>
      </c>
      <c r="G408">
        <v>12.8</v>
      </c>
      <c r="I408">
        <v>409.6</v>
      </c>
      <c r="J408">
        <v>7</v>
      </c>
    </row>
    <row r="409" spans="1:10" x14ac:dyDescent="0.25">
      <c r="A409">
        <v>10032</v>
      </c>
      <c r="B409" t="s">
        <v>1299</v>
      </c>
      <c r="C409">
        <v>409</v>
      </c>
      <c r="D409">
        <v>6261163400036</v>
      </c>
      <c r="E409" t="s">
        <v>1360</v>
      </c>
      <c r="F409">
        <v>15</v>
      </c>
      <c r="G409">
        <v>17.5</v>
      </c>
      <c r="I409">
        <v>262.5</v>
      </c>
      <c r="J409">
        <v>8</v>
      </c>
    </row>
    <row r="410" spans="1:10" x14ac:dyDescent="0.25">
      <c r="A410">
        <v>10032</v>
      </c>
      <c r="B410" t="s">
        <v>1299</v>
      </c>
      <c r="C410">
        <v>410</v>
      </c>
      <c r="D410">
        <v>6261163400197</v>
      </c>
      <c r="E410" t="s">
        <v>254</v>
      </c>
      <c r="F410">
        <v>3</v>
      </c>
      <c r="G410">
        <v>15</v>
      </c>
      <c r="I410">
        <v>45</v>
      </c>
      <c r="J410">
        <v>9</v>
      </c>
    </row>
    <row r="411" spans="1:10" x14ac:dyDescent="0.25">
      <c r="A411">
        <v>10032</v>
      </c>
      <c r="B411" t="s">
        <v>1299</v>
      </c>
      <c r="C411">
        <v>411</v>
      </c>
      <c r="D411">
        <v>6261163400197</v>
      </c>
      <c r="E411" t="s">
        <v>254</v>
      </c>
      <c r="F411">
        <v>1</v>
      </c>
      <c r="G411">
        <v>15</v>
      </c>
      <c r="I411">
        <v>15</v>
      </c>
      <c r="J411">
        <v>10</v>
      </c>
    </row>
    <row r="412" spans="1:10" x14ac:dyDescent="0.25">
      <c r="A412">
        <v>10032</v>
      </c>
      <c r="B412" t="s">
        <v>1299</v>
      </c>
      <c r="C412">
        <v>412</v>
      </c>
      <c r="D412">
        <v>6260063202139</v>
      </c>
      <c r="E412" t="s">
        <v>1361</v>
      </c>
      <c r="F412">
        <v>1</v>
      </c>
      <c r="G412">
        <v>12.8</v>
      </c>
      <c r="I412">
        <v>12.8</v>
      </c>
      <c r="J412">
        <v>11</v>
      </c>
    </row>
    <row r="413" spans="1:10" x14ac:dyDescent="0.25">
      <c r="A413">
        <v>10032</v>
      </c>
      <c r="B413" t="s">
        <v>1299</v>
      </c>
      <c r="C413">
        <v>413</v>
      </c>
      <c r="D413">
        <v>6260063298149</v>
      </c>
      <c r="E413" t="s">
        <v>1365</v>
      </c>
      <c r="F413">
        <v>25</v>
      </c>
      <c r="G413">
        <v>12.8</v>
      </c>
      <c r="I413">
        <v>320</v>
      </c>
      <c r="J413">
        <v>12</v>
      </c>
    </row>
    <row r="414" spans="1:10" x14ac:dyDescent="0.25">
      <c r="A414">
        <v>10032</v>
      </c>
      <c r="B414" t="s">
        <v>1299</v>
      </c>
      <c r="C414">
        <v>414</v>
      </c>
      <c r="D414">
        <v>6264078410992</v>
      </c>
      <c r="E414" t="s">
        <v>1362</v>
      </c>
      <c r="F414">
        <v>32</v>
      </c>
      <c r="G414">
        <v>13</v>
      </c>
      <c r="I414">
        <v>416</v>
      </c>
      <c r="J414">
        <v>13</v>
      </c>
    </row>
    <row r="415" spans="1:10" x14ac:dyDescent="0.25">
      <c r="A415">
        <v>10032</v>
      </c>
      <c r="B415" t="s">
        <v>1299</v>
      </c>
      <c r="C415">
        <v>415</v>
      </c>
      <c r="D415">
        <v>6260522300031</v>
      </c>
      <c r="E415" t="s">
        <v>1368</v>
      </c>
      <c r="F415">
        <v>29</v>
      </c>
      <c r="G415">
        <v>8.8000000000000007</v>
      </c>
      <c r="I415">
        <v>255.20000000000002</v>
      </c>
      <c r="J415">
        <v>14</v>
      </c>
    </row>
    <row r="416" spans="1:10" x14ac:dyDescent="0.25">
      <c r="A416">
        <v>10032</v>
      </c>
      <c r="B416" t="s">
        <v>1299</v>
      </c>
      <c r="C416">
        <v>416</v>
      </c>
      <c r="D416">
        <v>6260063298149</v>
      </c>
      <c r="E416" t="s">
        <v>1365</v>
      </c>
      <c r="F416">
        <v>1</v>
      </c>
      <c r="G416">
        <v>12.8</v>
      </c>
      <c r="I416">
        <v>12.8</v>
      </c>
      <c r="J416">
        <v>15</v>
      </c>
    </row>
    <row r="417" spans="1:10" x14ac:dyDescent="0.25">
      <c r="A417">
        <v>10032</v>
      </c>
      <c r="B417" t="s">
        <v>1299</v>
      </c>
      <c r="C417">
        <v>417</v>
      </c>
      <c r="D417">
        <v>6264078409156</v>
      </c>
      <c r="E417" t="s">
        <v>1374</v>
      </c>
      <c r="F417">
        <v>29</v>
      </c>
      <c r="G417">
        <v>7</v>
      </c>
      <c r="I417">
        <v>203</v>
      </c>
      <c r="J417">
        <v>16</v>
      </c>
    </row>
    <row r="418" spans="1:10" x14ac:dyDescent="0.25">
      <c r="A418">
        <v>10032</v>
      </c>
      <c r="B418" t="s">
        <v>1299</v>
      </c>
      <c r="C418">
        <v>418</v>
      </c>
      <c r="D418">
        <v>6260063214255</v>
      </c>
      <c r="E418" t="s">
        <v>1376</v>
      </c>
      <c r="F418">
        <v>18</v>
      </c>
      <c r="G418">
        <v>8.5</v>
      </c>
      <c r="I418">
        <v>153</v>
      </c>
      <c r="J418">
        <v>17</v>
      </c>
    </row>
    <row r="419" spans="1:10" x14ac:dyDescent="0.25">
      <c r="A419">
        <v>10032</v>
      </c>
      <c r="B419" t="s">
        <v>1299</v>
      </c>
      <c r="C419">
        <v>419</v>
      </c>
      <c r="D419">
        <v>6264078402324</v>
      </c>
      <c r="E419" t="s">
        <v>1157</v>
      </c>
      <c r="F419">
        <v>18</v>
      </c>
      <c r="G419">
        <v>7</v>
      </c>
      <c r="I419">
        <v>126</v>
      </c>
      <c r="J419">
        <v>18</v>
      </c>
    </row>
    <row r="420" spans="1:10" x14ac:dyDescent="0.25">
      <c r="A420">
        <v>10032</v>
      </c>
      <c r="B420" t="s">
        <v>1299</v>
      </c>
      <c r="C420">
        <v>420</v>
      </c>
      <c r="D420">
        <v>6264078402324</v>
      </c>
      <c r="E420" t="s">
        <v>1157</v>
      </c>
      <c r="F420">
        <v>1</v>
      </c>
      <c r="G420">
        <v>7</v>
      </c>
      <c r="I420">
        <v>7</v>
      </c>
      <c r="J420">
        <v>19</v>
      </c>
    </row>
    <row r="421" spans="1:10" x14ac:dyDescent="0.25">
      <c r="A421">
        <v>10032</v>
      </c>
      <c r="B421" t="s">
        <v>1299</v>
      </c>
      <c r="C421">
        <v>421</v>
      </c>
      <c r="D421">
        <v>6261163400197</v>
      </c>
      <c r="E421" t="s">
        <v>254</v>
      </c>
      <c r="F421">
        <v>1</v>
      </c>
      <c r="G421">
        <v>15</v>
      </c>
      <c r="I421">
        <v>15</v>
      </c>
      <c r="J421">
        <v>20</v>
      </c>
    </row>
    <row r="422" spans="1:10" x14ac:dyDescent="0.25">
      <c r="A422">
        <v>10032</v>
      </c>
      <c r="B422" t="s">
        <v>1299</v>
      </c>
      <c r="C422">
        <v>422</v>
      </c>
      <c r="D422">
        <v>6261163400197</v>
      </c>
      <c r="E422" t="s">
        <v>254</v>
      </c>
      <c r="F422">
        <v>1</v>
      </c>
      <c r="G422">
        <v>15</v>
      </c>
      <c r="I422">
        <v>15</v>
      </c>
      <c r="J422">
        <v>21</v>
      </c>
    </row>
    <row r="423" spans="1:10" x14ac:dyDescent="0.25">
      <c r="A423">
        <v>10032</v>
      </c>
      <c r="B423" t="s">
        <v>1299</v>
      </c>
      <c r="C423">
        <v>423</v>
      </c>
      <c r="D423">
        <v>6261163400197</v>
      </c>
      <c r="E423" t="s">
        <v>254</v>
      </c>
      <c r="F423">
        <v>1</v>
      </c>
      <c r="G423">
        <v>15</v>
      </c>
      <c r="I423">
        <v>15</v>
      </c>
      <c r="J423">
        <v>22</v>
      </c>
    </row>
    <row r="424" spans="1:10" x14ac:dyDescent="0.25">
      <c r="A424">
        <v>10032</v>
      </c>
      <c r="B424" t="s">
        <v>1299</v>
      </c>
      <c r="C424">
        <v>424</v>
      </c>
      <c r="D424">
        <v>6261163400197</v>
      </c>
      <c r="E424" t="s">
        <v>254</v>
      </c>
      <c r="F424">
        <v>1</v>
      </c>
      <c r="G424">
        <v>15</v>
      </c>
      <c r="I424">
        <v>15</v>
      </c>
      <c r="J424">
        <v>23</v>
      </c>
    </row>
    <row r="425" spans="1:10" x14ac:dyDescent="0.25">
      <c r="A425">
        <v>10032</v>
      </c>
      <c r="B425" t="s">
        <v>1299</v>
      </c>
      <c r="C425">
        <v>425</v>
      </c>
      <c r="D425">
        <v>6261163400197</v>
      </c>
      <c r="E425" t="s">
        <v>254</v>
      </c>
      <c r="F425">
        <v>1</v>
      </c>
      <c r="G425">
        <v>15</v>
      </c>
      <c r="I425">
        <v>15</v>
      </c>
      <c r="J425">
        <v>24</v>
      </c>
    </row>
    <row r="426" spans="1:10" x14ac:dyDescent="0.25">
      <c r="A426">
        <v>10032</v>
      </c>
      <c r="B426" t="s">
        <v>1299</v>
      </c>
      <c r="C426">
        <v>426</v>
      </c>
      <c r="D426">
        <v>6264078411616</v>
      </c>
      <c r="E426" t="s">
        <v>1153</v>
      </c>
      <c r="F426">
        <v>44</v>
      </c>
      <c r="G426">
        <v>7.3330000000000002</v>
      </c>
      <c r="I426">
        <v>322.65199999999999</v>
      </c>
      <c r="J426">
        <v>25</v>
      </c>
    </row>
    <row r="427" spans="1:10" x14ac:dyDescent="0.25">
      <c r="A427">
        <v>10032</v>
      </c>
      <c r="B427" t="s">
        <v>1299</v>
      </c>
      <c r="C427">
        <v>427</v>
      </c>
      <c r="D427">
        <v>6264078411593</v>
      </c>
      <c r="E427" t="s">
        <v>1146</v>
      </c>
      <c r="F427">
        <v>29</v>
      </c>
      <c r="G427">
        <v>8.5</v>
      </c>
      <c r="I427">
        <v>246.5</v>
      </c>
      <c r="J427">
        <v>26</v>
      </c>
    </row>
    <row r="428" spans="1:10" x14ac:dyDescent="0.25">
      <c r="A428">
        <v>10032</v>
      </c>
      <c r="B428" t="s">
        <v>1299</v>
      </c>
      <c r="C428">
        <v>428</v>
      </c>
      <c r="D428">
        <v>6260063295841</v>
      </c>
      <c r="E428" t="s">
        <v>1366</v>
      </c>
      <c r="F428">
        <v>15</v>
      </c>
      <c r="G428">
        <v>7</v>
      </c>
      <c r="I428">
        <v>105</v>
      </c>
      <c r="J428">
        <v>27</v>
      </c>
    </row>
    <row r="429" spans="1:10" x14ac:dyDescent="0.25">
      <c r="A429">
        <v>10032</v>
      </c>
      <c r="B429" t="s">
        <v>1299</v>
      </c>
      <c r="C429">
        <v>429</v>
      </c>
      <c r="D429">
        <v>6264078402324</v>
      </c>
      <c r="E429" t="s">
        <v>1157</v>
      </c>
      <c r="F429">
        <v>1</v>
      </c>
      <c r="G429">
        <v>7</v>
      </c>
      <c r="I429">
        <v>7</v>
      </c>
      <c r="J429">
        <v>28</v>
      </c>
    </row>
    <row r="430" spans="1:10" x14ac:dyDescent="0.25">
      <c r="A430">
        <v>10032</v>
      </c>
      <c r="B430" t="s">
        <v>1299</v>
      </c>
      <c r="C430">
        <v>430</v>
      </c>
      <c r="D430">
        <v>6264078411616</v>
      </c>
      <c r="E430" t="s">
        <v>1153</v>
      </c>
      <c r="F430">
        <v>1</v>
      </c>
      <c r="G430">
        <v>7.3330000000000002</v>
      </c>
      <c r="I430">
        <v>7.3330000000000002</v>
      </c>
      <c r="J430">
        <v>29</v>
      </c>
    </row>
    <row r="431" spans="1:10" x14ac:dyDescent="0.25">
      <c r="A431">
        <v>10032</v>
      </c>
      <c r="B431" t="s">
        <v>1299</v>
      </c>
      <c r="C431">
        <v>431</v>
      </c>
      <c r="D431">
        <v>6264078411593</v>
      </c>
      <c r="E431" t="s">
        <v>1146</v>
      </c>
      <c r="F431">
        <v>1</v>
      </c>
      <c r="G431">
        <v>8.5</v>
      </c>
      <c r="I431">
        <v>8.5</v>
      </c>
      <c r="J431">
        <v>30</v>
      </c>
    </row>
    <row r="432" spans="1:10" x14ac:dyDescent="0.25">
      <c r="A432">
        <v>10032</v>
      </c>
      <c r="B432" t="s">
        <v>1299</v>
      </c>
      <c r="C432">
        <v>432</v>
      </c>
      <c r="D432">
        <v>6264078411593</v>
      </c>
      <c r="E432" t="s">
        <v>1146</v>
      </c>
      <c r="F432">
        <v>20</v>
      </c>
      <c r="G432">
        <v>8.5</v>
      </c>
      <c r="I432">
        <v>170</v>
      </c>
      <c r="J432">
        <v>31</v>
      </c>
    </row>
    <row r="433" spans="1:10" x14ac:dyDescent="0.25">
      <c r="A433">
        <v>10032</v>
      </c>
      <c r="B433" t="s">
        <v>1299</v>
      </c>
      <c r="C433">
        <v>433</v>
      </c>
      <c r="D433">
        <v>6260063298149</v>
      </c>
      <c r="E433" t="s">
        <v>1365</v>
      </c>
      <c r="F433">
        <v>25</v>
      </c>
      <c r="G433">
        <v>12.8</v>
      </c>
      <c r="I433">
        <v>320</v>
      </c>
      <c r="J433">
        <v>32</v>
      </c>
    </row>
    <row r="434" spans="1:10" x14ac:dyDescent="0.25">
      <c r="A434">
        <v>10032</v>
      </c>
      <c r="B434" t="s">
        <v>1299</v>
      </c>
      <c r="C434">
        <v>434</v>
      </c>
      <c r="D434">
        <v>6264078408005</v>
      </c>
      <c r="E434" t="s">
        <v>244</v>
      </c>
      <c r="F434">
        <v>1</v>
      </c>
      <c r="G434">
        <v>8</v>
      </c>
      <c r="I434">
        <v>8</v>
      </c>
      <c r="J434">
        <v>33</v>
      </c>
    </row>
    <row r="435" spans="1:10" x14ac:dyDescent="0.25">
      <c r="A435">
        <v>10032</v>
      </c>
      <c r="B435" t="s">
        <v>1299</v>
      </c>
      <c r="C435">
        <v>435</v>
      </c>
      <c r="D435">
        <v>6264078408005</v>
      </c>
      <c r="E435" t="s">
        <v>244</v>
      </c>
      <c r="F435">
        <v>1</v>
      </c>
      <c r="G435">
        <v>8</v>
      </c>
      <c r="I435">
        <v>8</v>
      </c>
      <c r="J435">
        <v>34</v>
      </c>
    </row>
    <row r="436" spans="1:10" x14ac:dyDescent="0.25">
      <c r="A436">
        <v>10033</v>
      </c>
      <c r="B436" t="s">
        <v>1458</v>
      </c>
      <c r="C436">
        <v>436</v>
      </c>
      <c r="D436">
        <v>6260800900618</v>
      </c>
      <c r="E436" t="s">
        <v>916</v>
      </c>
      <c r="F436">
        <v>1</v>
      </c>
      <c r="G436">
        <v>30</v>
      </c>
      <c r="I436">
        <v>30</v>
      </c>
      <c r="J436">
        <v>7</v>
      </c>
    </row>
    <row r="437" spans="1:10" x14ac:dyDescent="0.25">
      <c r="A437">
        <v>10033</v>
      </c>
      <c r="B437" t="s">
        <v>1458</v>
      </c>
      <c r="C437">
        <v>437</v>
      </c>
      <c r="D437">
        <v>6260469900110</v>
      </c>
      <c r="E437" t="s">
        <v>1124</v>
      </c>
      <c r="F437">
        <v>4</v>
      </c>
      <c r="G437">
        <v>8</v>
      </c>
      <c r="I437">
        <v>32</v>
      </c>
      <c r="J437">
        <v>8</v>
      </c>
    </row>
    <row r="438" spans="1:10" x14ac:dyDescent="0.25">
      <c r="A438">
        <v>10033</v>
      </c>
      <c r="B438" t="s">
        <v>1458</v>
      </c>
      <c r="C438">
        <v>438</v>
      </c>
      <c r="D438">
        <v>6262003401961</v>
      </c>
      <c r="E438" t="s">
        <v>818</v>
      </c>
      <c r="F438">
        <v>1</v>
      </c>
      <c r="G438">
        <v>55</v>
      </c>
      <c r="I438">
        <v>55</v>
      </c>
      <c r="J438">
        <v>9</v>
      </c>
    </row>
    <row r="439" spans="1:10" x14ac:dyDescent="0.25">
      <c r="A439">
        <v>10034</v>
      </c>
      <c r="B439" t="s">
        <v>1458</v>
      </c>
      <c r="C439">
        <v>439</v>
      </c>
      <c r="D439">
        <v>1300</v>
      </c>
      <c r="E439" t="s">
        <v>357</v>
      </c>
      <c r="F439">
        <v>16</v>
      </c>
      <c r="G439">
        <v>4.5</v>
      </c>
      <c r="I439">
        <v>72</v>
      </c>
      <c r="J439">
        <v>7</v>
      </c>
    </row>
    <row r="440" spans="1:10" x14ac:dyDescent="0.25">
      <c r="A440">
        <v>10035</v>
      </c>
      <c r="B440" t="s">
        <v>1458</v>
      </c>
      <c r="C440">
        <v>440</v>
      </c>
      <c r="D440">
        <v>6269365700251</v>
      </c>
      <c r="E440" t="s">
        <v>820</v>
      </c>
      <c r="F440">
        <v>1</v>
      </c>
      <c r="G440">
        <v>21</v>
      </c>
      <c r="I440">
        <v>21</v>
      </c>
      <c r="J440">
        <v>7</v>
      </c>
    </row>
    <row r="441" spans="1:10" x14ac:dyDescent="0.25">
      <c r="A441">
        <v>10035</v>
      </c>
      <c r="B441" t="s">
        <v>1458</v>
      </c>
      <c r="C441">
        <v>441</v>
      </c>
      <c r="D441">
        <v>6268167900050</v>
      </c>
      <c r="E441" t="s">
        <v>1306</v>
      </c>
      <c r="F441">
        <v>1</v>
      </c>
      <c r="G441">
        <v>23</v>
      </c>
      <c r="I441">
        <v>23</v>
      </c>
      <c r="J441">
        <v>8</v>
      </c>
    </row>
    <row r="442" spans="1:10" x14ac:dyDescent="0.25">
      <c r="A442">
        <v>10035</v>
      </c>
      <c r="B442" t="s">
        <v>1458</v>
      </c>
      <c r="C442">
        <v>442</v>
      </c>
      <c r="D442">
        <v>6269365700251</v>
      </c>
      <c r="E442" t="s">
        <v>820</v>
      </c>
      <c r="F442">
        <v>1</v>
      </c>
      <c r="G442">
        <v>21</v>
      </c>
      <c r="I442">
        <v>21</v>
      </c>
      <c r="J442">
        <v>9</v>
      </c>
    </row>
    <row r="443" spans="1:10" x14ac:dyDescent="0.25">
      <c r="A443">
        <v>10035</v>
      </c>
      <c r="B443" t="s">
        <v>1458</v>
      </c>
      <c r="C443">
        <v>443</v>
      </c>
      <c r="D443">
        <v>6269988500269</v>
      </c>
      <c r="E443" t="s">
        <v>852</v>
      </c>
      <c r="F443">
        <v>1</v>
      </c>
      <c r="G443">
        <v>12</v>
      </c>
      <c r="I443">
        <v>12</v>
      </c>
      <c r="J443">
        <v>10</v>
      </c>
    </row>
    <row r="444" spans="1:10" x14ac:dyDescent="0.25">
      <c r="A444">
        <v>10035</v>
      </c>
      <c r="B444" t="s">
        <v>1458</v>
      </c>
      <c r="C444">
        <v>444</v>
      </c>
      <c r="D444">
        <v>6269988500269</v>
      </c>
      <c r="E444" t="s">
        <v>852</v>
      </c>
      <c r="F444">
        <v>1</v>
      </c>
      <c r="G444">
        <v>12</v>
      </c>
      <c r="I444">
        <v>12</v>
      </c>
      <c r="J444">
        <v>11</v>
      </c>
    </row>
    <row r="445" spans="1:10" x14ac:dyDescent="0.25">
      <c r="A445">
        <v>10035</v>
      </c>
      <c r="B445" t="s">
        <v>1458</v>
      </c>
      <c r="C445">
        <v>445</v>
      </c>
      <c r="D445">
        <v>6260469900509</v>
      </c>
      <c r="E445" t="s">
        <v>1115</v>
      </c>
      <c r="F445">
        <v>1</v>
      </c>
      <c r="G445">
        <v>12</v>
      </c>
      <c r="I445">
        <v>12</v>
      </c>
      <c r="J445">
        <v>12</v>
      </c>
    </row>
    <row r="446" spans="1:10" x14ac:dyDescent="0.25">
      <c r="A446">
        <v>10035</v>
      </c>
      <c r="B446" t="s">
        <v>1458</v>
      </c>
      <c r="C446">
        <v>446</v>
      </c>
      <c r="D446">
        <v>6260469900509</v>
      </c>
      <c r="E446" t="s">
        <v>1115</v>
      </c>
      <c r="F446">
        <v>1</v>
      </c>
      <c r="G446">
        <v>12</v>
      </c>
      <c r="I446">
        <v>12</v>
      </c>
      <c r="J446">
        <v>13</v>
      </c>
    </row>
    <row r="447" spans="1:10" x14ac:dyDescent="0.25">
      <c r="A447">
        <v>10035</v>
      </c>
      <c r="B447" t="s">
        <v>1458</v>
      </c>
      <c r="C447">
        <v>447</v>
      </c>
      <c r="D447">
        <v>7400</v>
      </c>
      <c r="E447" t="s">
        <v>1385</v>
      </c>
      <c r="F447">
        <v>2</v>
      </c>
      <c r="G447">
        <v>6</v>
      </c>
      <c r="I447">
        <v>12</v>
      </c>
      <c r="J447">
        <v>14</v>
      </c>
    </row>
    <row r="448" spans="1:10" x14ac:dyDescent="0.25">
      <c r="A448">
        <v>10035</v>
      </c>
      <c r="B448" t="s">
        <v>1458</v>
      </c>
      <c r="C448">
        <v>448</v>
      </c>
      <c r="D448">
        <v>6260063298149</v>
      </c>
      <c r="E448" t="s">
        <v>1365</v>
      </c>
      <c r="F448">
        <v>1</v>
      </c>
      <c r="G448">
        <v>15</v>
      </c>
      <c r="I448">
        <v>15</v>
      </c>
      <c r="J448">
        <v>15</v>
      </c>
    </row>
    <row r="449" spans="1:10" x14ac:dyDescent="0.25">
      <c r="A449">
        <v>10035</v>
      </c>
      <c r="B449" t="s">
        <v>1458</v>
      </c>
      <c r="C449">
        <v>449</v>
      </c>
      <c r="D449">
        <v>6260063298149</v>
      </c>
      <c r="E449" t="s">
        <v>1365</v>
      </c>
      <c r="F449">
        <v>1</v>
      </c>
      <c r="G449">
        <v>15</v>
      </c>
      <c r="I449">
        <v>15</v>
      </c>
      <c r="J449">
        <v>16</v>
      </c>
    </row>
    <row r="450" spans="1:10" x14ac:dyDescent="0.25">
      <c r="A450">
        <v>10035</v>
      </c>
      <c r="B450" t="s">
        <v>1458</v>
      </c>
      <c r="C450">
        <v>450</v>
      </c>
      <c r="D450">
        <v>162900054350626</v>
      </c>
      <c r="E450" t="s">
        <v>239</v>
      </c>
      <c r="F450">
        <v>1</v>
      </c>
      <c r="G450">
        <v>5</v>
      </c>
      <c r="I450">
        <v>5</v>
      </c>
      <c r="J450">
        <v>17</v>
      </c>
    </row>
    <row r="451" spans="1:10" x14ac:dyDescent="0.25">
      <c r="A451">
        <v>10035</v>
      </c>
      <c r="B451" t="s">
        <v>1458</v>
      </c>
      <c r="C451">
        <v>451</v>
      </c>
      <c r="D451">
        <v>6260543503855</v>
      </c>
      <c r="E451" t="s">
        <v>239</v>
      </c>
      <c r="F451">
        <v>1</v>
      </c>
      <c r="G451">
        <v>5</v>
      </c>
      <c r="I451">
        <v>5</v>
      </c>
      <c r="J451">
        <v>18</v>
      </c>
    </row>
    <row r="452" spans="1:10" x14ac:dyDescent="0.25">
      <c r="A452">
        <v>10035</v>
      </c>
      <c r="B452" t="s">
        <v>1458</v>
      </c>
      <c r="C452">
        <v>452</v>
      </c>
      <c r="D452">
        <v>6260170900522</v>
      </c>
      <c r="E452" t="s">
        <v>861</v>
      </c>
      <c r="F452">
        <v>1</v>
      </c>
      <c r="G452">
        <v>6</v>
      </c>
      <c r="I452">
        <v>6</v>
      </c>
      <c r="J452">
        <v>19</v>
      </c>
    </row>
    <row r="453" spans="1:10" x14ac:dyDescent="0.25">
      <c r="A453">
        <v>10035</v>
      </c>
      <c r="B453" t="s">
        <v>1458</v>
      </c>
      <c r="C453">
        <v>453</v>
      </c>
      <c r="D453">
        <v>6260170900522</v>
      </c>
      <c r="E453" t="s">
        <v>861</v>
      </c>
      <c r="F453">
        <v>1</v>
      </c>
      <c r="G453">
        <v>6</v>
      </c>
      <c r="I453">
        <v>6</v>
      </c>
      <c r="J453">
        <v>20</v>
      </c>
    </row>
    <row r="454" spans="1:10" x14ac:dyDescent="0.25">
      <c r="A454">
        <v>10036</v>
      </c>
      <c r="B454" t="s">
        <v>1458</v>
      </c>
      <c r="C454">
        <v>454</v>
      </c>
      <c r="D454">
        <v>2200</v>
      </c>
      <c r="E454" t="s">
        <v>1225</v>
      </c>
      <c r="F454">
        <v>5</v>
      </c>
      <c r="G454">
        <v>70</v>
      </c>
      <c r="I454">
        <v>350</v>
      </c>
      <c r="J454">
        <v>7</v>
      </c>
    </row>
    <row r="455" spans="1:10" x14ac:dyDescent="0.25">
      <c r="A455">
        <v>10036</v>
      </c>
      <c r="B455" t="s">
        <v>1458</v>
      </c>
      <c r="C455">
        <v>455</v>
      </c>
      <c r="D455">
        <v>6264078409156</v>
      </c>
      <c r="E455" t="s">
        <v>1374</v>
      </c>
      <c r="F455">
        <v>2</v>
      </c>
      <c r="G455">
        <v>10</v>
      </c>
      <c r="I455">
        <v>20</v>
      </c>
      <c r="J455">
        <v>8</v>
      </c>
    </row>
    <row r="456" spans="1:10" x14ac:dyDescent="0.25">
      <c r="A456">
        <v>10036</v>
      </c>
      <c r="B456" t="s">
        <v>1458</v>
      </c>
      <c r="C456">
        <v>456</v>
      </c>
      <c r="D456">
        <v>6264078410992</v>
      </c>
      <c r="E456" t="s">
        <v>1362</v>
      </c>
      <c r="F456">
        <v>1</v>
      </c>
      <c r="G456">
        <v>15</v>
      </c>
      <c r="I456">
        <v>15</v>
      </c>
      <c r="J456">
        <v>9</v>
      </c>
    </row>
    <row r="457" spans="1:10" x14ac:dyDescent="0.25">
      <c r="A457">
        <v>10037</v>
      </c>
      <c r="B457" t="s">
        <v>1458</v>
      </c>
      <c r="C457">
        <v>457</v>
      </c>
      <c r="D457">
        <v>6261422503782</v>
      </c>
      <c r="E457" t="s">
        <v>491</v>
      </c>
      <c r="F457">
        <v>2</v>
      </c>
      <c r="G457">
        <v>30</v>
      </c>
      <c r="I457">
        <v>60</v>
      </c>
      <c r="J457">
        <v>7</v>
      </c>
    </row>
    <row r="458" spans="1:10" x14ac:dyDescent="0.25">
      <c r="A458">
        <v>10038</v>
      </c>
      <c r="B458" t="s">
        <v>1458</v>
      </c>
      <c r="C458">
        <v>458</v>
      </c>
      <c r="D458">
        <v>6262003401961</v>
      </c>
      <c r="E458" t="s">
        <v>818</v>
      </c>
      <c r="F458">
        <v>1</v>
      </c>
      <c r="G458">
        <v>55</v>
      </c>
      <c r="I458">
        <v>55</v>
      </c>
      <c r="J458">
        <v>7</v>
      </c>
    </row>
    <row r="459" spans="1:10" x14ac:dyDescent="0.25">
      <c r="A459">
        <v>10038</v>
      </c>
      <c r="B459" t="s">
        <v>1458</v>
      </c>
      <c r="C459">
        <v>459</v>
      </c>
      <c r="D459">
        <v>6261422503157</v>
      </c>
      <c r="E459" t="s">
        <v>956</v>
      </c>
      <c r="F459">
        <v>1</v>
      </c>
      <c r="G459">
        <v>30</v>
      </c>
      <c r="I459">
        <v>30</v>
      </c>
      <c r="J459">
        <v>8</v>
      </c>
    </row>
    <row r="460" spans="1:10" x14ac:dyDescent="0.25">
      <c r="A460">
        <v>10039</v>
      </c>
      <c r="B460" t="s">
        <v>1458</v>
      </c>
      <c r="C460">
        <v>460</v>
      </c>
      <c r="D460">
        <v>2162314158000000</v>
      </c>
      <c r="E460" t="s">
        <v>1229</v>
      </c>
      <c r="F460">
        <v>1</v>
      </c>
      <c r="G460">
        <v>10</v>
      </c>
      <c r="I460">
        <v>10</v>
      </c>
      <c r="J460">
        <v>7</v>
      </c>
    </row>
    <row r="461" spans="1:10" x14ac:dyDescent="0.25">
      <c r="A461">
        <v>10040</v>
      </c>
      <c r="B461" t="s">
        <v>1458</v>
      </c>
      <c r="C461">
        <v>461</v>
      </c>
      <c r="D461">
        <v>6260010509878</v>
      </c>
      <c r="E461" t="s">
        <v>924</v>
      </c>
      <c r="F461">
        <v>1</v>
      </c>
      <c r="G461">
        <v>17</v>
      </c>
      <c r="I461">
        <v>17</v>
      </c>
      <c r="J461">
        <v>7</v>
      </c>
    </row>
    <row r="462" spans="1:10" x14ac:dyDescent="0.25">
      <c r="A462">
        <v>10040</v>
      </c>
      <c r="B462" t="s">
        <v>1458</v>
      </c>
      <c r="C462">
        <v>462</v>
      </c>
      <c r="D462">
        <v>6260022324025</v>
      </c>
      <c r="E462" t="s">
        <v>740</v>
      </c>
      <c r="F462">
        <v>1</v>
      </c>
      <c r="G462">
        <v>35</v>
      </c>
      <c r="I462">
        <v>35</v>
      </c>
      <c r="J462">
        <v>8</v>
      </c>
    </row>
    <row r="463" spans="1:10" x14ac:dyDescent="0.25">
      <c r="A463">
        <v>10040</v>
      </c>
      <c r="B463" t="s">
        <v>1458</v>
      </c>
      <c r="C463">
        <v>463</v>
      </c>
      <c r="D463">
        <v>6400</v>
      </c>
      <c r="E463" t="s">
        <v>1273</v>
      </c>
      <c r="F463">
        <v>1</v>
      </c>
      <c r="G463">
        <v>25</v>
      </c>
      <c r="I463">
        <v>25</v>
      </c>
      <c r="J463">
        <v>9</v>
      </c>
    </row>
    <row r="464" spans="1:10" x14ac:dyDescent="0.25">
      <c r="A464">
        <v>10040</v>
      </c>
      <c r="J464">
        <v>-8</v>
      </c>
    </row>
    <row r="465" spans="1:10" x14ac:dyDescent="0.25">
      <c r="A465">
        <v>10040</v>
      </c>
      <c r="B465" t="s">
        <v>1458</v>
      </c>
      <c r="C465">
        <v>465</v>
      </c>
      <c r="D465">
        <v>6260474216800</v>
      </c>
      <c r="E465" t="s">
        <v>1245</v>
      </c>
      <c r="F465">
        <v>2</v>
      </c>
      <c r="G465">
        <v>5</v>
      </c>
      <c r="I465">
        <v>10</v>
      </c>
      <c r="J465">
        <v>11</v>
      </c>
    </row>
    <row r="466" spans="1:10" x14ac:dyDescent="0.25">
      <c r="A466">
        <v>10040</v>
      </c>
      <c r="B466" t="s">
        <v>1458</v>
      </c>
      <c r="C466">
        <v>466</v>
      </c>
      <c r="D466">
        <v>6260575904309</v>
      </c>
      <c r="E466" t="s">
        <v>1098</v>
      </c>
      <c r="F466">
        <v>1</v>
      </c>
      <c r="G466">
        <v>10</v>
      </c>
      <c r="I466">
        <v>10</v>
      </c>
      <c r="J466">
        <v>12</v>
      </c>
    </row>
    <row r="467" spans="1:10" x14ac:dyDescent="0.25">
      <c r="A467">
        <v>10040</v>
      </c>
      <c r="B467" t="s">
        <v>1458</v>
      </c>
      <c r="C467">
        <v>467</v>
      </c>
      <c r="D467">
        <v>6260543504289</v>
      </c>
      <c r="E467" t="s">
        <v>698</v>
      </c>
      <c r="F467">
        <v>1</v>
      </c>
      <c r="G467">
        <v>15</v>
      </c>
      <c r="I467">
        <v>15</v>
      </c>
      <c r="J467">
        <v>13</v>
      </c>
    </row>
    <row r="468" spans="1:10" x14ac:dyDescent="0.25">
      <c r="A468">
        <v>10040</v>
      </c>
      <c r="B468" t="s">
        <v>1458</v>
      </c>
      <c r="C468">
        <v>468</v>
      </c>
      <c r="D468">
        <v>6260575900769</v>
      </c>
      <c r="E468" t="s">
        <v>1092</v>
      </c>
      <c r="F468">
        <v>1</v>
      </c>
      <c r="G468">
        <v>5</v>
      </c>
      <c r="I468">
        <v>5</v>
      </c>
      <c r="J468">
        <v>14</v>
      </c>
    </row>
    <row r="469" spans="1:10" x14ac:dyDescent="0.25">
      <c r="A469">
        <v>10040</v>
      </c>
      <c r="B469" t="s">
        <v>1458</v>
      </c>
      <c r="C469">
        <v>469</v>
      </c>
      <c r="D469">
        <v>2200</v>
      </c>
      <c r="E469" t="s">
        <v>1225</v>
      </c>
      <c r="F469">
        <v>2.4500000000000002</v>
      </c>
      <c r="G469">
        <v>70</v>
      </c>
      <c r="I469">
        <v>171.5</v>
      </c>
      <c r="J469">
        <v>15</v>
      </c>
    </row>
    <row r="470" spans="1:10" x14ac:dyDescent="0.25">
      <c r="A470">
        <v>10040</v>
      </c>
      <c r="J470">
        <v>-1</v>
      </c>
    </row>
    <row r="471" spans="1:10" x14ac:dyDescent="0.25">
      <c r="A471">
        <v>10040</v>
      </c>
      <c r="J471">
        <v>-1</v>
      </c>
    </row>
    <row r="472" spans="1:10" x14ac:dyDescent="0.25">
      <c r="A472">
        <v>10040</v>
      </c>
    </row>
    <row r="473" spans="1:10" x14ac:dyDescent="0.25">
      <c r="A473">
        <v>10041</v>
      </c>
      <c r="B473" t="s">
        <v>1458</v>
      </c>
      <c r="C473">
        <v>473</v>
      </c>
      <c r="D473">
        <v>6260806400020</v>
      </c>
      <c r="E473" t="s">
        <v>754</v>
      </c>
      <c r="F473">
        <v>1</v>
      </c>
      <c r="G473">
        <v>50</v>
      </c>
      <c r="I473">
        <v>50</v>
      </c>
      <c r="J473">
        <v>7</v>
      </c>
    </row>
    <row r="474" spans="1:10" x14ac:dyDescent="0.25">
      <c r="A474">
        <v>10041</v>
      </c>
      <c r="B474" t="s">
        <v>1458</v>
      </c>
      <c r="C474">
        <v>474</v>
      </c>
      <c r="D474">
        <v>6260308310278</v>
      </c>
      <c r="E474" t="s">
        <v>778</v>
      </c>
      <c r="F474">
        <v>1</v>
      </c>
      <c r="G474">
        <v>80</v>
      </c>
      <c r="I474">
        <v>80</v>
      </c>
      <c r="J474">
        <v>8</v>
      </c>
    </row>
    <row r="475" spans="1:10" x14ac:dyDescent="0.25">
      <c r="A475">
        <v>10041</v>
      </c>
      <c r="B475" t="s">
        <v>1458</v>
      </c>
      <c r="C475">
        <v>475</v>
      </c>
      <c r="D475">
        <v>5000</v>
      </c>
      <c r="E475" t="s">
        <v>1207</v>
      </c>
      <c r="F475">
        <v>3</v>
      </c>
      <c r="G475">
        <v>2</v>
      </c>
      <c r="I475">
        <v>6</v>
      </c>
      <c r="J475">
        <v>9</v>
      </c>
    </row>
    <row r="476" spans="1:10" x14ac:dyDescent="0.25">
      <c r="A476">
        <v>10042</v>
      </c>
      <c r="B476" t="s">
        <v>1299</v>
      </c>
      <c r="C476">
        <v>476</v>
      </c>
      <c r="D476">
        <v>225822517542789</v>
      </c>
      <c r="E476" t="s">
        <v>824</v>
      </c>
      <c r="F476">
        <v>11</v>
      </c>
      <c r="G476">
        <v>8</v>
      </c>
      <c r="I476">
        <v>88</v>
      </c>
      <c r="J476">
        <v>7</v>
      </c>
    </row>
    <row r="477" spans="1:10" x14ac:dyDescent="0.25">
      <c r="A477">
        <v>10042</v>
      </c>
      <c r="B477" t="s">
        <v>1299</v>
      </c>
      <c r="C477">
        <v>477</v>
      </c>
      <c r="D477">
        <v>6260308301467</v>
      </c>
      <c r="E477" t="s">
        <v>948</v>
      </c>
      <c r="F477">
        <v>2</v>
      </c>
      <c r="G477">
        <v>55</v>
      </c>
      <c r="I477">
        <v>110</v>
      </c>
      <c r="J477">
        <v>8</v>
      </c>
    </row>
    <row r="478" spans="1:10" x14ac:dyDescent="0.25">
      <c r="A478">
        <v>10042</v>
      </c>
      <c r="B478" t="s">
        <v>1299</v>
      </c>
      <c r="C478">
        <v>478</v>
      </c>
      <c r="D478">
        <v>7700</v>
      </c>
      <c r="E478" t="s">
        <v>1439</v>
      </c>
      <c r="F478">
        <v>3.956</v>
      </c>
      <c r="G478">
        <v>160</v>
      </c>
      <c r="I478">
        <v>632.96</v>
      </c>
      <c r="J478">
        <v>9</v>
      </c>
    </row>
    <row r="479" spans="1:10" x14ac:dyDescent="0.25">
      <c r="A479">
        <v>10043</v>
      </c>
      <c r="B479" t="s">
        <v>1458</v>
      </c>
      <c r="C479">
        <v>479</v>
      </c>
      <c r="D479">
        <v>6262310800334</v>
      </c>
      <c r="E479" t="s">
        <v>682</v>
      </c>
      <c r="F479">
        <v>1</v>
      </c>
      <c r="G479">
        <v>20</v>
      </c>
      <c r="I479">
        <v>20</v>
      </c>
      <c r="J479">
        <v>7</v>
      </c>
    </row>
    <row r="480" spans="1:10" x14ac:dyDescent="0.25">
      <c r="A480">
        <v>10043</v>
      </c>
      <c r="B480" t="s">
        <v>1458</v>
      </c>
      <c r="C480">
        <v>480</v>
      </c>
      <c r="D480">
        <v>6265826100134</v>
      </c>
      <c r="E480" t="s">
        <v>814</v>
      </c>
      <c r="F480">
        <v>2</v>
      </c>
      <c r="G480">
        <v>20</v>
      </c>
      <c r="I480">
        <v>40</v>
      </c>
      <c r="J480">
        <v>8</v>
      </c>
    </row>
    <row r="481" spans="1:10" x14ac:dyDescent="0.25">
      <c r="A481">
        <v>10044</v>
      </c>
      <c r="B481" t="s">
        <v>1299</v>
      </c>
      <c r="C481">
        <v>481</v>
      </c>
      <c r="D481">
        <v>6265826100134</v>
      </c>
      <c r="E481" t="s">
        <v>814</v>
      </c>
      <c r="F481">
        <v>10</v>
      </c>
      <c r="G481">
        <v>20</v>
      </c>
      <c r="I481">
        <v>200</v>
      </c>
      <c r="J481">
        <v>7</v>
      </c>
    </row>
    <row r="482" spans="1:10" x14ac:dyDescent="0.25">
      <c r="A482">
        <v>10044</v>
      </c>
      <c r="B482" t="s">
        <v>1299</v>
      </c>
      <c r="C482">
        <v>482</v>
      </c>
      <c r="D482">
        <v>6269365700077</v>
      </c>
      <c r="E482" t="s">
        <v>264</v>
      </c>
      <c r="F482">
        <v>10</v>
      </c>
      <c r="G482">
        <v>17</v>
      </c>
      <c r="I482">
        <v>170</v>
      </c>
      <c r="J482">
        <v>8</v>
      </c>
    </row>
    <row r="483" spans="1:10" x14ac:dyDescent="0.25">
      <c r="A483">
        <v>10044</v>
      </c>
      <c r="B483" t="s">
        <v>1299</v>
      </c>
      <c r="C483">
        <v>483</v>
      </c>
      <c r="D483">
        <v>6269365700091</v>
      </c>
      <c r="E483" t="s">
        <v>272</v>
      </c>
      <c r="F483">
        <v>10</v>
      </c>
      <c r="G483">
        <v>17</v>
      </c>
      <c r="I483">
        <v>170</v>
      </c>
      <c r="J483">
        <v>9</v>
      </c>
    </row>
    <row r="484" spans="1:10" x14ac:dyDescent="0.25">
      <c r="A484">
        <v>10044</v>
      </c>
      <c r="B484" t="s">
        <v>1299</v>
      </c>
      <c r="C484">
        <v>484</v>
      </c>
      <c r="D484">
        <v>6262003401961</v>
      </c>
      <c r="E484" t="s">
        <v>818</v>
      </c>
      <c r="F484">
        <v>10</v>
      </c>
      <c r="G484">
        <v>53</v>
      </c>
      <c r="I484">
        <v>530</v>
      </c>
      <c r="J484">
        <v>10</v>
      </c>
    </row>
    <row r="485" spans="1:10" x14ac:dyDescent="0.25">
      <c r="A485">
        <v>10044</v>
      </c>
      <c r="B485" t="s">
        <v>1299</v>
      </c>
      <c r="C485">
        <v>485</v>
      </c>
      <c r="D485">
        <v>6265826100028</v>
      </c>
      <c r="E485" t="s">
        <v>712</v>
      </c>
      <c r="F485">
        <v>10</v>
      </c>
      <c r="G485">
        <v>20</v>
      </c>
      <c r="I485">
        <v>200</v>
      </c>
      <c r="J485">
        <v>11</v>
      </c>
    </row>
    <row r="486" spans="1:10" x14ac:dyDescent="0.25">
      <c r="A486">
        <v>10040</v>
      </c>
      <c r="B486" t="s">
        <v>1458</v>
      </c>
      <c r="C486">
        <v>486</v>
      </c>
      <c r="D486">
        <v>6261149070321</v>
      </c>
      <c r="E486" t="s">
        <v>228</v>
      </c>
      <c r="F486">
        <v>1</v>
      </c>
      <c r="G486">
        <v>10</v>
      </c>
      <c r="I486">
        <v>10</v>
      </c>
      <c r="J486">
        <v>15</v>
      </c>
    </row>
    <row r="487" spans="1:10" x14ac:dyDescent="0.25">
      <c r="A487">
        <v>10042</v>
      </c>
      <c r="B487" t="s">
        <v>1299</v>
      </c>
      <c r="C487">
        <v>487</v>
      </c>
      <c r="D487">
        <v>6261422503423</v>
      </c>
      <c r="E487" t="s">
        <v>487</v>
      </c>
      <c r="F487">
        <v>2</v>
      </c>
      <c r="G487">
        <v>30</v>
      </c>
      <c r="I487">
        <v>60</v>
      </c>
      <c r="J487">
        <v>10</v>
      </c>
    </row>
    <row r="488" spans="1:10" x14ac:dyDescent="0.25">
      <c r="A488">
        <v>10042</v>
      </c>
      <c r="B488" t="s">
        <v>1299</v>
      </c>
      <c r="C488">
        <v>488</v>
      </c>
      <c r="D488">
        <v>6261422503782</v>
      </c>
      <c r="E488" t="s">
        <v>491</v>
      </c>
      <c r="F488">
        <v>21</v>
      </c>
      <c r="G488">
        <v>30</v>
      </c>
      <c r="I488">
        <v>630</v>
      </c>
      <c r="J488">
        <v>11</v>
      </c>
    </row>
    <row r="489" spans="1:10" x14ac:dyDescent="0.25">
      <c r="A489">
        <v>10042</v>
      </c>
      <c r="B489" t="s">
        <v>1299</v>
      </c>
      <c r="C489">
        <v>489</v>
      </c>
      <c r="D489">
        <v>6261422503157</v>
      </c>
      <c r="E489" t="s">
        <v>956</v>
      </c>
      <c r="F489">
        <v>24</v>
      </c>
      <c r="G489">
        <v>30</v>
      </c>
      <c r="I489">
        <v>720</v>
      </c>
      <c r="J489">
        <v>12</v>
      </c>
    </row>
    <row r="490" spans="1:10" x14ac:dyDescent="0.25">
      <c r="A490">
        <v>10045</v>
      </c>
      <c r="B490" t="s">
        <v>1458</v>
      </c>
      <c r="C490">
        <v>490</v>
      </c>
      <c r="D490">
        <v>6260918500175</v>
      </c>
      <c r="E490" t="s">
        <v>1123</v>
      </c>
      <c r="F490">
        <v>2</v>
      </c>
      <c r="G490">
        <v>10</v>
      </c>
      <c r="I490">
        <v>20</v>
      </c>
      <c r="J490">
        <v>7</v>
      </c>
    </row>
    <row r="491" spans="1:10" x14ac:dyDescent="0.25">
      <c r="A491">
        <v>10046</v>
      </c>
      <c r="B491" t="s">
        <v>1299</v>
      </c>
      <c r="C491">
        <v>491</v>
      </c>
      <c r="D491">
        <v>7800</v>
      </c>
      <c r="E491" t="s">
        <v>1450</v>
      </c>
      <c r="F491">
        <v>31</v>
      </c>
      <c r="G491">
        <v>6</v>
      </c>
      <c r="I491">
        <v>186</v>
      </c>
      <c r="J491">
        <v>7</v>
      </c>
    </row>
    <row r="492" spans="1:10" x14ac:dyDescent="0.25">
      <c r="A492">
        <v>10046</v>
      </c>
      <c r="B492" t="s">
        <v>1299</v>
      </c>
      <c r="C492">
        <v>492</v>
      </c>
      <c r="D492">
        <v>6269948100201</v>
      </c>
      <c r="E492" t="s">
        <v>1311</v>
      </c>
      <c r="F492">
        <v>6</v>
      </c>
      <c r="G492">
        <v>10</v>
      </c>
      <c r="I492">
        <v>60</v>
      </c>
      <c r="J492">
        <v>8</v>
      </c>
    </row>
    <row r="493" spans="1:10" x14ac:dyDescent="0.25">
      <c r="A493">
        <v>10046</v>
      </c>
      <c r="B493" t="s">
        <v>1299</v>
      </c>
      <c r="C493">
        <v>493</v>
      </c>
      <c r="D493">
        <v>6269948100195</v>
      </c>
      <c r="E493" t="s">
        <v>1478</v>
      </c>
      <c r="F493">
        <v>10</v>
      </c>
      <c r="G493">
        <v>10</v>
      </c>
      <c r="I493">
        <v>100</v>
      </c>
      <c r="J493">
        <v>9</v>
      </c>
    </row>
    <row r="494" spans="1:10" x14ac:dyDescent="0.25">
      <c r="A494">
        <v>10047</v>
      </c>
      <c r="B494" t="s">
        <v>1458</v>
      </c>
      <c r="C494">
        <v>494</v>
      </c>
      <c r="D494">
        <v>6269365700077</v>
      </c>
      <c r="E494" t="s">
        <v>264</v>
      </c>
      <c r="F494">
        <v>3</v>
      </c>
      <c r="G494">
        <v>18</v>
      </c>
      <c r="I494">
        <v>54</v>
      </c>
      <c r="J494">
        <v>7</v>
      </c>
    </row>
    <row r="495" spans="1:10" x14ac:dyDescent="0.25">
      <c r="A495">
        <v>10048</v>
      </c>
      <c r="B495" t="s">
        <v>1458</v>
      </c>
      <c r="C495">
        <v>495</v>
      </c>
      <c r="D495">
        <v>6260022324025</v>
      </c>
      <c r="E495" t="s">
        <v>740</v>
      </c>
      <c r="F495">
        <v>1</v>
      </c>
      <c r="G495">
        <v>35</v>
      </c>
      <c r="I495">
        <v>35</v>
      </c>
      <c r="J495">
        <v>7</v>
      </c>
    </row>
    <row r="496" spans="1:10" x14ac:dyDescent="0.25">
      <c r="A496">
        <v>10049</v>
      </c>
      <c r="B496" t="s">
        <v>1458</v>
      </c>
      <c r="C496">
        <v>496</v>
      </c>
      <c r="D496">
        <v>6265826100028</v>
      </c>
      <c r="E496" t="s">
        <v>712</v>
      </c>
      <c r="F496">
        <v>2</v>
      </c>
      <c r="G496">
        <v>21</v>
      </c>
      <c r="I496">
        <v>42</v>
      </c>
      <c r="J496">
        <v>7</v>
      </c>
    </row>
    <row r="497" spans="1:10" x14ac:dyDescent="0.25">
      <c r="A497">
        <v>10050</v>
      </c>
      <c r="B497" t="s">
        <v>1458</v>
      </c>
      <c r="C497">
        <v>497</v>
      </c>
      <c r="D497">
        <v>7700</v>
      </c>
      <c r="E497" t="s">
        <v>1439</v>
      </c>
      <c r="F497">
        <v>0.56000000000000005</v>
      </c>
      <c r="G497">
        <v>180</v>
      </c>
      <c r="I497">
        <v>100.80000000000001</v>
      </c>
      <c r="J497">
        <v>7</v>
      </c>
    </row>
    <row r="498" spans="1:10" x14ac:dyDescent="0.25">
      <c r="A498">
        <v>10051</v>
      </c>
      <c r="B498" t="s">
        <v>1458</v>
      </c>
      <c r="C498">
        <v>498</v>
      </c>
      <c r="D498">
        <v>1300</v>
      </c>
      <c r="E498" t="s">
        <v>357</v>
      </c>
      <c r="F498">
        <v>8</v>
      </c>
      <c r="G498">
        <v>4.5</v>
      </c>
      <c r="I498">
        <v>36</v>
      </c>
      <c r="J498">
        <v>7</v>
      </c>
    </row>
    <row r="499" spans="1:10" x14ac:dyDescent="0.25">
      <c r="A499">
        <v>10052</v>
      </c>
      <c r="B499" t="s">
        <v>1458</v>
      </c>
      <c r="C499">
        <v>499</v>
      </c>
      <c r="D499">
        <v>6269988500269</v>
      </c>
      <c r="E499" t="s">
        <v>852</v>
      </c>
      <c r="F499">
        <v>1</v>
      </c>
      <c r="G499">
        <v>12</v>
      </c>
      <c r="I499">
        <v>12</v>
      </c>
      <c r="J499">
        <v>7</v>
      </c>
    </row>
    <row r="500" spans="1:10" x14ac:dyDescent="0.25">
      <c r="A500">
        <v>10052</v>
      </c>
      <c r="B500" t="s">
        <v>1458</v>
      </c>
      <c r="C500">
        <v>500</v>
      </c>
      <c r="D500">
        <v>1100</v>
      </c>
      <c r="E500" t="s">
        <v>615</v>
      </c>
      <c r="F500">
        <v>6</v>
      </c>
      <c r="G500">
        <v>3</v>
      </c>
      <c r="I500">
        <v>18</v>
      </c>
      <c r="J500">
        <v>8</v>
      </c>
    </row>
    <row r="501" spans="1:10" x14ac:dyDescent="0.25">
      <c r="A501">
        <v>10053</v>
      </c>
    </row>
    <row r="502" spans="1:10" x14ac:dyDescent="0.25">
      <c r="A502">
        <v>10054</v>
      </c>
      <c r="B502" t="s">
        <v>1458</v>
      </c>
      <c r="C502">
        <v>502</v>
      </c>
      <c r="D502">
        <v>160100153410010</v>
      </c>
      <c r="E502" t="s">
        <v>1226</v>
      </c>
      <c r="F502">
        <v>2</v>
      </c>
      <c r="G502">
        <v>37.5</v>
      </c>
      <c r="I502">
        <v>75</v>
      </c>
      <c r="J502">
        <v>7</v>
      </c>
    </row>
    <row r="503" spans="1:10" x14ac:dyDescent="0.25">
      <c r="A503">
        <v>10054</v>
      </c>
    </row>
    <row r="504" spans="1:10" x14ac:dyDescent="0.25">
      <c r="A504">
        <v>10054</v>
      </c>
      <c r="B504" t="s">
        <v>1458</v>
      </c>
      <c r="C504">
        <v>504</v>
      </c>
      <c r="D504">
        <v>6260166910306</v>
      </c>
      <c r="E504" t="s">
        <v>1324</v>
      </c>
      <c r="F504">
        <v>1</v>
      </c>
      <c r="G504">
        <v>10</v>
      </c>
      <c r="I504">
        <v>10</v>
      </c>
      <c r="J504">
        <v>8</v>
      </c>
    </row>
    <row r="505" spans="1:10" x14ac:dyDescent="0.25">
      <c r="A505">
        <v>10055</v>
      </c>
      <c r="B505" t="s">
        <v>1299</v>
      </c>
      <c r="C505">
        <v>505</v>
      </c>
      <c r="D505">
        <v>160290016690012</v>
      </c>
      <c r="E505" t="s">
        <v>1324</v>
      </c>
      <c r="F505">
        <v>9</v>
      </c>
      <c r="G505">
        <v>10</v>
      </c>
      <c r="I505">
        <v>90</v>
      </c>
      <c r="J505">
        <v>7</v>
      </c>
    </row>
    <row r="506" spans="1:10" x14ac:dyDescent="0.25">
      <c r="A506">
        <v>10056</v>
      </c>
      <c r="B506" t="s">
        <v>1458</v>
      </c>
      <c r="C506">
        <v>506</v>
      </c>
      <c r="D506">
        <v>6260063298149</v>
      </c>
      <c r="E506" t="s">
        <v>1365</v>
      </c>
      <c r="F506">
        <v>1</v>
      </c>
      <c r="G506">
        <v>15</v>
      </c>
      <c r="I506">
        <v>15</v>
      </c>
      <c r="J506">
        <v>7</v>
      </c>
    </row>
    <row r="507" spans="1:10" x14ac:dyDescent="0.25">
      <c r="A507">
        <v>10057</v>
      </c>
      <c r="B507" t="s">
        <v>1458</v>
      </c>
      <c r="C507">
        <v>507</v>
      </c>
      <c r="D507">
        <v>6265826100837</v>
      </c>
      <c r="E507" t="s">
        <v>704</v>
      </c>
      <c r="F507">
        <v>2</v>
      </c>
      <c r="G507">
        <v>18</v>
      </c>
      <c r="I507">
        <v>36</v>
      </c>
      <c r="J507">
        <v>7</v>
      </c>
    </row>
    <row r="508" spans="1:10" x14ac:dyDescent="0.25">
      <c r="A508">
        <v>10058</v>
      </c>
      <c r="B508" t="s">
        <v>1458</v>
      </c>
      <c r="C508">
        <v>508</v>
      </c>
      <c r="D508">
        <v>1169910018400000</v>
      </c>
      <c r="E508" t="s">
        <v>590</v>
      </c>
      <c r="F508">
        <v>1</v>
      </c>
      <c r="G508">
        <v>1</v>
      </c>
      <c r="I508">
        <v>1</v>
      </c>
      <c r="J508">
        <v>7</v>
      </c>
    </row>
    <row r="509" spans="1:10" x14ac:dyDescent="0.25">
      <c r="A509">
        <v>10059</v>
      </c>
      <c r="B509" t="s">
        <v>1299</v>
      </c>
      <c r="C509">
        <v>509</v>
      </c>
      <c r="D509">
        <v>6262228200028</v>
      </c>
      <c r="E509" t="s">
        <v>1446</v>
      </c>
      <c r="F509">
        <v>14</v>
      </c>
      <c r="G509">
        <v>8</v>
      </c>
      <c r="I509">
        <v>112</v>
      </c>
      <c r="J509">
        <v>7</v>
      </c>
    </row>
    <row r="510" spans="1:10" x14ac:dyDescent="0.25">
      <c r="A510">
        <v>10059</v>
      </c>
      <c r="B510" t="s">
        <v>1299</v>
      </c>
      <c r="C510">
        <v>510</v>
      </c>
      <c r="D510">
        <v>160290222820002</v>
      </c>
      <c r="E510" t="s">
        <v>1400</v>
      </c>
      <c r="F510">
        <v>14</v>
      </c>
      <c r="G510">
        <v>7</v>
      </c>
      <c r="I510">
        <v>98</v>
      </c>
      <c r="J510">
        <v>8</v>
      </c>
    </row>
    <row r="511" spans="1:10" x14ac:dyDescent="0.25">
      <c r="A511">
        <v>10058</v>
      </c>
      <c r="B511" t="s">
        <v>1458</v>
      </c>
      <c r="C511">
        <v>511</v>
      </c>
      <c r="D511">
        <v>160290222820002</v>
      </c>
      <c r="E511" t="s">
        <v>1400</v>
      </c>
      <c r="F511">
        <v>1</v>
      </c>
      <c r="G511">
        <v>8</v>
      </c>
      <c r="I511">
        <v>8</v>
      </c>
      <c r="J511">
        <v>8</v>
      </c>
    </row>
    <row r="512" spans="1:10" x14ac:dyDescent="0.25">
      <c r="A512">
        <v>10059</v>
      </c>
      <c r="B512" t="s">
        <v>1299</v>
      </c>
      <c r="C512">
        <v>512</v>
      </c>
      <c r="D512">
        <v>6260124301429</v>
      </c>
      <c r="E512" t="s">
        <v>1276</v>
      </c>
      <c r="F512">
        <v>14</v>
      </c>
      <c r="G512">
        <v>8</v>
      </c>
      <c r="I512">
        <v>112</v>
      </c>
      <c r="J512">
        <v>9</v>
      </c>
    </row>
    <row r="513" spans="1:10" x14ac:dyDescent="0.25">
      <c r="A513">
        <v>10060</v>
      </c>
      <c r="B513" t="s">
        <v>1458</v>
      </c>
      <c r="C513">
        <v>513</v>
      </c>
      <c r="D513">
        <v>5200</v>
      </c>
      <c r="E513" t="s">
        <v>866</v>
      </c>
      <c r="F513">
        <v>1</v>
      </c>
      <c r="G513">
        <v>1</v>
      </c>
      <c r="I513">
        <v>1</v>
      </c>
      <c r="J513">
        <v>7</v>
      </c>
    </row>
    <row r="514" spans="1:10" x14ac:dyDescent="0.25">
      <c r="A514">
        <v>10060</v>
      </c>
      <c r="B514" t="s">
        <v>1458</v>
      </c>
      <c r="C514">
        <v>514</v>
      </c>
      <c r="D514">
        <v>2200</v>
      </c>
      <c r="E514" t="s">
        <v>1225</v>
      </c>
      <c r="F514">
        <v>2.3450000000000002</v>
      </c>
      <c r="G514">
        <v>70</v>
      </c>
      <c r="I514">
        <v>164.15</v>
      </c>
      <c r="J514">
        <v>8</v>
      </c>
    </row>
    <row r="515" spans="1:10" x14ac:dyDescent="0.25">
      <c r="A515">
        <v>10061</v>
      </c>
      <c r="B515" t="s">
        <v>1458</v>
      </c>
      <c r="C515">
        <v>515</v>
      </c>
      <c r="D515">
        <v>6260053186241</v>
      </c>
      <c r="E515" t="s">
        <v>1179</v>
      </c>
      <c r="F515">
        <v>1</v>
      </c>
      <c r="G515">
        <v>25</v>
      </c>
      <c r="I515">
        <v>25</v>
      </c>
      <c r="J515">
        <v>7</v>
      </c>
    </row>
    <row r="516" spans="1:10" x14ac:dyDescent="0.25">
      <c r="A516">
        <v>10062</v>
      </c>
      <c r="B516" t="s">
        <v>1458</v>
      </c>
      <c r="C516">
        <v>516</v>
      </c>
      <c r="D516">
        <v>7700</v>
      </c>
      <c r="E516" t="s">
        <v>1439</v>
      </c>
      <c r="F516">
        <v>0.39500000000000002</v>
      </c>
      <c r="G516">
        <v>180</v>
      </c>
      <c r="I516">
        <v>71.100000000000009</v>
      </c>
      <c r="J516">
        <v>7</v>
      </c>
    </row>
    <row r="517" spans="1:10" x14ac:dyDescent="0.25">
      <c r="A517">
        <v>10063</v>
      </c>
      <c r="B517" t="s">
        <v>1458</v>
      </c>
      <c r="C517">
        <v>517</v>
      </c>
      <c r="D517">
        <v>6261847503244</v>
      </c>
      <c r="E517" t="s">
        <v>598</v>
      </c>
      <c r="F517">
        <v>1</v>
      </c>
      <c r="G517">
        <v>18</v>
      </c>
      <c r="I517">
        <v>18</v>
      </c>
      <c r="J517">
        <v>7</v>
      </c>
    </row>
    <row r="518" spans="1:10" x14ac:dyDescent="0.25">
      <c r="A518">
        <v>10063</v>
      </c>
      <c r="B518" t="s">
        <v>1458</v>
      </c>
      <c r="C518">
        <v>518</v>
      </c>
      <c r="D518">
        <v>6264078409156</v>
      </c>
      <c r="E518" t="s">
        <v>1374</v>
      </c>
      <c r="F518">
        <v>3</v>
      </c>
      <c r="G518">
        <v>10</v>
      </c>
      <c r="I518">
        <v>30</v>
      </c>
      <c r="J518">
        <v>8</v>
      </c>
    </row>
    <row r="519" spans="1:10" x14ac:dyDescent="0.25">
      <c r="A519">
        <v>10064</v>
      </c>
      <c r="B519" t="s">
        <v>1458</v>
      </c>
      <c r="C519">
        <v>519</v>
      </c>
      <c r="D519">
        <v>6260918500175</v>
      </c>
      <c r="E519" t="s">
        <v>1123</v>
      </c>
      <c r="F519">
        <v>2</v>
      </c>
      <c r="G519">
        <v>10</v>
      </c>
      <c r="I519">
        <v>20</v>
      </c>
      <c r="J519">
        <v>7</v>
      </c>
    </row>
    <row r="520" spans="1:10" x14ac:dyDescent="0.25">
      <c r="A520">
        <v>10065</v>
      </c>
      <c r="B520" t="s">
        <v>1458</v>
      </c>
      <c r="C520">
        <v>520</v>
      </c>
      <c r="D520">
        <v>6265663104265</v>
      </c>
      <c r="E520" t="s">
        <v>1338</v>
      </c>
      <c r="F520">
        <v>1</v>
      </c>
      <c r="G520">
        <v>10</v>
      </c>
      <c r="I520">
        <v>10</v>
      </c>
      <c r="J520">
        <v>7</v>
      </c>
    </row>
    <row r="521" spans="1:10" x14ac:dyDescent="0.25">
      <c r="A521">
        <v>10065</v>
      </c>
      <c r="B521" t="s">
        <v>1458</v>
      </c>
      <c r="C521">
        <v>521</v>
      </c>
      <c r="D521">
        <v>6265663104265</v>
      </c>
      <c r="E521" t="s">
        <v>1338</v>
      </c>
      <c r="F521">
        <v>1</v>
      </c>
      <c r="G521">
        <v>10</v>
      </c>
      <c r="I521">
        <v>10</v>
      </c>
      <c r="J521">
        <v>8</v>
      </c>
    </row>
    <row r="522" spans="1:10" x14ac:dyDescent="0.25">
      <c r="A522">
        <v>10065</v>
      </c>
      <c r="B522" t="s">
        <v>1458</v>
      </c>
      <c r="C522">
        <v>522</v>
      </c>
      <c r="D522">
        <v>6260007406463</v>
      </c>
      <c r="E522" t="s">
        <v>912</v>
      </c>
      <c r="F522">
        <v>1</v>
      </c>
      <c r="G522">
        <v>17</v>
      </c>
      <c r="I522">
        <v>17</v>
      </c>
      <c r="J522">
        <v>9</v>
      </c>
    </row>
    <row r="523" spans="1:10" x14ac:dyDescent="0.25">
      <c r="A523">
        <v>10065</v>
      </c>
      <c r="B523" t="s">
        <v>1458</v>
      </c>
      <c r="C523">
        <v>523</v>
      </c>
      <c r="D523">
        <v>6260007406463</v>
      </c>
      <c r="E523" t="s">
        <v>912</v>
      </c>
      <c r="F523">
        <v>1</v>
      </c>
      <c r="G523">
        <v>17</v>
      </c>
      <c r="I523">
        <v>17</v>
      </c>
      <c r="J523">
        <v>10</v>
      </c>
    </row>
    <row r="524" spans="1:10" x14ac:dyDescent="0.25">
      <c r="A524">
        <v>10065</v>
      </c>
      <c r="B524" t="s">
        <v>1458</v>
      </c>
      <c r="C524">
        <v>524</v>
      </c>
      <c r="D524">
        <v>6265499500040</v>
      </c>
      <c r="E524" t="s">
        <v>629</v>
      </c>
      <c r="F524">
        <v>1</v>
      </c>
      <c r="G524">
        <v>80</v>
      </c>
      <c r="I524">
        <v>80</v>
      </c>
      <c r="J524">
        <v>11</v>
      </c>
    </row>
    <row r="525" spans="1:10" x14ac:dyDescent="0.25">
      <c r="A525">
        <v>10066</v>
      </c>
      <c r="B525" t="s">
        <v>1458</v>
      </c>
      <c r="C525">
        <v>525</v>
      </c>
      <c r="D525">
        <v>6265663104265</v>
      </c>
      <c r="E525" t="s">
        <v>1394</v>
      </c>
      <c r="F525">
        <v>1</v>
      </c>
      <c r="G525">
        <v>25</v>
      </c>
      <c r="I525">
        <v>25</v>
      </c>
      <c r="J525">
        <v>7</v>
      </c>
    </row>
    <row r="526" spans="1:10" x14ac:dyDescent="0.25">
      <c r="A526">
        <v>10066</v>
      </c>
    </row>
    <row r="527" spans="1:10" x14ac:dyDescent="0.25">
      <c r="A527">
        <v>10067</v>
      </c>
      <c r="B527" t="s">
        <v>1458</v>
      </c>
      <c r="C527">
        <v>527</v>
      </c>
      <c r="D527">
        <v>6265663104265</v>
      </c>
      <c r="E527" t="s">
        <v>1338</v>
      </c>
      <c r="F527">
        <v>2</v>
      </c>
      <c r="G527">
        <v>10</v>
      </c>
      <c r="I527">
        <v>20</v>
      </c>
      <c r="J527">
        <v>7</v>
      </c>
    </row>
    <row r="528" spans="1:10" x14ac:dyDescent="0.25">
      <c r="A528">
        <v>10068</v>
      </c>
      <c r="B528" t="s">
        <v>1458</v>
      </c>
      <c r="C528">
        <v>528</v>
      </c>
      <c r="D528">
        <v>6261163400197</v>
      </c>
      <c r="E528" t="s">
        <v>254</v>
      </c>
      <c r="F528">
        <v>2</v>
      </c>
      <c r="G528">
        <v>20</v>
      </c>
      <c r="I528">
        <v>40</v>
      </c>
      <c r="J528">
        <v>7</v>
      </c>
    </row>
    <row r="529" spans="1:10" x14ac:dyDescent="0.25">
      <c r="A529">
        <v>10069</v>
      </c>
      <c r="B529" t="s">
        <v>1458</v>
      </c>
      <c r="C529">
        <v>529</v>
      </c>
      <c r="D529">
        <v>5600</v>
      </c>
      <c r="E529" t="s">
        <v>1223</v>
      </c>
      <c r="F529">
        <v>0.2</v>
      </c>
      <c r="G529">
        <v>750</v>
      </c>
      <c r="I529">
        <v>150</v>
      </c>
      <c r="J529">
        <v>7</v>
      </c>
    </row>
    <row r="530" spans="1:10" x14ac:dyDescent="0.25">
      <c r="A530">
        <v>10069</v>
      </c>
      <c r="B530" t="s">
        <v>1458</v>
      </c>
      <c r="C530">
        <v>530</v>
      </c>
      <c r="D530">
        <v>1300</v>
      </c>
      <c r="E530" t="s">
        <v>357</v>
      </c>
      <c r="F530">
        <v>3</v>
      </c>
      <c r="G530">
        <v>4.5</v>
      </c>
      <c r="I530">
        <v>13.5</v>
      </c>
      <c r="J530">
        <v>8</v>
      </c>
    </row>
    <row r="531" spans="1:10" x14ac:dyDescent="0.25">
      <c r="A531">
        <v>10070</v>
      </c>
      <c r="B531" t="s">
        <v>1458</v>
      </c>
      <c r="C531">
        <v>531</v>
      </c>
      <c r="D531">
        <v>6260152300586</v>
      </c>
      <c r="E531" t="s">
        <v>974</v>
      </c>
      <c r="F531">
        <v>1</v>
      </c>
      <c r="G531">
        <v>130</v>
      </c>
      <c r="I531">
        <v>130</v>
      </c>
      <c r="J531">
        <v>7</v>
      </c>
    </row>
    <row r="532" spans="1:10" x14ac:dyDescent="0.25">
      <c r="A532">
        <v>10070</v>
      </c>
      <c r="B532" t="s">
        <v>1458</v>
      </c>
      <c r="C532">
        <v>532</v>
      </c>
      <c r="D532">
        <v>1300</v>
      </c>
      <c r="E532" t="s">
        <v>357</v>
      </c>
      <c r="F532">
        <v>7</v>
      </c>
      <c r="G532">
        <v>4.5</v>
      </c>
      <c r="I532">
        <v>31.5</v>
      </c>
      <c r="J532">
        <v>8</v>
      </c>
    </row>
    <row r="533" spans="1:10" x14ac:dyDescent="0.25">
      <c r="A533">
        <v>10071</v>
      </c>
      <c r="B533" t="s">
        <v>1458</v>
      </c>
      <c r="C533">
        <v>533</v>
      </c>
      <c r="D533">
        <v>1300</v>
      </c>
      <c r="E533" t="s">
        <v>357</v>
      </c>
      <c r="F533">
        <v>10</v>
      </c>
      <c r="G533">
        <v>4.5</v>
      </c>
      <c r="I533">
        <v>45</v>
      </c>
      <c r="J533">
        <v>7</v>
      </c>
    </row>
    <row r="534" spans="1:10" x14ac:dyDescent="0.25">
      <c r="A534">
        <v>10071</v>
      </c>
      <c r="B534" t="s">
        <v>1458</v>
      </c>
      <c r="C534">
        <v>534</v>
      </c>
      <c r="D534">
        <v>6262181500128</v>
      </c>
      <c r="E534" t="s">
        <v>726</v>
      </c>
      <c r="F534">
        <v>3</v>
      </c>
      <c r="G534">
        <v>5</v>
      </c>
      <c r="I534">
        <v>15</v>
      </c>
      <c r="J534">
        <v>8</v>
      </c>
    </row>
    <row r="535" spans="1:10" x14ac:dyDescent="0.25">
      <c r="A535">
        <v>10071</v>
      </c>
      <c r="B535" t="s">
        <v>1458</v>
      </c>
      <c r="C535">
        <v>535</v>
      </c>
      <c r="D535">
        <v>6260737001631</v>
      </c>
      <c r="E535" t="s">
        <v>1441</v>
      </c>
      <c r="F535">
        <v>1</v>
      </c>
      <c r="G535">
        <v>10</v>
      </c>
      <c r="I535">
        <v>10</v>
      </c>
      <c r="J535">
        <v>9</v>
      </c>
    </row>
    <row r="536" spans="1:10" x14ac:dyDescent="0.25">
      <c r="A536">
        <v>10072</v>
      </c>
      <c r="B536" t="s">
        <v>1299</v>
      </c>
      <c r="C536">
        <v>536</v>
      </c>
      <c r="D536">
        <v>6261422503003</v>
      </c>
      <c r="E536" t="s">
        <v>955</v>
      </c>
      <c r="F536">
        <v>24</v>
      </c>
      <c r="G536">
        <v>26.25</v>
      </c>
      <c r="I536">
        <v>630</v>
      </c>
      <c r="J536">
        <v>7</v>
      </c>
    </row>
    <row r="537" spans="1:10" x14ac:dyDescent="0.25">
      <c r="A537">
        <v>10072</v>
      </c>
      <c r="B537" t="s">
        <v>1299</v>
      </c>
      <c r="C537">
        <v>537</v>
      </c>
      <c r="D537">
        <v>6260501700746</v>
      </c>
      <c r="E537" t="s">
        <v>1483</v>
      </c>
      <c r="F537">
        <v>6</v>
      </c>
      <c r="G537">
        <v>11.6</v>
      </c>
      <c r="I537">
        <v>69.599999999999994</v>
      </c>
      <c r="J537">
        <v>8</v>
      </c>
    </row>
    <row r="538" spans="1:10" x14ac:dyDescent="0.25">
      <c r="A538">
        <v>10072</v>
      </c>
      <c r="B538" t="s">
        <v>1299</v>
      </c>
      <c r="C538">
        <v>538</v>
      </c>
      <c r="D538">
        <v>6260501700753</v>
      </c>
      <c r="E538" t="s">
        <v>1481</v>
      </c>
      <c r="F538">
        <v>6</v>
      </c>
      <c r="G538">
        <v>11.6</v>
      </c>
      <c r="I538">
        <v>69.599999999999994</v>
      </c>
      <c r="J538">
        <v>9</v>
      </c>
    </row>
    <row r="539" spans="1:10" x14ac:dyDescent="0.25">
      <c r="A539">
        <v>10072</v>
      </c>
      <c r="B539" t="s">
        <v>1299</v>
      </c>
      <c r="C539">
        <v>539</v>
      </c>
      <c r="D539">
        <v>6260501700722</v>
      </c>
      <c r="E539" t="s">
        <v>1482</v>
      </c>
      <c r="F539">
        <v>6</v>
      </c>
      <c r="G539">
        <v>11.6</v>
      </c>
      <c r="I539">
        <v>69.599999999999994</v>
      </c>
      <c r="J539">
        <v>10</v>
      </c>
    </row>
    <row r="540" spans="1:10" x14ac:dyDescent="0.25">
      <c r="A540">
        <v>10073</v>
      </c>
      <c r="B540" t="s">
        <v>1458</v>
      </c>
      <c r="C540">
        <v>540</v>
      </c>
      <c r="D540">
        <v>6261149065594</v>
      </c>
      <c r="E540" t="s">
        <v>287</v>
      </c>
      <c r="F540">
        <v>1</v>
      </c>
      <c r="G540">
        <v>5</v>
      </c>
      <c r="I540">
        <v>5</v>
      </c>
      <c r="J540">
        <v>7</v>
      </c>
    </row>
    <row r="541" spans="1:10" x14ac:dyDescent="0.25">
      <c r="A541">
        <v>10073</v>
      </c>
      <c r="B541" t="s">
        <v>1458</v>
      </c>
      <c r="C541">
        <v>541</v>
      </c>
      <c r="D541">
        <v>6261149065136</v>
      </c>
      <c r="E541" t="s">
        <v>1142</v>
      </c>
      <c r="F541">
        <v>1</v>
      </c>
      <c r="G541">
        <v>5</v>
      </c>
      <c r="I541">
        <v>5</v>
      </c>
      <c r="J541">
        <v>8</v>
      </c>
    </row>
    <row r="542" spans="1:10" x14ac:dyDescent="0.25">
      <c r="A542">
        <v>10073</v>
      </c>
      <c r="B542" t="s">
        <v>1458</v>
      </c>
      <c r="C542">
        <v>542</v>
      </c>
      <c r="D542">
        <v>6265826100134</v>
      </c>
      <c r="E542" t="s">
        <v>814</v>
      </c>
      <c r="F542">
        <v>2</v>
      </c>
      <c r="G542">
        <v>21</v>
      </c>
      <c r="I542">
        <v>42</v>
      </c>
      <c r="J542">
        <v>9</v>
      </c>
    </row>
    <row r="543" spans="1:10" x14ac:dyDescent="0.25">
      <c r="A543">
        <v>10074</v>
      </c>
      <c r="B543" t="s">
        <v>1458</v>
      </c>
      <c r="C543">
        <v>543</v>
      </c>
      <c r="D543">
        <v>6260138000011</v>
      </c>
      <c r="E543" t="s">
        <v>866</v>
      </c>
      <c r="F543">
        <v>1</v>
      </c>
      <c r="G543">
        <v>10</v>
      </c>
      <c r="I543">
        <v>10</v>
      </c>
      <c r="J543">
        <v>7</v>
      </c>
    </row>
    <row r="544" spans="1:10" x14ac:dyDescent="0.25">
      <c r="A544">
        <v>10075</v>
      </c>
      <c r="B544" t="s">
        <v>1458</v>
      </c>
      <c r="C544">
        <v>544</v>
      </c>
      <c r="D544">
        <v>6269948100201</v>
      </c>
      <c r="E544" t="s">
        <v>1311</v>
      </c>
      <c r="F544">
        <v>2</v>
      </c>
      <c r="G544">
        <v>12.5</v>
      </c>
      <c r="I544">
        <v>25</v>
      </c>
      <c r="J544">
        <v>7</v>
      </c>
    </row>
    <row r="545" spans="1:10" x14ac:dyDescent="0.25">
      <c r="A545">
        <v>10075</v>
      </c>
      <c r="B545" t="s">
        <v>1458</v>
      </c>
      <c r="C545">
        <v>545</v>
      </c>
      <c r="D545">
        <v>6260522300031</v>
      </c>
      <c r="E545" t="s">
        <v>1368</v>
      </c>
      <c r="F545">
        <v>2</v>
      </c>
      <c r="G545">
        <v>10</v>
      </c>
      <c r="I545">
        <v>20</v>
      </c>
      <c r="J545">
        <v>8</v>
      </c>
    </row>
    <row r="546" spans="1:10" x14ac:dyDescent="0.25">
      <c r="A546">
        <v>10075</v>
      </c>
      <c r="B546" t="s">
        <v>1458</v>
      </c>
      <c r="C546">
        <v>546</v>
      </c>
      <c r="D546">
        <v>6261149065594</v>
      </c>
      <c r="E546" t="s">
        <v>287</v>
      </c>
      <c r="F546">
        <v>1</v>
      </c>
      <c r="G546">
        <v>5</v>
      </c>
      <c r="I546">
        <v>5</v>
      </c>
      <c r="J546">
        <v>9</v>
      </c>
    </row>
    <row r="547" spans="1:10" x14ac:dyDescent="0.25">
      <c r="A547">
        <v>10075</v>
      </c>
      <c r="B547" t="s">
        <v>1458</v>
      </c>
      <c r="C547">
        <v>547</v>
      </c>
      <c r="D547">
        <v>6261149065112</v>
      </c>
      <c r="E547" t="s">
        <v>1139</v>
      </c>
      <c r="F547">
        <v>1</v>
      </c>
      <c r="G547">
        <v>5</v>
      </c>
      <c r="I547">
        <v>5</v>
      </c>
      <c r="J547">
        <v>10</v>
      </c>
    </row>
    <row r="548" spans="1:10" x14ac:dyDescent="0.25">
      <c r="A548">
        <v>10076</v>
      </c>
      <c r="B548" t="s">
        <v>1458</v>
      </c>
      <c r="C548">
        <v>548</v>
      </c>
      <c r="D548">
        <v>6261149146088</v>
      </c>
      <c r="E548" t="s">
        <v>847</v>
      </c>
      <c r="F548">
        <v>1</v>
      </c>
      <c r="G548">
        <v>30</v>
      </c>
      <c r="I548">
        <v>30</v>
      </c>
      <c r="J548">
        <v>7</v>
      </c>
    </row>
    <row r="549" spans="1:10" x14ac:dyDescent="0.25">
      <c r="A549">
        <v>10076</v>
      </c>
      <c r="B549" t="s">
        <v>1458</v>
      </c>
      <c r="C549">
        <v>549</v>
      </c>
      <c r="D549">
        <v>1100</v>
      </c>
      <c r="E549" t="s">
        <v>615</v>
      </c>
      <c r="F549">
        <v>5</v>
      </c>
      <c r="G549">
        <v>3</v>
      </c>
      <c r="I549">
        <v>15</v>
      </c>
      <c r="J549">
        <v>8</v>
      </c>
    </row>
    <row r="550" spans="1:10" x14ac:dyDescent="0.25">
      <c r="A550">
        <v>10077</v>
      </c>
      <c r="B550" t="s">
        <v>1458</v>
      </c>
      <c r="C550">
        <v>550</v>
      </c>
      <c r="D550">
        <v>7800</v>
      </c>
      <c r="E550" t="s">
        <v>1450</v>
      </c>
      <c r="F550">
        <v>1</v>
      </c>
      <c r="G550">
        <v>8</v>
      </c>
      <c r="I550">
        <v>8</v>
      </c>
      <c r="J550">
        <v>7</v>
      </c>
    </row>
    <row r="551" spans="1:10" x14ac:dyDescent="0.25">
      <c r="A551">
        <v>10078</v>
      </c>
      <c r="B551" t="s">
        <v>1458</v>
      </c>
      <c r="C551">
        <v>551</v>
      </c>
      <c r="D551">
        <v>6260575904279</v>
      </c>
      <c r="E551" t="s">
        <v>1102</v>
      </c>
      <c r="F551">
        <v>1</v>
      </c>
      <c r="G551">
        <v>10</v>
      </c>
      <c r="I551">
        <v>10</v>
      </c>
      <c r="J551">
        <v>7</v>
      </c>
    </row>
    <row r="552" spans="1:10" x14ac:dyDescent="0.25">
      <c r="A552">
        <v>10078</v>
      </c>
      <c r="B552" t="s">
        <v>1458</v>
      </c>
      <c r="C552">
        <v>552</v>
      </c>
      <c r="D552">
        <v>6265663103565</v>
      </c>
      <c r="E552" t="s">
        <v>329</v>
      </c>
      <c r="F552">
        <v>2</v>
      </c>
      <c r="G552">
        <v>5</v>
      </c>
      <c r="I552">
        <v>10</v>
      </c>
      <c r="J552">
        <v>8</v>
      </c>
    </row>
    <row r="553" spans="1:10" x14ac:dyDescent="0.25">
      <c r="A553">
        <v>10078</v>
      </c>
      <c r="B553" t="s">
        <v>1458</v>
      </c>
      <c r="C553">
        <v>553</v>
      </c>
      <c r="D553">
        <v>6264078411593</v>
      </c>
      <c r="E553" t="s">
        <v>1146</v>
      </c>
      <c r="F553">
        <v>3</v>
      </c>
      <c r="G553">
        <v>10</v>
      </c>
      <c r="I553">
        <v>30</v>
      </c>
      <c r="J553">
        <v>9</v>
      </c>
    </row>
    <row r="554" spans="1:10" x14ac:dyDescent="0.25">
      <c r="A554">
        <v>10079</v>
      </c>
      <c r="B554" t="s">
        <v>1458</v>
      </c>
      <c r="C554">
        <v>554</v>
      </c>
      <c r="D554">
        <v>6264078410992</v>
      </c>
      <c r="E554" t="s">
        <v>1362</v>
      </c>
      <c r="F554">
        <v>1</v>
      </c>
      <c r="G554">
        <v>15</v>
      </c>
      <c r="I554">
        <v>15</v>
      </c>
      <c r="J554">
        <v>7</v>
      </c>
    </row>
    <row r="555" spans="1:10" x14ac:dyDescent="0.25">
      <c r="A555">
        <v>10079</v>
      </c>
      <c r="B555" t="s">
        <v>1458</v>
      </c>
      <c r="C555">
        <v>555</v>
      </c>
      <c r="D555">
        <v>6260063202139</v>
      </c>
      <c r="E555" t="s">
        <v>1361</v>
      </c>
      <c r="F555">
        <v>1</v>
      </c>
      <c r="G555">
        <v>15</v>
      </c>
      <c r="I555">
        <v>15</v>
      </c>
      <c r="J555">
        <v>8</v>
      </c>
    </row>
    <row r="556" spans="1:10" x14ac:dyDescent="0.25">
      <c r="A556">
        <v>10080</v>
      </c>
      <c r="B556" t="s">
        <v>1458</v>
      </c>
      <c r="C556">
        <v>556</v>
      </c>
      <c r="D556">
        <v>6261163400197</v>
      </c>
      <c r="E556" t="s">
        <v>254</v>
      </c>
      <c r="F556">
        <v>1</v>
      </c>
      <c r="G556">
        <v>20</v>
      </c>
      <c r="I556">
        <v>20</v>
      </c>
      <c r="J556">
        <v>7</v>
      </c>
    </row>
    <row r="557" spans="1:10" x14ac:dyDescent="0.25">
      <c r="A557">
        <v>10081</v>
      </c>
      <c r="B557" t="s">
        <v>1458</v>
      </c>
      <c r="C557">
        <v>557</v>
      </c>
      <c r="D557">
        <v>6260748000371</v>
      </c>
      <c r="E557" t="s">
        <v>1235</v>
      </c>
      <c r="F557">
        <v>2</v>
      </c>
      <c r="G557">
        <v>7</v>
      </c>
      <c r="I557">
        <v>14</v>
      </c>
      <c r="J557">
        <v>7</v>
      </c>
    </row>
    <row r="558" spans="1:10" x14ac:dyDescent="0.25">
      <c r="A558">
        <v>10081</v>
      </c>
      <c r="B558" t="s">
        <v>1458</v>
      </c>
      <c r="C558">
        <v>558</v>
      </c>
      <c r="D558">
        <v>5200</v>
      </c>
      <c r="E558" t="s">
        <v>866</v>
      </c>
      <c r="F558">
        <v>4</v>
      </c>
      <c r="G558">
        <v>1</v>
      </c>
      <c r="I558">
        <v>4</v>
      </c>
      <c r="J558">
        <v>8</v>
      </c>
    </row>
    <row r="559" spans="1:10" x14ac:dyDescent="0.25">
      <c r="A559">
        <v>10081</v>
      </c>
      <c r="B559" t="s">
        <v>1458</v>
      </c>
      <c r="C559">
        <v>559</v>
      </c>
      <c r="D559">
        <v>5100</v>
      </c>
      <c r="E559" t="s">
        <v>1221</v>
      </c>
      <c r="F559">
        <v>1</v>
      </c>
      <c r="G559">
        <v>2</v>
      </c>
      <c r="I559">
        <v>2</v>
      </c>
      <c r="J559">
        <v>9</v>
      </c>
    </row>
    <row r="560" spans="1:10" x14ac:dyDescent="0.25">
      <c r="A560">
        <v>10082</v>
      </c>
      <c r="B560" t="s">
        <v>1458</v>
      </c>
      <c r="C560">
        <v>560</v>
      </c>
      <c r="D560">
        <v>6269365700152</v>
      </c>
      <c r="E560" t="s">
        <v>266</v>
      </c>
      <c r="F560">
        <v>1</v>
      </c>
      <c r="G560">
        <v>19</v>
      </c>
      <c r="I560">
        <v>19</v>
      </c>
      <c r="J560">
        <v>7</v>
      </c>
    </row>
    <row r="561" spans="1:10" x14ac:dyDescent="0.25">
      <c r="A561">
        <v>10082</v>
      </c>
      <c r="B561" t="s">
        <v>1458</v>
      </c>
      <c r="C561">
        <v>561</v>
      </c>
      <c r="D561">
        <v>6260111310106</v>
      </c>
      <c r="E561" t="s">
        <v>858</v>
      </c>
      <c r="F561">
        <v>1</v>
      </c>
      <c r="G561">
        <v>20</v>
      </c>
      <c r="I561">
        <v>20</v>
      </c>
      <c r="J561">
        <v>8</v>
      </c>
    </row>
    <row r="562" spans="1:10" x14ac:dyDescent="0.25">
      <c r="A562">
        <v>10083</v>
      </c>
      <c r="B562" t="s">
        <v>1458</v>
      </c>
      <c r="C562">
        <v>562</v>
      </c>
      <c r="D562">
        <v>6260543504289</v>
      </c>
      <c r="E562" t="s">
        <v>698</v>
      </c>
      <c r="F562">
        <v>2</v>
      </c>
      <c r="G562">
        <v>15</v>
      </c>
      <c r="I562">
        <v>30</v>
      </c>
      <c r="J562">
        <v>7</v>
      </c>
    </row>
    <row r="563" spans="1:10" x14ac:dyDescent="0.25">
      <c r="A563">
        <v>10084</v>
      </c>
      <c r="B563" t="s">
        <v>1458</v>
      </c>
      <c r="C563">
        <v>563</v>
      </c>
      <c r="D563">
        <v>6264078411593</v>
      </c>
      <c r="E563" t="s">
        <v>1146</v>
      </c>
      <c r="F563">
        <v>4</v>
      </c>
      <c r="G563">
        <v>10</v>
      </c>
      <c r="I563">
        <v>40</v>
      </c>
      <c r="J563">
        <v>7</v>
      </c>
    </row>
    <row r="564" spans="1:10" x14ac:dyDescent="0.25">
      <c r="A564">
        <v>10085</v>
      </c>
      <c r="B564" t="s">
        <v>1458</v>
      </c>
      <c r="C564">
        <v>564</v>
      </c>
      <c r="D564">
        <v>6263380901228</v>
      </c>
      <c r="E564" t="s">
        <v>1233</v>
      </c>
      <c r="F564">
        <v>1</v>
      </c>
      <c r="G564">
        <v>10</v>
      </c>
      <c r="I564">
        <v>10</v>
      </c>
      <c r="J564">
        <v>7</v>
      </c>
    </row>
    <row r="565" spans="1:10" x14ac:dyDescent="0.25">
      <c r="A565">
        <v>10085</v>
      </c>
      <c r="B565" t="s">
        <v>1458</v>
      </c>
      <c r="C565">
        <v>565</v>
      </c>
      <c r="D565">
        <v>6263812801249</v>
      </c>
      <c r="E565" t="s">
        <v>1168</v>
      </c>
      <c r="F565">
        <v>1</v>
      </c>
      <c r="G565">
        <v>20</v>
      </c>
      <c r="I565">
        <v>20</v>
      </c>
      <c r="J565">
        <v>8</v>
      </c>
    </row>
    <row r="566" spans="1:10" x14ac:dyDescent="0.25">
      <c r="A566">
        <v>10085</v>
      </c>
      <c r="B566" t="s">
        <v>1458</v>
      </c>
      <c r="C566">
        <v>566</v>
      </c>
      <c r="D566">
        <v>6260002926379</v>
      </c>
      <c r="E566" t="s">
        <v>1422</v>
      </c>
      <c r="F566">
        <v>1</v>
      </c>
      <c r="G566">
        <v>25</v>
      </c>
      <c r="I566">
        <v>25</v>
      </c>
      <c r="J566">
        <v>9</v>
      </c>
    </row>
    <row r="567" spans="1:10" x14ac:dyDescent="0.25">
      <c r="A567">
        <v>10085</v>
      </c>
      <c r="B567" t="s">
        <v>1458</v>
      </c>
      <c r="C567">
        <v>567</v>
      </c>
      <c r="D567">
        <v>5200</v>
      </c>
      <c r="E567" t="s">
        <v>866</v>
      </c>
      <c r="F567">
        <v>1</v>
      </c>
      <c r="G567">
        <v>1</v>
      </c>
      <c r="I567">
        <v>1</v>
      </c>
      <c r="J567">
        <v>10</v>
      </c>
    </row>
    <row r="568" spans="1:10" x14ac:dyDescent="0.25">
      <c r="A568">
        <v>10086</v>
      </c>
      <c r="B568" t="s">
        <v>1458</v>
      </c>
      <c r="C568">
        <v>568</v>
      </c>
      <c r="D568">
        <v>6260532822097</v>
      </c>
      <c r="E568" t="s">
        <v>184</v>
      </c>
      <c r="F568">
        <v>1</v>
      </c>
      <c r="G568">
        <v>32</v>
      </c>
      <c r="I568">
        <v>32</v>
      </c>
      <c r="J568">
        <v>7</v>
      </c>
    </row>
    <row r="569" spans="1:10" x14ac:dyDescent="0.25">
      <c r="A569">
        <v>10086</v>
      </c>
      <c r="B569" t="s">
        <v>1458</v>
      </c>
      <c r="C569">
        <v>569</v>
      </c>
      <c r="D569">
        <v>6261106001399</v>
      </c>
      <c r="E569" t="s">
        <v>941</v>
      </c>
      <c r="F569">
        <v>1</v>
      </c>
      <c r="G569">
        <v>80</v>
      </c>
      <c r="I569">
        <v>80</v>
      </c>
      <c r="J569">
        <v>8</v>
      </c>
    </row>
    <row r="570" spans="1:10" x14ac:dyDescent="0.25">
      <c r="A570">
        <v>10086</v>
      </c>
      <c r="B570" t="s">
        <v>1458</v>
      </c>
      <c r="C570">
        <v>570</v>
      </c>
      <c r="D570">
        <v>7700</v>
      </c>
      <c r="E570" t="s">
        <v>1439</v>
      </c>
      <c r="F570">
        <v>0.27</v>
      </c>
      <c r="G570">
        <v>190</v>
      </c>
      <c r="I570">
        <v>51.300000000000004</v>
      </c>
      <c r="J570">
        <v>9</v>
      </c>
    </row>
    <row r="571" spans="1:10" x14ac:dyDescent="0.25">
      <c r="A571">
        <v>10087</v>
      </c>
      <c r="B571" t="s">
        <v>1458</v>
      </c>
      <c r="C571">
        <v>571</v>
      </c>
      <c r="D571">
        <v>6263812801393</v>
      </c>
      <c r="E571" t="s">
        <v>805</v>
      </c>
      <c r="F571">
        <v>1</v>
      </c>
      <c r="G571">
        <v>35</v>
      </c>
      <c r="I571">
        <v>35</v>
      </c>
      <c r="J571">
        <v>7</v>
      </c>
    </row>
    <row r="572" spans="1:10" x14ac:dyDescent="0.25">
      <c r="A572">
        <v>10088</v>
      </c>
      <c r="B572" t="s">
        <v>1299</v>
      </c>
      <c r="C572">
        <v>572</v>
      </c>
      <c r="D572">
        <v>6260002926348</v>
      </c>
      <c r="E572" t="s">
        <v>1108</v>
      </c>
      <c r="F572">
        <v>40</v>
      </c>
      <c r="G572">
        <v>21</v>
      </c>
      <c r="I572">
        <v>840</v>
      </c>
      <c r="J572">
        <v>7</v>
      </c>
    </row>
    <row r="573" spans="1:10" x14ac:dyDescent="0.25">
      <c r="A573">
        <v>10088</v>
      </c>
      <c r="B573" t="s">
        <v>1299</v>
      </c>
      <c r="C573">
        <v>573</v>
      </c>
      <c r="D573">
        <v>6260002926331</v>
      </c>
      <c r="E573" t="s">
        <v>1100</v>
      </c>
      <c r="F573">
        <v>40</v>
      </c>
      <c r="G573">
        <v>21</v>
      </c>
      <c r="I573">
        <v>840</v>
      </c>
      <c r="J573">
        <v>8</v>
      </c>
    </row>
    <row r="574" spans="1:10" x14ac:dyDescent="0.25">
      <c r="A574">
        <v>10088</v>
      </c>
      <c r="B574" t="s">
        <v>1299</v>
      </c>
      <c r="C574">
        <v>574</v>
      </c>
      <c r="D574">
        <v>1100</v>
      </c>
      <c r="E574" t="s">
        <v>615</v>
      </c>
      <c r="F574">
        <v>36</v>
      </c>
      <c r="G574">
        <v>2.2200000000000002</v>
      </c>
      <c r="I574">
        <v>79.92</v>
      </c>
      <c r="J574">
        <v>9</v>
      </c>
    </row>
    <row r="575" spans="1:10" x14ac:dyDescent="0.25">
      <c r="A575">
        <v>10088</v>
      </c>
      <c r="B575" t="s">
        <v>1299</v>
      </c>
      <c r="C575">
        <v>575</v>
      </c>
      <c r="D575">
        <v>6265663104715</v>
      </c>
      <c r="E575" t="s">
        <v>1493</v>
      </c>
      <c r="F575">
        <v>40</v>
      </c>
      <c r="G575">
        <v>8</v>
      </c>
      <c r="I575">
        <v>320</v>
      </c>
      <c r="J575">
        <v>10</v>
      </c>
    </row>
    <row r="576" spans="1:10" x14ac:dyDescent="0.25">
      <c r="A576">
        <v>10088</v>
      </c>
      <c r="B576" t="s">
        <v>1299</v>
      </c>
      <c r="C576">
        <v>576</v>
      </c>
      <c r="D576">
        <v>6260543505620</v>
      </c>
      <c r="E576" t="s">
        <v>1496</v>
      </c>
      <c r="F576">
        <v>30</v>
      </c>
      <c r="G576">
        <v>12</v>
      </c>
      <c r="I576">
        <v>360</v>
      </c>
      <c r="J576">
        <v>11</v>
      </c>
    </row>
    <row r="577" spans="1:10" x14ac:dyDescent="0.25">
      <c r="A577">
        <v>10088</v>
      </c>
      <c r="B577" t="s">
        <v>1299</v>
      </c>
      <c r="C577">
        <v>577</v>
      </c>
      <c r="D577">
        <v>162900054350816</v>
      </c>
      <c r="E577" t="s">
        <v>1496</v>
      </c>
      <c r="F577">
        <v>30</v>
      </c>
      <c r="G577">
        <v>12</v>
      </c>
      <c r="I577">
        <v>360</v>
      </c>
      <c r="J577">
        <v>12</v>
      </c>
    </row>
    <row r="578" spans="1:10" x14ac:dyDescent="0.25">
      <c r="A578">
        <v>10088</v>
      </c>
      <c r="B578" t="s">
        <v>1299</v>
      </c>
      <c r="C578">
        <v>578</v>
      </c>
      <c r="D578">
        <v>6260543504791</v>
      </c>
      <c r="E578" t="s">
        <v>1499</v>
      </c>
      <c r="F578">
        <v>60</v>
      </c>
      <c r="G578">
        <v>4</v>
      </c>
      <c r="I578">
        <v>240</v>
      </c>
      <c r="J578">
        <v>13</v>
      </c>
    </row>
    <row r="579" spans="1:10" x14ac:dyDescent="0.25">
      <c r="A579">
        <v>10088</v>
      </c>
      <c r="B579" t="s">
        <v>1299</v>
      </c>
      <c r="C579">
        <v>579</v>
      </c>
      <c r="D579">
        <v>162900054350751</v>
      </c>
      <c r="E579" t="s">
        <v>1499</v>
      </c>
      <c r="F579">
        <v>60</v>
      </c>
      <c r="G579">
        <v>4</v>
      </c>
      <c r="I579">
        <v>240</v>
      </c>
      <c r="J579">
        <v>14</v>
      </c>
    </row>
    <row r="580" spans="1:10" x14ac:dyDescent="0.25">
      <c r="A580">
        <v>10088</v>
      </c>
      <c r="B580" t="s">
        <v>1299</v>
      </c>
      <c r="C580">
        <v>580</v>
      </c>
      <c r="D580">
        <v>6263812801386</v>
      </c>
      <c r="E580" t="s">
        <v>1189</v>
      </c>
      <c r="F580">
        <v>30</v>
      </c>
      <c r="G580">
        <v>16</v>
      </c>
      <c r="I580">
        <v>480</v>
      </c>
      <c r="J580">
        <v>15</v>
      </c>
    </row>
    <row r="581" spans="1:10" x14ac:dyDescent="0.25">
      <c r="A581">
        <v>10088</v>
      </c>
      <c r="J581">
        <v>-22</v>
      </c>
    </row>
    <row r="582" spans="1:10" x14ac:dyDescent="0.25">
      <c r="A582">
        <v>10088</v>
      </c>
      <c r="J582">
        <v>-8</v>
      </c>
    </row>
    <row r="583" spans="1:10" x14ac:dyDescent="0.25">
      <c r="A583">
        <v>10088</v>
      </c>
      <c r="B583" t="s">
        <v>1299</v>
      </c>
      <c r="C583">
        <v>583</v>
      </c>
      <c r="D583">
        <v>6269948100201</v>
      </c>
      <c r="E583" t="s">
        <v>1311</v>
      </c>
      <c r="F583">
        <v>20</v>
      </c>
      <c r="G583">
        <v>10</v>
      </c>
      <c r="I583">
        <v>200</v>
      </c>
      <c r="J583">
        <v>18</v>
      </c>
    </row>
    <row r="584" spans="1:10" x14ac:dyDescent="0.25">
      <c r="A584">
        <v>10088</v>
      </c>
      <c r="B584" t="s">
        <v>1299</v>
      </c>
      <c r="C584">
        <v>584</v>
      </c>
      <c r="D584">
        <v>6260003111798</v>
      </c>
      <c r="E584" t="s">
        <v>283</v>
      </c>
      <c r="F584">
        <v>10</v>
      </c>
      <c r="G584">
        <v>11.5</v>
      </c>
      <c r="I584">
        <v>115</v>
      </c>
      <c r="J584">
        <v>19</v>
      </c>
    </row>
    <row r="585" spans="1:10" x14ac:dyDescent="0.25">
      <c r="A585">
        <v>10089</v>
      </c>
      <c r="B585" t="s">
        <v>1458</v>
      </c>
      <c r="C585">
        <v>585</v>
      </c>
      <c r="D585">
        <v>7700</v>
      </c>
      <c r="E585" t="s">
        <v>1439</v>
      </c>
      <c r="F585">
        <v>0.12</v>
      </c>
      <c r="G585">
        <v>180</v>
      </c>
      <c r="I585">
        <v>21.599999999999998</v>
      </c>
      <c r="J585">
        <v>7</v>
      </c>
    </row>
    <row r="586" spans="1:10" x14ac:dyDescent="0.25">
      <c r="A586">
        <v>10088</v>
      </c>
      <c r="B586" t="s">
        <v>1299</v>
      </c>
      <c r="C586">
        <v>586</v>
      </c>
      <c r="D586">
        <v>6261847503244</v>
      </c>
      <c r="E586" t="s">
        <v>598</v>
      </c>
      <c r="F586">
        <v>40</v>
      </c>
      <c r="G586">
        <v>15</v>
      </c>
      <c r="I586">
        <v>600</v>
      </c>
      <c r="J586">
        <v>20</v>
      </c>
    </row>
    <row r="587" spans="1:10" x14ac:dyDescent="0.25">
      <c r="A587">
        <v>10088</v>
      </c>
      <c r="B587" t="s">
        <v>1299</v>
      </c>
      <c r="C587">
        <v>587</v>
      </c>
      <c r="D587">
        <v>6262477911973</v>
      </c>
      <c r="E587" t="s">
        <v>1135</v>
      </c>
      <c r="F587">
        <v>20</v>
      </c>
      <c r="G587">
        <v>16.8</v>
      </c>
      <c r="I587">
        <v>336</v>
      </c>
      <c r="J587">
        <v>21</v>
      </c>
    </row>
    <row r="588" spans="1:10" x14ac:dyDescent="0.25">
      <c r="A588">
        <v>10088</v>
      </c>
      <c r="B588" t="s">
        <v>1299</v>
      </c>
      <c r="C588">
        <v>588</v>
      </c>
      <c r="D588">
        <v>6262477911157</v>
      </c>
      <c r="E588" t="s">
        <v>1133</v>
      </c>
      <c r="F588">
        <v>20</v>
      </c>
      <c r="G588">
        <v>16.8</v>
      </c>
      <c r="I588">
        <v>336</v>
      </c>
      <c r="J588">
        <v>22</v>
      </c>
    </row>
    <row r="589" spans="1:10" x14ac:dyDescent="0.25">
      <c r="A589">
        <v>10088</v>
      </c>
      <c r="B589" t="s">
        <v>1299</v>
      </c>
      <c r="C589">
        <v>589</v>
      </c>
      <c r="D589">
        <v>6262036200012</v>
      </c>
      <c r="E589" t="s">
        <v>1501</v>
      </c>
      <c r="F589">
        <v>60</v>
      </c>
      <c r="G589">
        <v>4</v>
      </c>
      <c r="I589">
        <v>240</v>
      </c>
      <c r="J589">
        <v>23</v>
      </c>
    </row>
    <row r="590" spans="1:10" x14ac:dyDescent="0.25">
      <c r="A590">
        <v>10090</v>
      </c>
      <c r="B590" t="s">
        <v>1458</v>
      </c>
      <c r="C590">
        <v>590</v>
      </c>
      <c r="D590">
        <v>6260543504289</v>
      </c>
      <c r="E590" t="s">
        <v>698</v>
      </c>
      <c r="F590">
        <v>2</v>
      </c>
      <c r="G590">
        <v>15</v>
      </c>
      <c r="I590">
        <v>30</v>
      </c>
      <c r="J590">
        <v>7</v>
      </c>
    </row>
    <row r="591" spans="1:10" x14ac:dyDescent="0.25">
      <c r="A591">
        <v>10088</v>
      </c>
      <c r="B591" t="s">
        <v>1299</v>
      </c>
      <c r="C591">
        <v>591</v>
      </c>
      <c r="D591">
        <v>6260166910306</v>
      </c>
      <c r="E591" t="s">
        <v>1324</v>
      </c>
      <c r="F591">
        <v>36</v>
      </c>
      <c r="G591">
        <v>5.6</v>
      </c>
      <c r="I591">
        <v>201.6</v>
      </c>
      <c r="J591">
        <v>24</v>
      </c>
    </row>
    <row r="592" spans="1:10" x14ac:dyDescent="0.25">
      <c r="A592">
        <v>10088</v>
      </c>
      <c r="B592" t="s">
        <v>1299</v>
      </c>
      <c r="C592">
        <v>592</v>
      </c>
      <c r="D592">
        <v>160290016690012</v>
      </c>
      <c r="E592" t="s">
        <v>1324</v>
      </c>
      <c r="F592">
        <v>36</v>
      </c>
      <c r="G592">
        <v>10</v>
      </c>
      <c r="I592">
        <v>360</v>
      </c>
      <c r="J592">
        <v>25</v>
      </c>
    </row>
    <row r="593" spans="1:10" x14ac:dyDescent="0.25">
      <c r="A593">
        <v>10091</v>
      </c>
      <c r="B593" t="s">
        <v>1458</v>
      </c>
      <c r="C593">
        <v>593</v>
      </c>
      <c r="D593">
        <v>6260002926331</v>
      </c>
      <c r="E593" t="s">
        <v>1100</v>
      </c>
      <c r="F593">
        <v>1</v>
      </c>
      <c r="G593">
        <v>25</v>
      </c>
      <c r="I593">
        <v>25</v>
      </c>
      <c r="J593">
        <v>7</v>
      </c>
    </row>
    <row r="594" spans="1:10" x14ac:dyDescent="0.25">
      <c r="A594">
        <v>10092</v>
      </c>
      <c r="B594" t="s">
        <v>1458</v>
      </c>
      <c r="C594">
        <v>594</v>
      </c>
      <c r="D594">
        <v>6260109281555</v>
      </c>
      <c r="E594" t="s">
        <v>1252</v>
      </c>
      <c r="F594">
        <v>2</v>
      </c>
      <c r="G594">
        <v>12</v>
      </c>
      <c r="I594">
        <v>24</v>
      </c>
      <c r="J594">
        <v>7</v>
      </c>
    </row>
    <row r="595" spans="1:10" x14ac:dyDescent="0.25">
      <c r="A595">
        <v>10092</v>
      </c>
      <c r="B595" t="s">
        <v>1458</v>
      </c>
      <c r="C595">
        <v>595</v>
      </c>
      <c r="D595">
        <v>1100</v>
      </c>
      <c r="E595" t="s">
        <v>615</v>
      </c>
      <c r="F595">
        <v>2</v>
      </c>
      <c r="G595">
        <v>3</v>
      </c>
      <c r="I595">
        <v>6</v>
      </c>
      <c r="J595">
        <v>8</v>
      </c>
    </row>
    <row r="596" spans="1:10" x14ac:dyDescent="0.25">
      <c r="A596">
        <v>10093</v>
      </c>
      <c r="B596" t="s">
        <v>1458</v>
      </c>
      <c r="C596">
        <v>596</v>
      </c>
      <c r="D596">
        <v>6261101511152</v>
      </c>
      <c r="E596" t="s">
        <v>434</v>
      </c>
      <c r="F596">
        <v>1</v>
      </c>
      <c r="G596">
        <v>25</v>
      </c>
      <c r="I596">
        <v>25</v>
      </c>
      <c r="J596">
        <v>7</v>
      </c>
    </row>
    <row r="597" spans="1:10" x14ac:dyDescent="0.25">
      <c r="A597">
        <v>10093</v>
      </c>
      <c r="B597" t="s">
        <v>1458</v>
      </c>
      <c r="C597">
        <v>597</v>
      </c>
      <c r="D597">
        <v>6261670803870</v>
      </c>
      <c r="E597" t="s">
        <v>905</v>
      </c>
      <c r="F597">
        <v>1</v>
      </c>
      <c r="G597">
        <v>25</v>
      </c>
      <c r="I597">
        <v>25</v>
      </c>
      <c r="J597">
        <v>8</v>
      </c>
    </row>
    <row r="598" spans="1:10" x14ac:dyDescent="0.25">
      <c r="A598">
        <v>10088</v>
      </c>
      <c r="B598" t="s">
        <v>1299</v>
      </c>
      <c r="C598">
        <v>598</v>
      </c>
      <c r="D598">
        <v>6269948100638</v>
      </c>
      <c r="E598" t="s">
        <v>1199</v>
      </c>
      <c r="F598">
        <v>48</v>
      </c>
      <c r="G598">
        <v>6</v>
      </c>
      <c r="I598">
        <v>288</v>
      </c>
      <c r="J598">
        <v>25</v>
      </c>
    </row>
    <row r="599" spans="1:10" x14ac:dyDescent="0.25">
      <c r="A599">
        <v>10088</v>
      </c>
      <c r="B599" t="s">
        <v>1299</v>
      </c>
      <c r="C599">
        <v>599</v>
      </c>
      <c r="D599">
        <v>6261847503275</v>
      </c>
      <c r="E599" t="s">
        <v>1090</v>
      </c>
      <c r="F599">
        <v>40</v>
      </c>
      <c r="G599">
        <v>15</v>
      </c>
      <c r="I599">
        <v>600</v>
      </c>
      <c r="J599">
        <v>26</v>
      </c>
    </row>
    <row r="600" spans="1:10" x14ac:dyDescent="0.25">
      <c r="A600">
        <v>10088</v>
      </c>
      <c r="B600" t="s">
        <v>1299</v>
      </c>
      <c r="C600">
        <v>600</v>
      </c>
      <c r="D600">
        <v>6260007406487</v>
      </c>
      <c r="E600" t="s">
        <v>910</v>
      </c>
      <c r="F600">
        <v>15</v>
      </c>
      <c r="G600">
        <v>14</v>
      </c>
      <c r="I600">
        <v>210</v>
      </c>
      <c r="J600">
        <v>27</v>
      </c>
    </row>
    <row r="601" spans="1:10" x14ac:dyDescent="0.25">
      <c r="A601">
        <v>10094</v>
      </c>
      <c r="B601" t="s">
        <v>1458</v>
      </c>
      <c r="C601">
        <v>601</v>
      </c>
      <c r="D601">
        <v>7700</v>
      </c>
      <c r="E601" t="s">
        <v>1439</v>
      </c>
      <c r="F601">
        <v>0.28000000000000003</v>
      </c>
      <c r="G601">
        <v>180</v>
      </c>
      <c r="I601">
        <v>50.400000000000006</v>
      </c>
      <c r="J601">
        <v>7</v>
      </c>
    </row>
    <row r="602" spans="1:10" x14ac:dyDescent="0.25">
      <c r="A602">
        <v>10094</v>
      </c>
      <c r="B602" t="s">
        <v>1458</v>
      </c>
      <c r="C602">
        <v>602</v>
      </c>
      <c r="D602">
        <v>6264078410992</v>
      </c>
      <c r="E602" t="s">
        <v>1362</v>
      </c>
      <c r="F602">
        <v>1</v>
      </c>
      <c r="G602">
        <v>15</v>
      </c>
      <c r="I602">
        <v>15</v>
      </c>
      <c r="J602">
        <v>8</v>
      </c>
    </row>
    <row r="603" spans="1:10" x14ac:dyDescent="0.25">
      <c r="A603">
        <v>10094</v>
      </c>
      <c r="B603" t="s">
        <v>1458</v>
      </c>
      <c r="C603">
        <v>603</v>
      </c>
      <c r="D603">
        <v>6260501700111</v>
      </c>
      <c r="E603" t="s">
        <v>738</v>
      </c>
      <c r="F603">
        <v>1</v>
      </c>
      <c r="G603">
        <v>15</v>
      </c>
      <c r="I603">
        <v>15</v>
      </c>
      <c r="J603">
        <v>9</v>
      </c>
    </row>
    <row r="604" spans="1:10" x14ac:dyDescent="0.25">
      <c r="A604">
        <v>10088</v>
      </c>
      <c r="B604" t="s">
        <v>1299</v>
      </c>
      <c r="C604">
        <v>604</v>
      </c>
      <c r="J604">
        <v>17</v>
      </c>
    </row>
    <row r="605" spans="1:10" x14ac:dyDescent="0.25">
      <c r="A605">
        <v>10088</v>
      </c>
      <c r="B605" t="s">
        <v>1299</v>
      </c>
      <c r="C605">
        <v>605</v>
      </c>
      <c r="D605">
        <v>2600</v>
      </c>
      <c r="E605" t="s">
        <v>1034</v>
      </c>
      <c r="F605">
        <v>3</v>
      </c>
      <c r="G605">
        <v>100</v>
      </c>
      <c r="I605">
        <v>300</v>
      </c>
      <c r="J605">
        <v>28</v>
      </c>
    </row>
    <row r="606" spans="1:10" x14ac:dyDescent="0.25">
      <c r="A606">
        <v>10088</v>
      </c>
      <c r="B606" t="s">
        <v>1299</v>
      </c>
      <c r="C606">
        <v>606</v>
      </c>
      <c r="D606">
        <v>6260079200914</v>
      </c>
      <c r="E606" t="s">
        <v>843</v>
      </c>
      <c r="F606">
        <v>12</v>
      </c>
      <c r="G606">
        <v>17</v>
      </c>
      <c r="I606">
        <v>204</v>
      </c>
      <c r="J606">
        <v>29</v>
      </c>
    </row>
    <row r="607" spans="1:10" x14ac:dyDescent="0.25">
      <c r="A607">
        <v>10088</v>
      </c>
      <c r="B607" t="s">
        <v>1299</v>
      </c>
      <c r="C607">
        <v>607</v>
      </c>
      <c r="D607">
        <v>6269988500269</v>
      </c>
      <c r="E607" t="s">
        <v>852</v>
      </c>
      <c r="F607">
        <v>24</v>
      </c>
      <c r="G607">
        <v>11</v>
      </c>
      <c r="I607">
        <v>264</v>
      </c>
      <c r="J607">
        <v>30</v>
      </c>
    </row>
    <row r="608" spans="1:10" x14ac:dyDescent="0.25">
      <c r="A608">
        <v>10088</v>
      </c>
      <c r="B608" t="s">
        <v>1299</v>
      </c>
      <c r="C608">
        <v>608</v>
      </c>
      <c r="D608">
        <v>6260079211293</v>
      </c>
      <c r="E608" t="s">
        <v>1431</v>
      </c>
      <c r="F608">
        <v>6</v>
      </c>
      <c r="G608">
        <v>30</v>
      </c>
      <c r="I608">
        <v>180</v>
      </c>
      <c r="J608">
        <v>31</v>
      </c>
    </row>
    <row r="609" spans="1:10" x14ac:dyDescent="0.25">
      <c r="A609">
        <v>10088</v>
      </c>
      <c r="B609" t="s">
        <v>1299</v>
      </c>
      <c r="C609">
        <v>609</v>
      </c>
      <c r="D609">
        <v>6261149146071</v>
      </c>
      <c r="E609" t="s">
        <v>845</v>
      </c>
      <c r="F609">
        <v>12</v>
      </c>
      <c r="G609">
        <v>22.5</v>
      </c>
      <c r="I609">
        <v>270</v>
      </c>
      <c r="J609">
        <v>32</v>
      </c>
    </row>
    <row r="610" spans="1:10" x14ac:dyDescent="0.25">
      <c r="A610">
        <v>10088</v>
      </c>
      <c r="B610" t="s">
        <v>1299</v>
      </c>
      <c r="C610">
        <v>610</v>
      </c>
      <c r="D610">
        <v>6261149146088</v>
      </c>
      <c r="E610" t="s">
        <v>847</v>
      </c>
      <c r="F610">
        <v>12</v>
      </c>
      <c r="G610">
        <v>22.5</v>
      </c>
      <c r="I610">
        <v>270</v>
      </c>
      <c r="J610">
        <v>33</v>
      </c>
    </row>
    <row r="611" spans="1:10" x14ac:dyDescent="0.25">
      <c r="A611">
        <v>10088</v>
      </c>
      <c r="B611" t="s">
        <v>1299</v>
      </c>
      <c r="C611">
        <v>611</v>
      </c>
      <c r="D611">
        <v>6260079277138</v>
      </c>
      <c r="E611" t="s">
        <v>1433</v>
      </c>
      <c r="F611">
        <v>6</v>
      </c>
      <c r="G611">
        <v>24</v>
      </c>
      <c r="I611">
        <v>144</v>
      </c>
      <c r="J611">
        <v>34</v>
      </c>
    </row>
    <row r="612" spans="1:10" x14ac:dyDescent="0.25">
      <c r="A612">
        <v>10095</v>
      </c>
      <c r="B612" t="s">
        <v>1458</v>
      </c>
      <c r="C612">
        <v>612</v>
      </c>
      <c r="D612">
        <v>6260108300165</v>
      </c>
      <c r="E612" t="s">
        <v>965</v>
      </c>
      <c r="F612">
        <v>1</v>
      </c>
      <c r="G612">
        <v>350</v>
      </c>
      <c r="I612">
        <v>350</v>
      </c>
      <c r="J612">
        <v>7</v>
      </c>
    </row>
    <row r="613" spans="1:10" x14ac:dyDescent="0.25">
      <c r="A613">
        <v>10095</v>
      </c>
      <c r="B613" t="s">
        <v>1458</v>
      </c>
      <c r="C613">
        <v>613</v>
      </c>
      <c r="D613">
        <v>6269365700077</v>
      </c>
      <c r="E613" t="s">
        <v>264</v>
      </c>
      <c r="F613">
        <v>3</v>
      </c>
      <c r="G613">
        <v>18</v>
      </c>
      <c r="I613">
        <v>54</v>
      </c>
      <c r="J613">
        <v>8</v>
      </c>
    </row>
    <row r="614" spans="1:10" x14ac:dyDescent="0.25">
      <c r="A614">
        <v>10095</v>
      </c>
      <c r="B614" t="s">
        <v>1458</v>
      </c>
      <c r="C614">
        <v>614</v>
      </c>
      <c r="D614">
        <v>2200</v>
      </c>
      <c r="E614" t="s">
        <v>1225</v>
      </c>
      <c r="F614">
        <v>5</v>
      </c>
      <c r="G614">
        <v>70</v>
      </c>
      <c r="I614">
        <v>350</v>
      </c>
      <c r="J614">
        <v>9</v>
      </c>
    </row>
    <row r="615" spans="1:10" x14ac:dyDescent="0.25">
      <c r="A615">
        <v>10088</v>
      </c>
      <c r="B615" t="s">
        <v>1299</v>
      </c>
      <c r="C615">
        <v>615</v>
      </c>
      <c r="D615">
        <v>6261149065594</v>
      </c>
      <c r="E615" t="s">
        <v>287</v>
      </c>
      <c r="F615">
        <v>24</v>
      </c>
      <c r="G615">
        <v>4.2</v>
      </c>
      <c r="I615">
        <v>100.80000000000001</v>
      </c>
      <c r="J615">
        <v>35</v>
      </c>
    </row>
    <row r="616" spans="1:10" x14ac:dyDescent="0.25">
      <c r="A616">
        <v>10088</v>
      </c>
      <c r="B616" t="s">
        <v>1299</v>
      </c>
      <c r="C616">
        <v>616</v>
      </c>
      <c r="D616">
        <v>6261149065129</v>
      </c>
      <c r="E616" t="s">
        <v>1137</v>
      </c>
      <c r="F616">
        <v>24</v>
      </c>
      <c r="G616">
        <v>4.2</v>
      </c>
      <c r="I616">
        <v>100.80000000000001</v>
      </c>
      <c r="J616">
        <v>36</v>
      </c>
    </row>
    <row r="617" spans="1:10" x14ac:dyDescent="0.25">
      <c r="A617">
        <v>10088</v>
      </c>
      <c r="B617" t="s">
        <v>1299</v>
      </c>
      <c r="C617">
        <v>617</v>
      </c>
      <c r="D617">
        <v>6261149065136</v>
      </c>
      <c r="E617" t="s">
        <v>1142</v>
      </c>
      <c r="F617">
        <v>24</v>
      </c>
      <c r="G617">
        <v>4.2</v>
      </c>
      <c r="I617">
        <v>100.80000000000001</v>
      </c>
      <c r="J617">
        <v>37</v>
      </c>
    </row>
    <row r="618" spans="1:10" x14ac:dyDescent="0.25">
      <c r="A618">
        <v>10088</v>
      </c>
      <c r="B618" t="s">
        <v>1299</v>
      </c>
      <c r="C618">
        <v>618</v>
      </c>
      <c r="D618">
        <v>6261149065679</v>
      </c>
      <c r="E618" t="s">
        <v>1144</v>
      </c>
      <c r="F618">
        <v>24</v>
      </c>
      <c r="G618">
        <v>4.2</v>
      </c>
      <c r="I618">
        <v>100.80000000000001</v>
      </c>
      <c r="J618">
        <v>38</v>
      </c>
    </row>
    <row r="619" spans="1:10" x14ac:dyDescent="0.25">
      <c r="A619">
        <v>10096</v>
      </c>
      <c r="B619" t="s">
        <v>1458</v>
      </c>
      <c r="C619">
        <v>619</v>
      </c>
      <c r="D619">
        <v>6260217600866</v>
      </c>
      <c r="E619" t="s">
        <v>944</v>
      </c>
      <c r="F619">
        <v>1</v>
      </c>
      <c r="G619">
        <v>70</v>
      </c>
      <c r="I619">
        <v>70</v>
      </c>
      <c r="J619">
        <v>7</v>
      </c>
    </row>
    <row r="620" spans="1:10" x14ac:dyDescent="0.25">
      <c r="A620">
        <v>10096</v>
      </c>
      <c r="B620" t="s">
        <v>1458</v>
      </c>
      <c r="C620">
        <v>620</v>
      </c>
      <c r="D620">
        <v>6261149065136</v>
      </c>
      <c r="E620" t="s">
        <v>1142</v>
      </c>
      <c r="F620">
        <v>1</v>
      </c>
      <c r="G620">
        <v>5</v>
      </c>
      <c r="I620">
        <v>5</v>
      </c>
      <c r="J620">
        <v>8</v>
      </c>
    </row>
    <row r="621" spans="1:10" x14ac:dyDescent="0.25">
      <c r="A621">
        <v>10096</v>
      </c>
      <c r="B621" t="s">
        <v>1458</v>
      </c>
      <c r="C621">
        <v>621</v>
      </c>
      <c r="D621">
        <v>6261149065129</v>
      </c>
      <c r="E621" t="s">
        <v>1137</v>
      </c>
      <c r="F621">
        <v>1</v>
      </c>
      <c r="G621">
        <v>5</v>
      </c>
      <c r="I621">
        <v>5</v>
      </c>
      <c r="J621">
        <v>9</v>
      </c>
    </row>
    <row r="622" spans="1:10" x14ac:dyDescent="0.25">
      <c r="A622">
        <v>10097</v>
      </c>
      <c r="B622" t="s">
        <v>1458</v>
      </c>
      <c r="C622">
        <v>622</v>
      </c>
      <c r="D622">
        <v>6269365700084</v>
      </c>
      <c r="E622" t="s">
        <v>268</v>
      </c>
      <c r="F622">
        <v>1</v>
      </c>
      <c r="G622">
        <v>18</v>
      </c>
      <c r="I622">
        <v>18</v>
      </c>
      <c r="J622">
        <v>7</v>
      </c>
    </row>
    <row r="623" spans="1:10" x14ac:dyDescent="0.25">
      <c r="A623">
        <v>10097</v>
      </c>
      <c r="B623" t="s">
        <v>1458</v>
      </c>
      <c r="C623">
        <v>623</v>
      </c>
      <c r="D623">
        <v>6260308310278</v>
      </c>
      <c r="E623" t="s">
        <v>778</v>
      </c>
      <c r="F623">
        <v>1</v>
      </c>
      <c r="G623">
        <v>80</v>
      </c>
      <c r="I623">
        <v>80</v>
      </c>
      <c r="J623">
        <v>8</v>
      </c>
    </row>
    <row r="624" spans="1:10" x14ac:dyDescent="0.25">
      <c r="A624">
        <v>10098</v>
      </c>
      <c r="B624" t="s">
        <v>1458</v>
      </c>
      <c r="C624">
        <v>624</v>
      </c>
      <c r="D624">
        <v>7700</v>
      </c>
      <c r="E624" t="s">
        <v>1439</v>
      </c>
      <c r="F624">
        <v>0.30499999999999999</v>
      </c>
      <c r="G624">
        <v>180</v>
      </c>
      <c r="I624">
        <v>54.9</v>
      </c>
      <c r="J624">
        <v>7</v>
      </c>
    </row>
    <row r="625" spans="1:10" x14ac:dyDescent="0.25">
      <c r="A625">
        <v>10099</v>
      </c>
      <c r="B625" t="s">
        <v>1458</v>
      </c>
      <c r="C625">
        <v>625</v>
      </c>
      <c r="D625">
        <v>6260201109320</v>
      </c>
      <c r="E625" t="s">
        <v>880</v>
      </c>
      <c r="F625">
        <v>1</v>
      </c>
      <c r="G625">
        <v>30</v>
      </c>
      <c r="I625">
        <v>30</v>
      </c>
      <c r="J625">
        <v>7</v>
      </c>
    </row>
    <row r="626" spans="1:10" x14ac:dyDescent="0.25">
      <c r="A626">
        <v>10100</v>
      </c>
      <c r="B626" t="s">
        <v>1458</v>
      </c>
      <c r="C626">
        <v>626</v>
      </c>
      <c r="D626">
        <v>6263812801256</v>
      </c>
      <c r="E626" t="s">
        <v>393</v>
      </c>
      <c r="F626">
        <v>1</v>
      </c>
      <c r="G626">
        <v>45</v>
      </c>
      <c r="I626">
        <v>45</v>
      </c>
      <c r="J626">
        <v>7</v>
      </c>
    </row>
    <row r="627" spans="1:10" x14ac:dyDescent="0.25">
      <c r="A627">
        <v>10100</v>
      </c>
      <c r="B627" t="s">
        <v>1458</v>
      </c>
      <c r="C627">
        <v>627</v>
      </c>
      <c r="D627">
        <v>6261178014334</v>
      </c>
      <c r="E627" t="s">
        <v>1096</v>
      </c>
      <c r="F627">
        <v>1</v>
      </c>
      <c r="G627">
        <v>4</v>
      </c>
      <c r="I627">
        <v>4</v>
      </c>
      <c r="J627">
        <v>8</v>
      </c>
    </row>
    <row r="628" spans="1:10" x14ac:dyDescent="0.25">
      <c r="A628">
        <v>10100</v>
      </c>
      <c r="B628" t="s">
        <v>1458</v>
      </c>
      <c r="C628">
        <v>628</v>
      </c>
      <c r="D628">
        <v>7500</v>
      </c>
      <c r="E628" t="s">
        <v>1387</v>
      </c>
      <c r="F628">
        <v>6</v>
      </c>
      <c r="G628">
        <v>2</v>
      </c>
      <c r="I628">
        <v>12</v>
      </c>
      <c r="J628">
        <v>9</v>
      </c>
    </row>
    <row r="629" spans="1:10" x14ac:dyDescent="0.25">
      <c r="A629">
        <v>10101</v>
      </c>
      <c r="B629" t="s">
        <v>1458</v>
      </c>
      <c r="C629">
        <v>629</v>
      </c>
      <c r="D629">
        <v>6261422504543</v>
      </c>
      <c r="E629" t="s">
        <v>1410</v>
      </c>
      <c r="F629">
        <v>1</v>
      </c>
      <c r="G629">
        <v>30</v>
      </c>
      <c r="I629">
        <v>30</v>
      </c>
      <c r="J629">
        <v>7</v>
      </c>
    </row>
    <row r="630" spans="1:10" x14ac:dyDescent="0.25">
      <c r="A630">
        <v>10088</v>
      </c>
      <c r="B630" t="s">
        <v>1299</v>
      </c>
      <c r="C630">
        <v>630</v>
      </c>
      <c r="D630">
        <v>6263812801386</v>
      </c>
      <c r="E630" t="s">
        <v>1503</v>
      </c>
      <c r="F630">
        <v>30</v>
      </c>
      <c r="G630">
        <v>16</v>
      </c>
      <c r="I630">
        <v>480</v>
      </c>
      <c r="J630">
        <v>38</v>
      </c>
    </row>
    <row r="631" spans="1:10" x14ac:dyDescent="0.25">
      <c r="A631">
        <v>10088</v>
      </c>
      <c r="B631" t="s">
        <v>1299</v>
      </c>
      <c r="C631">
        <v>631</v>
      </c>
      <c r="D631">
        <v>6260170902281</v>
      </c>
      <c r="E631" t="s">
        <v>1505</v>
      </c>
      <c r="F631">
        <v>24</v>
      </c>
      <c r="G631">
        <v>16</v>
      </c>
      <c r="I631">
        <v>384</v>
      </c>
      <c r="J631">
        <v>39</v>
      </c>
    </row>
    <row r="632" spans="1:10" x14ac:dyDescent="0.25">
      <c r="A632">
        <v>10102</v>
      </c>
      <c r="B632" t="s">
        <v>1458</v>
      </c>
      <c r="C632">
        <v>632</v>
      </c>
      <c r="D632">
        <v>6262003401961</v>
      </c>
      <c r="E632" t="s">
        <v>818</v>
      </c>
      <c r="F632">
        <v>1</v>
      </c>
      <c r="G632">
        <v>55</v>
      </c>
      <c r="I632">
        <v>55</v>
      </c>
      <c r="J632">
        <v>7</v>
      </c>
    </row>
    <row r="633" spans="1:10" x14ac:dyDescent="0.25">
      <c r="A633">
        <v>10102</v>
      </c>
      <c r="B633" t="s">
        <v>1458</v>
      </c>
      <c r="C633">
        <v>633</v>
      </c>
      <c r="D633">
        <v>6262003402647</v>
      </c>
      <c r="E633" t="s">
        <v>816</v>
      </c>
      <c r="F633">
        <v>2</v>
      </c>
      <c r="G633">
        <v>38</v>
      </c>
      <c r="I633">
        <v>76</v>
      </c>
      <c r="J633">
        <v>8</v>
      </c>
    </row>
    <row r="634" spans="1:10" x14ac:dyDescent="0.25">
      <c r="A634">
        <v>10102</v>
      </c>
      <c r="B634" t="s">
        <v>1458</v>
      </c>
      <c r="C634">
        <v>634</v>
      </c>
      <c r="D634">
        <v>6260533000067</v>
      </c>
      <c r="E634" t="s">
        <v>1313</v>
      </c>
      <c r="F634">
        <v>3</v>
      </c>
      <c r="G634">
        <v>50</v>
      </c>
      <c r="I634">
        <v>150</v>
      </c>
      <c r="J634">
        <v>9</v>
      </c>
    </row>
    <row r="635" spans="1:10" x14ac:dyDescent="0.25">
      <c r="A635">
        <v>10102</v>
      </c>
      <c r="B635" t="s">
        <v>1458</v>
      </c>
      <c r="C635">
        <v>635</v>
      </c>
      <c r="D635">
        <v>6263186900012</v>
      </c>
      <c r="E635" t="s">
        <v>1248</v>
      </c>
      <c r="F635">
        <v>3</v>
      </c>
      <c r="G635">
        <v>2</v>
      </c>
      <c r="I635">
        <v>6</v>
      </c>
      <c r="J635">
        <v>10</v>
      </c>
    </row>
    <row r="636" spans="1:10" x14ac:dyDescent="0.25">
      <c r="A636">
        <v>10102</v>
      </c>
      <c r="B636" t="s">
        <v>1458</v>
      </c>
      <c r="C636">
        <v>636</v>
      </c>
      <c r="D636">
        <v>5200</v>
      </c>
      <c r="E636" t="s">
        <v>866</v>
      </c>
      <c r="F636">
        <v>4</v>
      </c>
      <c r="G636">
        <v>1</v>
      </c>
      <c r="I636">
        <v>4</v>
      </c>
      <c r="J636">
        <v>11</v>
      </c>
    </row>
    <row r="637" spans="1:10" x14ac:dyDescent="0.25">
      <c r="A637">
        <v>10103</v>
      </c>
      <c r="B637" t="s">
        <v>1458</v>
      </c>
      <c r="C637">
        <v>637</v>
      </c>
      <c r="D637">
        <v>6261422503003</v>
      </c>
      <c r="E637" t="s">
        <v>955</v>
      </c>
      <c r="F637">
        <v>1</v>
      </c>
      <c r="G637">
        <v>30</v>
      </c>
      <c r="I637">
        <v>30</v>
      </c>
      <c r="J637">
        <v>7</v>
      </c>
    </row>
    <row r="638" spans="1:10" x14ac:dyDescent="0.25">
      <c r="A638">
        <v>10104</v>
      </c>
      <c r="B638" t="s">
        <v>1458</v>
      </c>
      <c r="C638">
        <v>638</v>
      </c>
      <c r="D638">
        <v>6261163400197</v>
      </c>
      <c r="E638" t="s">
        <v>254</v>
      </c>
      <c r="F638">
        <v>1</v>
      </c>
      <c r="G638">
        <v>20</v>
      </c>
      <c r="I638">
        <v>20</v>
      </c>
      <c r="J638">
        <v>7</v>
      </c>
    </row>
    <row r="639" spans="1:10" x14ac:dyDescent="0.25">
      <c r="A639">
        <v>10105</v>
      </c>
      <c r="B639" t="s">
        <v>1458</v>
      </c>
      <c r="C639">
        <v>639</v>
      </c>
      <c r="D639">
        <v>6265826100134</v>
      </c>
      <c r="E639" t="s">
        <v>814</v>
      </c>
      <c r="F639">
        <v>2</v>
      </c>
      <c r="G639">
        <v>21</v>
      </c>
      <c r="I639">
        <v>42</v>
      </c>
      <c r="J639">
        <v>7</v>
      </c>
    </row>
    <row r="640" spans="1:10" x14ac:dyDescent="0.25">
      <c r="A640">
        <v>10106</v>
      </c>
      <c r="B640" t="s">
        <v>1299</v>
      </c>
      <c r="C640">
        <v>640</v>
      </c>
      <c r="D640">
        <v>6260000252135</v>
      </c>
      <c r="E640" t="s">
        <v>1353</v>
      </c>
      <c r="F640">
        <v>1</v>
      </c>
      <c r="G640">
        <v>13</v>
      </c>
      <c r="I640">
        <v>13</v>
      </c>
      <c r="J640">
        <v>7</v>
      </c>
    </row>
    <row r="641" spans="1:10" x14ac:dyDescent="0.25">
      <c r="A641">
        <v>10106</v>
      </c>
      <c r="B641" t="s">
        <v>1299</v>
      </c>
      <c r="C641">
        <v>641</v>
      </c>
      <c r="D641">
        <v>6260000252166</v>
      </c>
      <c r="E641" t="s">
        <v>1448</v>
      </c>
      <c r="F641">
        <v>5</v>
      </c>
      <c r="G641">
        <v>13</v>
      </c>
      <c r="I641">
        <v>65</v>
      </c>
      <c r="J641">
        <v>8</v>
      </c>
    </row>
    <row r="642" spans="1:10" x14ac:dyDescent="0.25">
      <c r="A642">
        <v>10106</v>
      </c>
      <c r="B642" t="s">
        <v>1299</v>
      </c>
      <c r="C642">
        <v>642</v>
      </c>
      <c r="D642">
        <v>6260000252128</v>
      </c>
      <c r="E642" t="s">
        <v>1508</v>
      </c>
      <c r="F642">
        <v>5</v>
      </c>
      <c r="G642">
        <v>12</v>
      </c>
      <c r="I642">
        <v>60</v>
      </c>
      <c r="J642">
        <v>9</v>
      </c>
    </row>
    <row r="643" spans="1:10" x14ac:dyDescent="0.25">
      <c r="A643">
        <v>10106</v>
      </c>
      <c r="B643" t="s">
        <v>1299</v>
      </c>
      <c r="C643">
        <v>643</v>
      </c>
      <c r="D643">
        <v>6260000252142</v>
      </c>
      <c r="E643" t="s">
        <v>1510</v>
      </c>
      <c r="F643">
        <v>4</v>
      </c>
      <c r="G643">
        <v>12</v>
      </c>
      <c r="I643">
        <v>48</v>
      </c>
      <c r="J643">
        <v>10</v>
      </c>
    </row>
    <row r="644" spans="1:10" x14ac:dyDescent="0.25">
      <c r="A644">
        <v>10107</v>
      </c>
      <c r="B644" t="s">
        <v>1458</v>
      </c>
      <c r="C644">
        <v>644</v>
      </c>
      <c r="D644">
        <v>6269365700251</v>
      </c>
      <c r="E644" t="s">
        <v>820</v>
      </c>
      <c r="F644">
        <v>1</v>
      </c>
      <c r="G644">
        <v>21</v>
      </c>
      <c r="I644">
        <v>21</v>
      </c>
      <c r="J644">
        <v>7</v>
      </c>
    </row>
    <row r="645" spans="1:10" x14ac:dyDescent="0.25">
      <c r="A645">
        <v>10108</v>
      </c>
      <c r="B645" t="s">
        <v>1458</v>
      </c>
      <c r="C645">
        <v>645</v>
      </c>
      <c r="D645">
        <v>6261163400036</v>
      </c>
      <c r="E645" t="s">
        <v>1360</v>
      </c>
      <c r="F645">
        <v>1</v>
      </c>
      <c r="G645">
        <v>20</v>
      </c>
      <c r="I645">
        <v>20</v>
      </c>
      <c r="J645">
        <v>7</v>
      </c>
    </row>
    <row r="646" spans="1:10" x14ac:dyDescent="0.25">
      <c r="A646">
        <v>10109</v>
      </c>
      <c r="B646" t="s">
        <v>1458</v>
      </c>
      <c r="C646">
        <v>646</v>
      </c>
      <c r="D646">
        <v>6260806400020</v>
      </c>
      <c r="E646" t="s">
        <v>754</v>
      </c>
      <c r="F646">
        <v>1</v>
      </c>
      <c r="G646">
        <v>50</v>
      </c>
      <c r="I646">
        <v>50</v>
      </c>
      <c r="J646">
        <v>7</v>
      </c>
    </row>
    <row r="647" spans="1:10" x14ac:dyDescent="0.25">
      <c r="A647">
        <v>10110</v>
      </c>
      <c r="B647" t="s">
        <v>1458</v>
      </c>
      <c r="C647">
        <v>647</v>
      </c>
      <c r="D647">
        <v>6269365700077</v>
      </c>
      <c r="E647" t="s">
        <v>264</v>
      </c>
      <c r="F647">
        <v>1</v>
      </c>
      <c r="G647">
        <v>18</v>
      </c>
      <c r="I647">
        <v>18</v>
      </c>
      <c r="J647">
        <v>7</v>
      </c>
    </row>
    <row r="648" spans="1:10" x14ac:dyDescent="0.25">
      <c r="A648">
        <v>10110</v>
      </c>
      <c r="B648" t="s">
        <v>1458</v>
      </c>
      <c r="C648">
        <v>648</v>
      </c>
      <c r="D648">
        <v>6265826100028</v>
      </c>
      <c r="E648" t="s">
        <v>712</v>
      </c>
      <c r="F648">
        <v>1</v>
      </c>
      <c r="G648">
        <v>21</v>
      </c>
      <c r="I648">
        <v>21</v>
      </c>
      <c r="J648">
        <v>8</v>
      </c>
    </row>
    <row r="649" spans="1:10" x14ac:dyDescent="0.25">
      <c r="A649">
        <v>10111</v>
      </c>
      <c r="B649" t="s">
        <v>1458</v>
      </c>
      <c r="C649">
        <v>649</v>
      </c>
      <c r="D649">
        <v>3000</v>
      </c>
      <c r="E649" t="s">
        <v>1222</v>
      </c>
      <c r="F649">
        <v>0.08</v>
      </c>
      <c r="G649">
        <v>700</v>
      </c>
      <c r="I649">
        <v>56</v>
      </c>
      <c r="J649">
        <v>7</v>
      </c>
    </row>
    <row r="650" spans="1:10" x14ac:dyDescent="0.25">
      <c r="A650">
        <v>10112</v>
      </c>
      <c r="B650" t="s">
        <v>1299</v>
      </c>
      <c r="C650">
        <v>650</v>
      </c>
      <c r="D650">
        <v>2582525885273</v>
      </c>
      <c r="E650" t="s">
        <v>1512</v>
      </c>
      <c r="F650">
        <v>10</v>
      </c>
      <c r="G650">
        <v>10</v>
      </c>
      <c r="I650">
        <v>100</v>
      </c>
      <c r="J650">
        <v>7</v>
      </c>
    </row>
    <row r="651" spans="1:10" x14ac:dyDescent="0.25">
      <c r="A651">
        <v>10112</v>
      </c>
      <c r="B651" t="s">
        <v>1299</v>
      </c>
      <c r="C651">
        <v>651</v>
      </c>
      <c r="D651">
        <v>6260308310278</v>
      </c>
      <c r="E651" t="s">
        <v>778</v>
      </c>
      <c r="F651">
        <v>6</v>
      </c>
      <c r="G651">
        <v>75</v>
      </c>
      <c r="I651">
        <v>450</v>
      </c>
      <c r="J651">
        <v>8</v>
      </c>
    </row>
    <row r="652" spans="1:10" x14ac:dyDescent="0.25">
      <c r="A652">
        <v>10112</v>
      </c>
      <c r="B652" t="s">
        <v>1299</v>
      </c>
      <c r="C652">
        <v>652</v>
      </c>
      <c r="D652">
        <v>6300</v>
      </c>
      <c r="E652" t="s">
        <v>1272</v>
      </c>
      <c r="F652">
        <v>6</v>
      </c>
      <c r="G652">
        <v>20</v>
      </c>
      <c r="I652">
        <v>120</v>
      </c>
      <c r="J652">
        <v>9</v>
      </c>
    </row>
    <row r="653" spans="1:10" x14ac:dyDescent="0.25">
      <c r="A653">
        <v>10113</v>
      </c>
      <c r="B653" t="s">
        <v>1458</v>
      </c>
      <c r="C653">
        <v>653</v>
      </c>
      <c r="D653">
        <v>6265663103565</v>
      </c>
      <c r="E653" t="s">
        <v>329</v>
      </c>
      <c r="F653">
        <v>2</v>
      </c>
      <c r="G653">
        <v>5</v>
      </c>
      <c r="I653">
        <v>10</v>
      </c>
      <c r="J653">
        <v>7</v>
      </c>
    </row>
    <row r="654" spans="1:10" x14ac:dyDescent="0.25">
      <c r="A654">
        <v>10113</v>
      </c>
      <c r="B654" t="s">
        <v>1458</v>
      </c>
      <c r="C654">
        <v>654</v>
      </c>
      <c r="D654">
        <v>6269365700091</v>
      </c>
      <c r="E654" t="s">
        <v>272</v>
      </c>
      <c r="F654">
        <v>1</v>
      </c>
      <c r="G654">
        <v>18</v>
      </c>
      <c r="I654">
        <v>18</v>
      </c>
      <c r="J654">
        <v>8</v>
      </c>
    </row>
    <row r="655" spans="1:10" x14ac:dyDescent="0.25">
      <c r="A655">
        <v>10113</v>
      </c>
      <c r="B655" t="s">
        <v>1458</v>
      </c>
      <c r="C655">
        <v>655</v>
      </c>
      <c r="D655">
        <v>6264078411616</v>
      </c>
      <c r="E655" t="s">
        <v>1153</v>
      </c>
      <c r="F655">
        <v>1</v>
      </c>
      <c r="G655">
        <v>10</v>
      </c>
      <c r="I655">
        <v>10</v>
      </c>
      <c r="J655">
        <v>9</v>
      </c>
    </row>
    <row r="656" spans="1:10" x14ac:dyDescent="0.25">
      <c r="A656">
        <v>10113</v>
      </c>
      <c r="B656" t="s">
        <v>1458</v>
      </c>
      <c r="C656">
        <v>656</v>
      </c>
      <c r="D656">
        <v>5200</v>
      </c>
      <c r="E656" t="s">
        <v>866</v>
      </c>
      <c r="F656">
        <v>2</v>
      </c>
      <c r="G656">
        <v>1</v>
      </c>
      <c r="I656">
        <v>2</v>
      </c>
      <c r="J656">
        <v>10</v>
      </c>
    </row>
    <row r="657" spans="1:10" x14ac:dyDescent="0.25">
      <c r="A657">
        <v>10114</v>
      </c>
      <c r="B657" t="s">
        <v>1458</v>
      </c>
      <c r="C657">
        <v>657</v>
      </c>
      <c r="D657">
        <v>6260543505668</v>
      </c>
      <c r="E657" t="s">
        <v>1183</v>
      </c>
      <c r="F657">
        <v>2</v>
      </c>
      <c r="G657">
        <v>5</v>
      </c>
      <c r="I657">
        <v>10</v>
      </c>
      <c r="J657">
        <v>7</v>
      </c>
    </row>
    <row r="658" spans="1:10" x14ac:dyDescent="0.25">
      <c r="A658">
        <v>10115</v>
      </c>
      <c r="B658" t="s">
        <v>1299</v>
      </c>
      <c r="C658">
        <v>658</v>
      </c>
      <c r="D658">
        <v>6265826100844</v>
      </c>
      <c r="E658" t="s">
        <v>1220</v>
      </c>
      <c r="F658">
        <v>10</v>
      </c>
      <c r="G658">
        <v>18</v>
      </c>
      <c r="I658">
        <v>180</v>
      </c>
      <c r="J658">
        <v>7</v>
      </c>
    </row>
    <row r="659" spans="1:10" x14ac:dyDescent="0.25">
      <c r="A659">
        <v>10115</v>
      </c>
      <c r="B659" t="s">
        <v>1299</v>
      </c>
      <c r="C659">
        <v>659</v>
      </c>
      <c r="D659">
        <v>6265826100837</v>
      </c>
      <c r="E659" t="s">
        <v>704</v>
      </c>
      <c r="F659">
        <v>10</v>
      </c>
      <c r="G659">
        <v>18</v>
      </c>
      <c r="I659">
        <v>180</v>
      </c>
      <c r="J659">
        <v>8</v>
      </c>
    </row>
    <row r="660" spans="1:10" x14ac:dyDescent="0.25">
      <c r="A660">
        <v>10116</v>
      </c>
      <c r="B660" t="s">
        <v>1458</v>
      </c>
      <c r="C660">
        <v>660</v>
      </c>
      <c r="D660">
        <v>5200</v>
      </c>
      <c r="E660" t="s">
        <v>866</v>
      </c>
      <c r="F660">
        <v>1</v>
      </c>
      <c r="G660">
        <v>1</v>
      </c>
      <c r="I660">
        <v>1</v>
      </c>
      <c r="J660">
        <v>7</v>
      </c>
    </row>
    <row r="661" spans="1:10" x14ac:dyDescent="0.25">
      <c r="A661">
        <v>10117</v>
      </c>
      <c r="B661" t="s">
        <v>1458</v>
      </c>
      <c r="C661">
        <v>661</v>
      </c>
      <c r="D661">
        <v>6264078411616</v>
      </c>
      <c r="E661" t="s">
        <v>1153</v>
      </c>
      <c r="F661">
        <v>1</v>
      </c>
      <c r="G661">
        <v>10</v>
      </c>
      <c r="I661">
        <v>10</v>
      </c>
      <c r="J661">
        <v>7</v>
      </c>
    </row>
    <row r="662" spans="1:10" x14ac:dyDescent="0.25">
      <c r="A662">
        <v>10117</v>
      </c>
      <c r="B662" t="s">
        <v>1458</v>
      </c>
      <c r="C662">
        <v>662</v>
      </c>
      <c r="D662">
        <v>6264078411593</v>
      </c>
      <c r="E662" t="s">
        <v>1146</v>
      </c>
      <c r="F662">
        <v>1</v>
      </c>
      <c r="G662">
        <v>10</v>
      </c>
      <c r="I662">
        <v>10</v>
      </c>
      <c r="J662">
        <v>8</v>
      </c>
    </row>
    <row r="663" spans="1:10" x14ac:dyDescent="0.25">
      <c r="A663">
        <v>10118</v>
      </c>
      <c r="B663" t="s">
        <v>1458</v>
      </c>
      <c r="C663">
        <v>663</v>
      </c>
      <c r="D663">
        <v>6269365700091</v>
      </c>
      <c r="E663" t="s">
        <v>272</v>
      </c>
      <c r="F663">
        <v>2</v>
      </c>
      <c r="G663">
        <v>18</v>
      </c>
      <c r="I663">
        <v>36</v>
      </c>
      <c r="J663">
        <v>7</v>
      </c>
    </row>
    <row r="664" spans="1:10" x14ac:dyDescent="0.25">
      <c r="A664">
        <v>10119</v>
      </c>
      <c r="B664" t="s">
        <v>1458</v>
      </c>
      <c r="C664">
        <v>664</v>
      </c>
      <c r="D664">
        <v>6260007406487</v>
      </c>
      <c r="E664" t="s">
        <v>910</v>
      </c>
      <c r="F664">
        <v>1</v>
      </c>
      <c r="G664">
        <v>17</v>
      </c>
      <c r="I664">
        <v>17</v>
      </c>
      <c r="J664">
        <v>7</v>
      </c>
    </row>
    <row r="665" spans="1:10" x14ac:dyDescent="0.25">
      <c r="A665">
        <v>10119</v>
      </c>
      <c r="B665" t="s">
        <v>1458</v>
      </c>
      <c r="C665">
        <v>665</v>
      </c>
      <c r="D665">
        <v>6269948100195</v>
      </c>
      <c r="E665" t="s">
        <v>1478</v>
      </c>
      <c r="F665">
        <v>2</v>
      </c>
      <c r="G665">
        <v>12.5</v>
      </c>
      <c r="I665">
        <v>25</v>
      </c>
      <c r="J665">
        <v>8</v>
      </c>
    </row>
    <row r="666" spans="1:10" x14ac:dyDescent="0.25">
      <c r="A666">
        <v>10120</v>
      </c>
      <c r="B666" t="s">
        <v>1458</v>
      </c>
      <c r="C666">
        <v>666</v>
      </c>
      <c r="D666">
        <v>6261163400197</v>
      </c>
      <c r="E666" t="s">
        <v>254</v>
      </c>
      <c r="F666">
        <v>2</v>
      </c>
      <c r="G666">
        <v>20</v>
      </c>
      <c r="I666">
        <v>40</v>
      </c>
      <c r="J666">
        <v>7</v>
      </c>
    </row>
    <row r="667" spans="1:10" x14ac:dyDescent="0.25">
      <c r="A667">
        <v>10121</v>
      </c>
      <c r="B667" t="s">
        <v>1458</v>
      </c>
      <c r="C667">
        <v>667</v>
      </c>
      <c r="D667">
        <v>6262412625057</v>
      </c>
      <c r="E667" t="s">
        <v>850</v>
      </c>
      <c r="F667">
        <v>1</v>
      </c>
      <c r="G667">
        <v>10</v>
      </c>
      <c r="I667">
        <v>10</v>
      </c>
      <c r="J667">
        <v>7</v>
      </c>
    </row>
    <row r="668" spans="1:10" x14ac:dyDescent="0.25">
      <c r="A668">
        <v>10122</v>
      </c>
      <c r="B668" t="s">
        <v>1458</v>
      </c>
      <c r="C668">
        <v>668</v>
      </c>
      <c r="D668">
        <v>6269447802224</v>
      </c>
      <c r="E668" t="s">
        <v>1008</v>
      </c>
      <c r="F668">
        <v>1</v>
      </c>
      <c r="G668">
        <v>7</v>
      </c>
      <c r="I668">
        <v>7</v>
      </c>
      <c r="J668">
        <v>7</v>
      </c>
    </row>
    <row r="669" spans="1:10" x14ac:dyDescent="0.25">
      <c r="A669">
        <v>10123</v>
      </c>
      <c r="B669" t="s">
        <v>1458</v>
      </c>
      <c r="C669">
        <v>669</v>
      </c>
      <c r="D669">
        <v>8936036022933</v>
      </c>
      <c r="E669" t="s">
        <v>1464</v>
      </c>
      <c r="F669">
        <v>1</v>
      </c>
      <c r="G669">
        <v>10</v>
      </c>
      <c r="I669">
        <v>10</v>
      </c>
      <c r="J669">
        <v>7</v>
      </c>
    </row>
    <row r="670" spans="1:10" x14ac:dyDescent="0.25">
      <c r="A670">
        <v>10124</v>
      </c>
      <c r="B670" t="s">
        <v>1458</v>
      </c>
      <c r="C670">
        <v>670</v>
      </c>
      <c r="D670">
        <v>5200</v>
      </c>
      <c r="E670" t="s">
        <v>866</v>
      </c>
      <c r="F670">
        <v>3</v>
      </c>
      <c r="G670">
        <v>1</v>
      </c>
      <c r="I670">
        <v>3</v>
      </c>
      <c r="J670">
        <v>7</v>
      </c>
    </row>
    <row r="671" spans="1:10" x14ac:dyDescent="0.25">
      <c r="A671">
        <v>10125</v>
      </c>
      <c r="B671" t="s">
        <v>1458</v>
      </c>
      <c r="C671">
        <v>671</v>
      </c>
      <c r="D671">
        <v>6260308310278</v>
      </c>
      <c r="E671" t="s">
        <v>778</v>
      </c>
      <c r="F671">
        <v>1</v>
      </c>
      <c r="G671">
        <v>80</v>
      </c>
      <c r="I671">
        <v>80</v>
      </c>
      <c r="J671">
        <v>7</v>
      </c>
    </row>
    <row r="672" spans="1:10" x14ac:dyDescent="0.25">
      <c r="A672">
        <v>10125</v>
      </c>
      <c r="B672" t="s">
        <v>1458</v>
      </c>
      <c r="C672">
        <v>672</v>
      </c>
      <c r="D672">
        <v>6260055843036</v>
      </c>
      <c r="E672" t="s">
        <v>736</v>
      </c>
      <c r="F672">
        <v>1</v>
      </c>
      <c r="G672">
        <v>35</v>
      </c>
      <c r="I672">
        <v>35</v>
      </c>
      <c r="J672">
        <v>8</v>
      </c>
    </row>
    <row r="673" spans="1:10" x14ac:dyDescent="0.25">
      <c r="A673">
        <v>10125</v>
      </c>
      <c r="B673" t="s">
        <v>1458</v>
      </c>
      <c r="C673">
        <v>673</v>
      </c>
      <c r="D673">
        <v>6261845300173</v>
      </c>
      <c r="E673" t="s">
        <v>736</v>
      </c>
      <c r="F673">
        <v>1</v>
      </c>
      <c r="G673">
        <v>35</v>
      </c>
      <c r="I673">
        <v>35</v>
      </c>
      <c r="J673">
        <v>9</v>
      </c>
    </row>
    <row r="674" spans="1:10" x14ac:dyDescent="0.25">
      <c r="A674">
        <v>10126</v>
      </c>
      <c r="B674" t="s">
        <v>1458</v>
      </c>
      <c r="C674">
        <v>674</v>
      </c>
      <c r="D674">
        <v>6264078410992</v>
      </c>
      <c r="E674" t="s">
        <v>1362</v>
      </c>
      <c r="F674">
        <v>1</v>
      </c>
      <c r="G674">
        <v>15</v>
      </c>
      <c r="I674">
        <v>15</v>
      </c>
      <c r="J674">
        <v>7</v>
      </c>
    </row>
    <row r="675" spans="1:10" x14ac:dyDescent="0.25">
      <c r="A675">
        <v>10127</v>
      </c>
      <c r="B675" t="s">
        <v>1458</v>
      </c>
      <c r="C675">
        <v>675</v>
      </c>
      <c r="D675">
        <v>6261178014334</v>
      </c>
      <c r="E675" t="s">
        <v>1096</v>
      </c>
      <c r="F675">
        <v>1</v>
      </c>
      <c r="G675">
        <v>4</v>
      </c>
      <c r="I675">
        <v>4</v>
      </c>
      <c r="J675">
        <v>7</v>
      </c>
    </row>
    <row r="676" spans="1:10" x14ac:dyDescent="0.25">
      <c r="A676">
        <v>10127</v>
      </c>
      <c r="B676" t="s">
        <v>1458</v>
      </c>
      <c r="C676">
        <v>676</v>
      </c>
      <c r="D676">
        <v>6265663104265</v>
      </c>
      <c r="E676" t="s">
        <v>1338</v>
      </c>
      <c r="F676">
        <v>1</v>
      </c>
      <c r="G676">
        <v>10</v>
      </c>
      <c r="I676">
        <v>10</v>
      </c>
      <c r="J676">
        <v>8</v>
      </c>
    </row>
    <row r="677" spans="1:10" x14ac:dyDescent="0.25">
      <c r="A677">
        <v>10127</v>
      </c>
      <c r="B677" t="s">
        <v>1458</v>
      </c>
      <c r="C677">
        <v>677</v>
      </c>
      <c r="D677">
        <v>6260002666725</v>
      </c>
      <c r="E677" t="s">
        <v>1207</v>
      </c>
      <c r="F677">
        <v>1</v>
      </c>
      <c r="G677">
        <v>10</v>
      </c>
      <c r="I677">
        <v>10</v>
      </c>
      <c r="J677">
        <v>9</v>
      </c>
    </row>
    <row r="678" spans="1:10" x14ac:dyDescent="0.25">
      <c r="A678">
        <v>10127</v>
      </c>
      <c r="B678" t="s">
        <v>1458</v>
      </c>
      <c r="C678">
        <v>678</v>
      </c>
      <c r="D678">
        <v>7700</v>
      </c>
      <c r="E678" t="s">
        <v>1439</v>
      </c>
      <c r="F678">
        <v>0.42499999999999999</v>
      </c>
      <c r="G678">
        <v>180</v>
      </c>
      <c r="I678">
        <v>76.5</v>
      </c>
      <c r="J678">
        <v>10</v>
      </c>
    </row>
    <row r="679" spans="1:10" x14ac:dyDescent="0.25">
      <c r="A679">
        <v>10128</v>
      </c>
      <c r="B679" t="s">
        <v>1458</v>
      </c>
      <c r="C679">
        <v>679</v>
      </c>
      <c r="D679">
        <v>6260575900769</v>
      </c>
      <c r="E679" t="s">
        <v>1092</v>
      </c>
      <c r="F679">
        <v>1</v>
      </c>
      <c r="G679">
        <v>5</v>
      </c>
      <c r="I679">
        <v>5</v>
      </c>
      <c r="J679">
        <v>7</v>
      </c>
    </row>
    <row r="680" spans="1:10" x14ac:dyDescent="0.25">
      <c r="A680">
        <v>10129</v>
      </c>
      <c r="B680" t="s">
        <v>1458</v>
      </c>
      <c r="C680">
        <v>680</v>
      </c>
      <c r="D680">
        <v>6260543504791</v>
      </c>
      <c r="E680" t="s">
        <v>1499</v>
      </c>
      <c r="F680">
        <v>3</v>
      </c>
      <c r="G680">
        <v>5</v>
      </c>
      <c r="I680">
        <v>15</v>
      </c>
      <c r="J680">
        <v>7</v>
      </c>
    </row>
    <row r="681" spans="1:10" x14ac:dyDescent="0.25">
      <c r="A681">
        <v>10129</v>
      </c>
      <c r="B681" t="s">
        <v>1458</v>
      </c>
      <c r="C681">
        <v>681</v>
      </c>
      <c r="D681">
        <v>6261163400197</v>
      </c>
      <c r="E681" t="s">
        <v>254</v>
      </c>
      <c r="F681">
        <v>1</v>
      </c>
      <c r="G681">
        <v>15</v>
      </c>
      <c r="I681">
        <v>15</v>
      </c>
      <c r="J681">
        <v>8</v>
      </c>
    </row>
    <row r="682" spans="1:10" x14ac:dyDescent="0.25">
      <c r="A682">
        <v>10129</v>
      </c>
      <c r="B682" t="s">
        <v>1458</v>
      </c>
      <c r="C682">
        <v>682</v>
      </c>
      <c r="D682">
        <v>6260575904330</v>
      </c>
      <c r="E682" t="s">
        <v>1104</v>
      </c>
      <c r="F682">
        <v>2</v>
      </c>
      <c r="G682">
        <v>15</v>
      </c>
      <c r="I682">
        <v>30</v>
      </c>
      <c r="J682">
        <v>9</v>
      </c>
    </row>
    <row r="683" spans="1:10" x14ac:dyDescent="0.25">
      <c r="A683">
        <v>10129</v>
      </c>
      <c r="B683" t="s">
        <v>1458</v>
      </c>
      <c r="C683">
        <v>683</v>
      </c>
      <c r="D683">
        <v>6264078402324</v>
      </c>
      <c r="E683" t="s">
        <v>1157</v>
      </c>
      <c r="F683">
        <v>1</v>
      </c>
      <c r="G683">
        <v>10</v>
      </c>
      <c r="I683">
        <v>10</v>
      </c>
      <c r="J683">
        <v>10</v>
      </c>
    </row>
    <row r="684" spans="1:10" x14ac:dyDescent="0.25">
      <c r="A684">
        <v>10130</v>
      </c>
      <c r="B684" t="s">
        <v>1458</v>
      </c>
      <c r="C684">
        <v>684</v>
      </c>
      <c r="D684">
        <v>6260002931380</v>
      </c>
      <c r="E684" t="s">
        <v>399</v>
      </c>
      <c r="F684">
        <v>3</v>
      </c>
      <c r="G684">
        <v>16</v>
      </c>
      <c r="I684">
        <v>48</v>
      </c>
      <c r="J684">
        <v>7</v>
      </c>
    </row>
    <row r="685" spans="1:10" x14ac:dyDescent="0.25">
      <c r="A685">
        <v>10131</v>
      </c>
      <c r="B685" t="s">
        <v>1458</v>
      </c>
      <c r="C685">
        <v>685</v>
      </c>
      <c r="D685">
        <v>6269365700152</v>
      </c>
      <c r="E685" t="s">
        <v>266</v>
      </c>
      <c r="F685">
        <v>1</v>
      </c>
      <c r="G685">
        <v>19</v>
      </c>
      <c r="I685">
        <v>19</v>
      </c>
      <c r="J685">
        <v>7</v>
      </c>
    </row>
    <row r="686" spans="1:10" x14ac:dyDescent="0.25">
      <c r="A686">
        <v>10131</v>
      </c>
      <c r="B686" t="s">
        <v>1458</v>
      </c>
      <c r="C686">
        <v>686</v>
      </c>
      <c r="D686">
        <v>2200</v>
      </c>
      <c r="E686" t="s">
        <v>1225</v>
      </c>
      <c r="F686">
        <v>0.505</v>
      </c>
      <c r="G686">
        <v>70</v>
      </c>
      <c r="I686">
        <v>35.35</v>
      </c>
      <c r="J686">
        <v>8</v>
      </c>
    </row>
    <row r="687" spans="1:10" x14ac:dyDescent="0.25">
      <c r="A687">
        <v>10131</v>
      </c>
      <c r="B687" t="s">
        <v>1458</v>
      </c>
      <c r="C687">
        <v>687</v>
      </c>
      <c r="D687">
        <v>5200</v>
      </c>
      <c r="E687" t="s">
        <v>866</v>
      </c>
      <c r="F687">
        <v>1</v>
      </c>
      <c r="G687">
        <v>1</v>
      </c>
      <c r="I687">
        <v>1</v>
      </c>
      <c r="J687">
        <v>9</v>
      </c>
    </row>
    <row r="688" spans="1:10" x14ac:dyDescent="0.25">
      <c r="A688">
        <v>10132</v>
      </c>
      <c r="B688" t="s">
        <v>1458</v>
      </c>
      <c r="C688">
        <v>688</v>
      </c>
      <c r="D688">
        <v>6260575900769</v>
      </c>
      <c r="E688" t="s">
        <v>1092</v>
      </c>
      <c r="F688">
        <v>1</v>
      </c>
      <c r="G688">
        <v>5</v>
      </c>
      <c r="I688">
        <v>5</v>
      </c>
      <c r="J688">
        <v>7</v>
      </c>
    </row>
    <row r="689" spans="1:10" x14ac:dyDescent="0.25">
      <c r="A689">
        <v>10133</v>
      </c>
      <c r="B689" t="s">
        <v>1458</v>
      </c>
      <c r="C689">
        <v>689</v>
      </c>
      <c r="D689">
        <v>6260575904309</v>
      </c>
      <c r="E689" t="s">
        <v>1098</v>
      </c>
      <c r="F689">
        <v>2</v>
      </c>
      <c r="G689">
        <v>10</v>
      </c>
      <c r="I689">
        <v>20</v>
      </c>
      <c r="J689">
        <v>7</v>
      </c>
    </row>
    <row r="690" spans="1:10" x14ac:dyDescent="0.25">
      <c r="A690">
        <v>10133</v>
      </c>
      <c r="B690" t="s">
        <v>1458</v>
      </c>
      <c r="C690">
        <v>690</v>
      </c>
      <c r="D690">
        <v>6260109281555</v>
      </c>
      <c r="E690" t="s">
        <v>1252</v>
      </c>
      <c r="F690">
        <v>2</v>
      </c>
      <c r="G690">
        <v>12</v>
      </c>
      <c r="I690">
        <v>24</v>
      </c>
      <c r="J690">
        <v>8</v>
      </c>
    </row>
    <row r="691" spans="1:10" x14ac:dyDescent="0.25">
      <c r="A691">
        <v>10133</v>
      </c>
      <c r="B691" t="s">
        <v>1458</v>
      </c>
      <c r="C691">
        <v>691</v>
      </c>
      <c r="D691">
        <v>6260543504791</v>
      </c>
      <c r="E691" t="s">
        <v>1499</v>
      </c>
      <c r="F691">
        <v>1</v>
      </c>
      <c r="G691">
        <v>5</v>
      </c>
      <c r="I691">
        <v>5</v>
      </c>
      <c r="J691">
        <v>9</v>
      </c>
    </row>
    <row r="692" spans="1:10" x14ac:dyDescent="0.25">
      <c r="A692">
        <v>10133</v>
      </c>
      <c r="B692" t="s">
        <v>1458</v>
      </c>
      <c r="C692">
        <v>692</v>
      </c>
      <c r="D692">
        <v>5200</v>
      </c>
      <c r="E692" t="s">
        <v>866</v>
      </c>
      <c r="F692">
        <v>1</v>
      </c>
      <c r="G692">
        <v>1</v>
      </c>
      <c r="I692">
        <v>1</v>
      </c>
      <c r="J692">
        <v>10</v>
      </c>
    </row>
    <row r="693" spans="1:10" x14ac:dyDescent="0.25">
      <c r="A693">
        <v>10134</v>
      </c>
      <c r="B693" t="s">
        <v>1458</v>
      </c>
      <c r="C693">
        <v>693</v>
      </c>
      <c r="D693">
        <v>6269365700251</v>
      </c>
      <c r="E693" t="s">
        <v>820</v>
      </c>
      <c r="F693">
        <v>2</v>
      </c>
      <c r="G693">
        <v>21</v>
      </c>
      <c r="I693">
        <v>42</v>
      </c>
      <c r="J693">
        <v>7</v>
      </c>
    </row>
    <row r="694" spans="1:10" x14ac:dyDescent="0.25">
      <c r="A694">
        <v>10135</v>
      </c>
      <c r="B694" t="s">
        <v>1458</v>
      </c>
      <c r="C694">
        <v>694</v>
      </c>
      <c r="D694">
        <v>6265554201035</v>
      </c>
      <c r="E694" t="s">
        <v>1436</v>
      </c>
      <c r="F694">
        <v>0.51800000000000002</v>
      </c>
      <c r="G694">
        <v>750</v>
      </c>
      <c r="I694">
        <v>388.5</v>
      </c>
      <c r="J694">
        <v>7</v>
      </c>
    </row>
    <row r="695" spans="1:10" x14ac:dyDescent="0.25">
      <c r="A695">
        <v>10135</v>
      </c>
      <c r="B695" t="s">
        <v>1458</v>
      </c>
      <c r="C695">
        <v>695</v>
      </c>
      <c r="D695">
        <v>6260501700111</v>
      </c>
      <c r="E695" t="s">
        <v>738</v>
      </c>
      <c r="F695">
        <v>1</v>
      </c>
      <c r="G695">
        <v>15</v>
      </c>
      <c r="I695">
        <v>15</v>
      </c>
      <c r="J695">
        <v>8</v>
      </c>
    </row>
    <row r="696" spans="1:10" x14ac:dyDescent="0.25">
      <c r="A696">
        <v>10136</v>
      </c>
      <c r="B696" t="s">
        <v>1458</v>
      </c>
      <c r="C696">
        <v>696</v>
      </c>
      <c r="D696">
        <v>6265554201035</v>
      </c>
      <c r="E696" t="s">
        <v>1436</v>
      </c>
      <c r="F696">
        <v>0.48799999999999999</v>
      </c>
      <c r="G696">
        <v>750</v>
      </c>
      <c r="I696">
        <v>366</v>
      </c>
      <c r="J696">
        <v>7</v>
      </c>
    </row>
    <row r="697" spans="1:10" x14ac:dyDescent="0.25">
      <c r="A697">
        <v>10137</v>
      </c>
      <c r="B697" t="s">
        <v>1458</v>
      </c>
      <c r="C697">
        <v>697</v>
      </c>
      <c r="D697">
        <v>6261204000133</v>
      </c>
      <c r="E697" t="s">
        <v>262</v>
      </c>
      <c r="F697">
        <v>1</v>
      </c>
      <c r="G697">
        <v>16</v>
      </c>
      <c r="I697">
        <v>16</v>
      </c>
      <c r="J697">
        <v>7</v>
      </c>
    </row>
    <row r="698" spans="1:10" x14ac:dyDescent="0.25">
      <c r="A698">
        <v>10138</v>
      </c>
      <c r="B698" t="s">
        <v>1458</v>
      </c>
      <c r="C698">
        <v>698</v>
      </c>
      <c r="D698">
        <v>6260533000067</v>
      </c>
      <c r="E698" t="s">
        <v>1313</v>
      </c>
      <c r="F698">
        <v>3</v>
      </c>
      <c r="G698">
        <v>50</v>
      </c>
      <c r="I698">
        <v>150</v>
      </c>
      <c r="J698">
        <v>7</v>
      </c>
    </row>
    <row r="699" spans="1:10" x14ac:dyDescent="0.25">
      <c r="A699">
        <v>10139</v>
      </c>
      <c r="B699" t="s">
        <v>1458</v>
      </c>
      <c r="C699">
        <v>699</v>
      </c>
      <c r="D699">
        <v>6269948100201</v>
      </c>
      <c r="E699" t="s">
        <v>1311</v>
      </c>
      <c r="F699">
        <v>2</v>
      </c>
      <c r="G699">
        <v>12.5</v>
      </c>
      <c r="I699">
        <v>25</v>
      </c>
      <c r="J699">
        <v>7</v>
      </c>
    </row>
    <row r="700" spans="1:10" x14ac:dyDescent="0.25">
      <c r="A700">
        <v>10140</v>
      </c>
      <c r="B700" t="s">
        <v>1458</v>
      </c>
      <c r="C700">
        <v>700</v>
      </c>
      <c r="D700">
        <v>6264078410992</v>
      </c>
      <c r="E700" t="s">
        <v>1362</v>
      </c>
      <c r="F700">
        <v>1</v>
      </c>
      <c r="G700">
        <v>15</v>
      </c>
      <c r="I700">
        <v>15</v>
      </c>
      <c r="J700">
        <v>7</v>
      </c>
    </row>
    <row r="701" spans="1:10" x14ac:dyDescent="0.25">
      <c r="A701">
        <v>10140</v>
      </c>
      <c r="B701" t="s">
        <v>1458</v>
      </c>
      <c r="C701">
        <v>701</v>
      </c>
      <c r="D701">
        <v>6264078411616</v>
      </c>
      <c r="E701" t="s">
        <v>1153</v>
      </c>
      <c r="F701">
        <v>1</v>
      </c>
      <c r="G701">
        <v>10</v>
      </c>
      <c r="I701">
        <v>10</v>
      </c>
      <c r="J701">
        <v>8</v>
      </c>
    </row>
    <row r="702" spans="1:10" x14ac:dyDescent="0.25">
      <c r="A702">
        <v>10140</v>
      </c>
      <c r="B702" t="s">
        <v>1458</v>
      </c>
      <c r="C702">
        <v>702</v>
      </c>
      <c r="D702">
        <v>6261163400036</v>
      </c>
      <c r="E702" t="s">
        <v>1360</v>
      </c>
      <c r="F702">
        <v>1</v>
      </c>
      <c r="G702">
        <v>20</v>
      </c>
      <c r="I702">
        <v>20</v>
      </c>
      <c r="J702">
        <v>9</v>
      </c>
    </row>
    <row r="703" spans="1:10" x14ac:dyDescent="0.25">
      <c r="A703">
        <v>10141</v>
      </c>
      <c r="B703" t="s">
        <v>1458</v>
      </c>
      <c r="C703">
        <v>703</v>
      </c>
      <c r="D703">
        <v>6268167900050</v>
      </c>
      <c r="E703" t="s">
        <v>1306</v>
      </c>
      <c r="F703">
        <v>2</v>
      </c>
      <c r="G703">
        <v>23</v>
      </c>
      <c r="I703">
        <v>46</v>
      </c>
      <c r="J703">
        <v>7</v>
      </c>
    </row>
    <row r="704" spans="1:10" x14ac:dyDescent="0.25">
      <c r="A704">
        <v>10142</v>
      </c>
      <c r="B704" t="s">
        <v>1458</v>
      </c>
      <c r="C704">
        <v>704</v>
      </c>
      <c r="D704">
        <v>6260806400020</v>
      </c>
      <c r="E704" t="s">
        <v>754</v>
      </c>
      <c r="F704">
        <v>2</v>
      </c>
      <c r="G704">
        <v>50</v>
      </c>
      <c r="I704">
        <v>100</v>
      </c>
      <c r="J704">
        <v>7</v>
      </c>
    </row>
    <row r="705" spans="1:10" x14ac:dyDescent="0.25">
      <c r="A705">
        <v>10142</v>
      </c>
      <c r="B705" t="s">
        <v>1458</v>
      </c>
      <c r="C705">
        <v>705</v>
      </c>
      <c r="D705">
        <v>6264078402324</v>
      </c>
      <c r="E705" t="s">
        <v>1157</v>
      </c>
      <c r="F705">
        <v>1</v>
      </c>
      <c r="G705">
        <v>10</v>
      </c>
      <c r="I705">
        <v>10</v>
      </c>
      <c r="J705">
        <v>8</v>
      </c>
    </row>
    <row r="706" spans="1:10" x14ac:dyDescent="0.25">
      <c r="A706">
        <v>10143</v>
      </c>
      <c r="B706" t="s">
        <v>1458</v>
      </c>
      <c r="C706">
        <v>706</v>
      </c>
      <c r="D706">
        <v>6265826100134</v>
      </c>
      <c r="E706" t="s">
        <v>814</v>
      </c>
      <c r="F706">
        <v>1</v>
      </c>
      <c r="G706">
        <v>21</v>
      </c>
      <c r="I706">
        <v>21</v>
      </c>
      <c r="J706">
        <v>7</v>
      </c>
    </row>
    <row r="707" spans="1:10" x14ac:dyDescent="0.25">
      <c r="A707">
        <v>10144</v>
      </c>
      <c r="B707" t="s">
        <v>1458</v>
      </c>
      <c r="C707">
        <v>707</v>
      </c>
      <c r="D707">
        <v>7700</v>
      </c>
      <c r="E707" t="s">
        <v>1439</v>
      </c>
      <c r="F707">
        <v>7.0000000000000007E-2</v>
      </c>
      <c r="G707">
        <v>180</v>
      </c>
      <c r="I707">
        <v>12.600000000000001</v>
      </c>
      <c r="J707">
        <v>7</v>
      </c>
    </row>
    <row r="708" spans="1:10" x14ac:dyDescent="0.25">
      <c r="A708">
        <v>10144</v>
      </c>
      <c r="B708" t="s">
        <v>1458</v>
      </c>
      <c r="C708">
        <v>708</v>
      </c>
      <c r="D708">
        <v>6269988500269</v>
      </c>
      <c r="E708" t="s">
        <v>852</v>
      </c>
      <c r="F708">
        <v>1</v>
      </c>
      <c r="G708">
        <v>12</v>
      </c>
      <c r="I708">
        <v>12</v>
      </c>
      <c r="J708">
        <v>8</v>
      </c>
    </row>
    <row r="709" spans="1:10" x14ac:dyDescent="0.25">
      <c r="A709">
        <v>10145</v>
      </c>
      <c r="B709" t="s">
        <v>1458</v>
      </c>
      <c r="C709">
        <v>709</v>
      </c>
      <c r="D709">
        <v>6260543505620</v>
      </c>
      <c r="E709" t="s">
        <v>1496</v>
      </c>
      <c r="F709">
        <v>1</v>
      </c>
      <c r="G709">
        <v>15</v>
      </c>
      <c r="I709">
        <v>15</v>
      </c>
      <c r="J709">
        <v>7</v>
      </c>
    </row>
    <row r="710" spans="1:10" x14ac:dyDescent="0.25">
      <c r="A710">
        <v>10146</v>
      </c>
      <c r="B710" t="s">
        <v>1458</v>
      </c>
      <c r="C710">
        <v>710</v>
      </c>
      <c r="D710">
        <v>6269948100201</v>
      </c>
      <c r="E710" t="s">
        <v>1311</v>
      </c>
      <c r="F710">
        <v>2</v>
      </c>
      <c r="G710">
        <v>12.5</v>
      </c>
      <c r="I710">
        <v>25</v>
      </c>
      <c r="J710">
        <v>7</v>
      </c>
    </row>
    <row r="711" spans="1:10" x14ac:dyDescent="0.25">
      <c r="A711">
        <v>10146</v>
      </c>
      <c r="B711" t="s">
        <v>1458</v>
      </c>
      <c r="C711">
        <v>711</v>
      </c>
      <c r="D711">
        <v>6261149065129</v>
      </c>
      <c r="E711" t="s">
        <v>1137</v>
      </c>
      <c r="F711">
        <v>1</v>
      </c>
      <c r="G711">
        <v>5</v>
      </c>
      <c r="I711">
        <v>5</v>
      </c>
      <c r="J711">
        <v>8</v>
      </c>
    </row>
    <row r="712" spans="1:10" x14ac:dyDescent="0.25">
      <c r="A712">
        <v>10146</v>
      </c>
      <c r="B712" t="s">
        <v>1458</v>
      </c>
      <c r="C712">
        <v>712</v>
      </c>
      <c r="D712">
        <v>6261149065679</v>
      </c>
      <c r="E712" t="s">
        <v>1144</v>
      </c>
      <c r="F712">
        <v>1</v>
      </c>
      <c r="G712">
        <v>5</v>
      </c>
      <c r="I712">
        <v>5</v>
      </c>
      <c r="J712">
        <v>9</v>
      </c>
    </row>
    <row r="713" spans="1:10" x14ac:dyDescent="0.25">
      <c r="A713">
        <v>10147</v>
      </c>
      <c r="B713" t="s">
        <v>1458</v>
      </c>
      <c r="C713">
        <v>713</v>
      </c>
      <c r="D713">
        <v>6260053186241</v>
      </c>
      <c r="E713" t="s">
        <v>1179</v>
      </c>
      <c r="F713">
        <v>1</v>
      </c>
      <c r="G713">
        <v>25</v>
      </c>
      <c r="I713">
        <v>25</v>
      </c>
      <c r="J713">
        <v>7</v>
      </c>
    </row>
    <row r="714" spans="1:10" x14ac:dyDescent="0.25">
      <c r="A714">
        <v>10147</v>
      </c>
      <c r="B714" t="s">
        <v>1458</v>
      </c>
      <c r="C714">
        <v>714</v>
      </c>
      <c r="D714">
        <v>6260002926331</v>
      </c>
      <c r="E714" t="s">
        <v>1100</v>
      </c>
      <c r="F714">
        <v>1</v>
      </c>
      <c r="G714">
        <v>25</v>
      </c>
      <c r="I714">
        <v>25</v>
      </c>
      <c r="J714">
        <v>8</v>
      </c>
    </row>
    <row r="715" spans="1:10" x14ac:dyDescent="0.25">
      <c r="A715">
        <v>10148</v>
      </c>
      <c r="B715" t="s">
        <v>1458</v>
      </c>
      <c r="C715">
        <v>715</v>
      </c>
      <c r="D715">
        <v>6260079200914</v>
      </c>
      <c r="E715" t="s">
        <v>843</v>
      </c>
      <c r="F715">
        <v>1</v>
      </c>
      <c r="G715">
        <v>20</v>
      </c>
      <c r="I715">
        <v>20</v>
      </c>
      <c r="J715">
        <v>7</v>
      </c>
    </row>
    <row r="716" spans="1:10" x14ac:dyDescent="0.25">
      <c r="A716">
        <v>10148</v>
      </c>
      <c r="B716" t="s">
        <v>1458</v>
      </c>
      <c r="C716">
        <v>716</v>
      </c>
      <c r="D716">
        <v>6260469900509</v>
      </c>
      <c r="E716" t="s">
        <v>1115</v>
      </c>
      <c r="F716">
        <v>1</v>
      </c>
      <c r="G716">
        <v>12</v>
      </c>
      <c r="I716">
        <v>12</v>
      </c>
      <c r="J716">
        <v>8</v>
      </c>
    </row>
    <row r="717" spans="1:10" x14ac:dyDescent="0.25">
      <c r="A717">
        <v>10149</v>
      </c>
      <c r="J717">
        <v>-2</v>
      </c>
    </row>
    <row r="718" spans="1:10" x14ac:dyDescent="0.25">
      <c r="A718">
        <v>10149</v>
      </c>
      <c r="B718" t="s">
        <v>1458</v>
      </c>
      <c r="C718">
        <v>718</v>
      </c>
      <c r="D718">
        <v>8458412400024</v>
      </c>
      <c r="E718" t="s">
        <v>383</v>
      </c>
      <c r="F718">
        <v>2</v>
      </c>
      <c r="G718">
        <v>9</v>
      </c>
      <c r="I718">
        <v>18</v>
      </c>
      <c r="J718">
        <v>8</v>
      </c>
    </row>
    <row r="719" spans="1:10" x14ac:dyDescent="0.25">
      <c r="A719">
        <v>10149</v>
      </c>
      <c r="B719" t="s">
        <v>1458</v>
      </c>
      <c r="C719">
        <v>719</v>
      </c>
      <c r="D719">
        <v>6260931400834</v>
      </c>
      <c r="E719" t="s">
        <v>700</v>
      </c>
      <c r="F719">
        <v>1</v>
      </c>
      <c r="G719">
        <v>35</v>
      </c>
      <c r="I719">
        <v>35</v>
      </c>
      <c r="J719">
        <v>9</v>
      </c>
    </row>
    <row r="720" spans="1:10" x14ac:dyDescent="0.25">
      <c r="A720">
        <v>10150</v>
      </c>
      <c r="B720" t="s">
        <v>1458</v>
      </c>
      <c r="C720">
        <v>720</v>
      </c>
      <c r="D720">
        <v>6265826100844</v>
      </c>
      <c r="E720" t="s">
        <v>1220</v>
      </c>
      <c r="F720">
        <v>1</v>
      </c>
      <c r="G720">
        <v>19</v>
      </c>
      <c r="I720">
        <v>19</v>
      </c>
      <c r="J720">
        <v>7</v>
      </c>
    </row>
    <row r="721" spans="1:10" x14ac:dyDescent="0.25">
      <c r="A721">
        <v>10150</v>
      </c>
      <c r="B721" t="s">
        <v>1458</v>
      </c>
      <c r="C721">
        <v>721</v>
      </c>
      <c r="D721">
        <v>6260918500175</v>
      </c>
      <c r="E721" t="s">
        <v>1123</v>
      </c>
      <c r="F721">
        <v>3</v>
      </c>
      <c r="G721">
        <v>10</v>
      </c>
      <c r="I721">
        <v>30</v>
      </c>
      <c r="J721">
        <v>8</v>
      </c>
    </row>
    <row r="722" spans="1:10" x14ac:dyDescent="0.25">
      <c r="A722">
        <v>10150</v>
      </c>
      <c r="B722" t="s">
        <v>1458</v>
      </c>
      <c r="C722">
        <v>722</v>
      </c>
      <c r="D722">
        <v>6269948100638</v>
      </c>
      <c r="E722" t="s">
        <v>1199</v>
      </c>
      <c r="F722">
        <v>4</v>
      </c>
      <c r="G722">
        <v>8</v>
      </c>
      <c r="I722">
        <v>32</v>
      </c>
      <c r="J722">
        <v>9</v>
      </c>
    </row>
    <row r="723" spans="1:10" x14ac:dyDescent="0.25">
      <c r="A723">
        <v>10148</v>
      </c>
      <c r="B723" t="s">
        <v>1458</v>
      </c>
      <c r="C723">
        <v>723</v>
      </c>
      <c r="D723">
        <v>2400</v>
      </c>
      <c r="E723" t="s">
        <v>714</v>
      </c>
      <c r="F723">
        <v>1</v>
      </c>
      <c r="G723">
        <v>70</v>
      </c>
      <c r="I723">
        <v>70</v>
      </c>
      <c r="J723">
        <v>9</v>
      </c>
    </row>
    <row r="724" spans="1:10" x14ac:dyDescent="0.25">
      <c r="A724">
        <v>10149</v>
      </c>
      <c r="B724" t="s">
        <v>1458</v>
      </c>
      <c r="C724">
        <v>724</v>
      </c>
      <c r="J724">
        <v>7</v>
      </c>
    </row>
    <row r="725" spans="1:10" x14ac:dyDescent="0.25">
      <c r="A725">
        <v>10151</v>
      </c>
      <c r="B725" t="s">
        <v>1458</v>
      </c>
      <c r="C725">
        <v>725</v>
      </c>
      <c r="D725">
        <v>6269988500269</v>
      </c>
      <c r="E725" t="s">
        <v>852</v>
      </c>
      <c r="F725">
        <v>1</v>
      </c>
      <c r="G725">
        <v>12</v>
      </c>
      <c r="I725">
        <v>12</v>
      </c>
      <c r="J725">
        <v>7</v>
      </c>
    </row>
    <row r="726" spans="1:10" x14ac:dyDescent="0.25">
      <c r="A726">
        <v>10152</v>
      </c>
      <c r="B726" t="s">
        <v>1458</v>
      </c>
      <c r="C726">
        <v>726</v>
      </c>
      <c r="D726">
        <v>6260543505620</v>
      </c>
      <c r="E726" t="s">
        <v>1496</v>
      </c>
      <c r="F726">
        <v>1</v>
      </c>
      <c r="G726">
        <v>15</v>
      </c>
      <c r="I726">
        <v>15</v>
      </c>
      <c r="J726">
        <v>7</v>
      </c>
    </row>
    <row r="727" spans="1:10" x14ac:dyDescent="0.25">
      <c r="A727">
        <v>10153</v>
      </c>
      <c r="B727" t="s">
        <v>1458</v>
      </c>
      <c r="C727">
        <v>727</v>
      </c>
      <c r="D727">
        <v>6260053185640</v>
      </c>
      <c r="E727" t="s">
        <v>1344</v>
      </c>
      <c r="F727">
        <v>1</v>
      </c>
      <c r="G727">
        <v>12</v>
      </c>
      <c r="I727">
        <v>12</v>
      </c>
      <c r="J727">
        <v>7</v>
      </c>
    </row>
    <row r="728" spans="1:10" x14ac:dyDescent="0.25">
      <c r="A728">
        <v>10154</v>
      </c>
      <c r="B728" t="s">
        <v>1458</v>
      </c>
      <c r="C728">
        <v>728</v>
      </c>
      <c r="D728">
        <v>2100</v>
      </c>
      <c r="E728" t="s">
        <v>1025</v>
      </c>
      <c r="F728">
        <v>0.5</v>
      </c>
      <c r="G728">
        <v>120</v>
      </c>
      <c r="I728">
        <v>60</v>
      </c>
      <c r="J728">
        <v>7</v>
      </c>
    </row>
    <row r="729" spans="1:10" x14ac:dyDescent="0.25">
      <c r="A729">
        <v>10155</v>
      </c>
      <c r="B729" t="s">
        <v>1458</v>
      </c>
      <c r="C729">
        <v>729</v>
      </c>
      <c r="D729">
        <v>162900054350816</v>
      </c>
      <c r="E729" t="s">
        <v>1496</v>
      </c>
      <c r="F729">
        <v>2</v>
      </c>
      <c r="G729">
        <v>15</v>
      </c>
      <c r="I729">
        <v>30</v>
      </c>
      <c r="J729">
        <v>7</v>
      </c>
    </row>
    <row r="730" spans="1:10" x14ac:dyDescent="0.25">
      <c r="A730">
        <v>10156</v>
      </c>
      <c r="B730" t="s">
        <v>1458</v>
      </c>
      <c r="C730">
        <v>730</v>
      </c>
      <c r="D730">
        <v>6260002926331</v>
      </c>
      <c r="E730" t="s">
        <v>1100</v>
      </c>
      <c r="F730">
        <v>2</v>
      </c>
      <c r="G730">
        <v>25</v>
      </c>
      <c r="I730">
        <v>50</v>
      </c>
      <c r="J730">
        <v>7</v>
      </c>
    </row>
    <row r="731" spans="1:10" x14ac:dyDescent="0.25">
      <c r="A731">
        <v>10156</v>
      </c>
      <c r="B731" t="s">
        <v>1458</v>
      </c>
      <c r="C731">
        <v>731</v>
      </c>
      <c r="D731">
        <v>162900054350816</v>
      </c>
      <c r="E731" t="s">
        <v>1496</v>
      </c>
      <c r="F731">
        <v>2</v>
      </c>
      <c r="G731">
        <v>15</v>
      </c>
      <c r="I731">
        <v>30</v>
      </c>
      <c r="J731">
        <v>8</v>
      </c>
    </row>
    <row r="732" spans="1:10" x14ac:dyDescent="0.25">
      <c r="A732">
        <v>10156</v>
      </c>
      <c r="B732" t="s">
        <v>1458</v>
      </c>
      <c r="C732">
        <v>732</v>
      </c>
      <c r="D732">
        <v>6260002926348</v>
      </c>
      <c r="E732" t="s">
        <v>1108</v>
      </c>
      <c r="F732">
        <v>1</v>
      </c>
      <c r="G732">
        <v>25</v>
      </c>
      <c r="I732">
        <v>25</v>
      </c>
      <c r="J732">
        <v>9</v>
      </c>
    </row>
    <row r="733" spans="1:10" x14ac:dyDescent="0.25">
      <c r="A733">
        <v>10156</v>
      </c>
      <c r="B733" t="s">
        <v>1458</v>
      </c>
      <c r="C733">
        <v>733</v>
      </c>
      <c r="D733">
        <v>6260002926362</v>
      </c>
      <c r="E733" t="s">
        <v>1394</v>
      </c>
      <c r="F733">
        <v>1</v>
      </c>
      <c r="G733">
        <v>25</v>
      </c>
      <c r="I733">
        <v>25</v>
      </c>
      <c r="J733">
        <v>10</v>
      </c>
    </row>
    <row r="734" spans="1:10" x14ac:dyDescent="0.25">
      <c r="A734">
        <v>10156</v>
      </c>
      <c r="B734" t="s">
        <v>1458</v>
      </c>
      <c r="C734">
        <v>734</v>
      </c>
      <c r="D734">
        <v>6260053185640</v>
      </c>
      <c r="E734" t="s">
        <v>1344</v>
      </c>
      <c r="F734">
        <v>2</v>
      </c>
      <c r="G734">
        <v>12</v>
      </c>
      <c r="I734">
        <v>24</v>
      </c>
      <c r="J734">
        <v>11</v>
      </c>
    </row>
    <row r="735" spans="1:10" x14ac:dyDescent="0.25">
      <c r="A735">
        <v>10156</v>
      </c>
      <c r="B735" t="s">
        <v>1458</v>
      </c>
      <c r="C735">
        <v>735</v>
      </c>
      <c r="D735">
        <v>2100</v>
      </c>
      <c r="E735" t="s">
        <v>1025</v>
      </c>
      <c r="F735">
        <v>0.5</v>
      </c>
      <c r="G735">
        <v>120</v>
      </c>
      <c r="I735">
        <v>60</v>
      </c>
      <c r="J735">
        <v>12</v>
      </c>
    </row>
    <row r="736" spans="1:10" x14ac:dyDescent="0.25">
      <c r="A736">
        <v>10156</v>
      </c>
      <c r="B736" t="s">
        <v>1458</v>
      </c>
      <c r="C736">
        <v>736</v>
      </c>
      <c r="D736">
        <v>6268167900012</v>
      </c>
      <c r="E736" t="s">
        <v>1305</v>
      </c>
      <c r="F736">
        <v>2</v>
      </c>
      <c r="G736">
        <v>23</v>
      </c>
      <c r="I736">
        <v>46</v>
      </c>
      <c r="J736">
        <v>13</v>
      </c>
    </row>
    <row r="737" spans="1:10" x14ac:dyDescent="0.25">
      <c r="A737">
        <v>10156</v>
      </c>
      <c r="B737" t="s">
        <v>1458</v>
      </c>
      <c r="C737">
        <v>737</v>
      </c>
      <c r="D737">
        <v>6264078410992</v>
      </c>
      <c r="E737" t="s">
        <v>1362</v>
      </c>
      <c r="F737">
        <v>9</v>
      </c>
      <c r="G737">
        <v>15</v>
      </c>
      <c r="I737">
        <v>135</v>
      </c>
      <c r="J737">
        <v>14</v>
      </c>
    </row>
    <row r="738" spans="1:10" x14ac:dyDescent="0.25">
      <c r="A738">
        <v>10156</v>
      </c>
      <c r="B738" t="s">
        <v>1458</v>
      </c>
      <c r="C738">
        <v>738</v>
      </c>
      <c r="D738">
        <v>6264078411593</v>
      </c>
      <c r="E738" t="s">
        <v>1146</v>
      </c>
      <c r="F738">
        <v>4</v>
      </c>
      <c r="G738">
        <v>10</v>
      </c>
      <c r="I738">
        <v>40</v>
      </c>
      <c r="J738">
        <v>15</v>
      </c>
    </row>
    <row r="739" spans="1:10" x14ac:dyDescent="0.25">
      <c r="A739">
        <v>10156</v>
      </c>
      <c r="B739" t="s">
        <v>1458</v>
      </c>
      <c r="C739">
        <v>739</v>
      </c>
      <c r="D739">
        <v>6261149146071</v>
      </c>
      <c r="E739" t="s">
        <v>845</v>
      </c>
      <c r="F739">
        <v>1</v>
      </c>
      <c r="G739">
        <v>30</v>
      </c>
      <c r="I739">
        <v>30</v>
      </c>
      <c r="J739">
        <v>16</v>
      </c>
    </row>
    <row r="740" spans="1:10" x14ac:dyDescent="0.25">
      <c r="A740">
        <v>10156</v>
      </c>
      <c r="B740" t="s">
        <v>1458</v>
      </c>
      <c r="C740">
        <v>740</v>
      </c>
      <c r="D740">
        <v>6260404400200</v>
      </c>
      <c r="E740" t="s">
        <v>1113</v>
      </c>
      <c r="F740">
        <v>1</v>
      </c>
      <c r="G740">
        <v>5</v>
      </c>
      <c r="I740">
        <v>5</v>
      </c>
      <c r="J740">
        <v>17</v>
      </c>
    </row>
    <row r="741" spans="1:10" x14ac:dyDescent="0.25">
      <c r="A741">
        <v>10156</v>
      </c>
      <c r="B741" t="s">
        <v>1458</v>
      </c>
      <c r="C741">
        <v>741</v>
      </c>
      <c r="D741">
        <v>6269988500269</v>
      </c>
      <c r="E741" t="s">
        <v>852</v>
      </c>
      <c r="F741">
        <v>1</v>
      </c>
      <c r="G741">
        <v>12</v>
      </c>
      <c r="I741">
        <v>12</v>
      </c>
      <c r="J741">
        <v>18</v>
      </c>
    </row>
    <row r="742" spans="1:10" x14ac:dyDescent="0.25">
      <c r="A742">
        <v>10157</v>
      </c>
      <c r="B742" t="s">
        <v>1458</v>
      </c>
      <c r="C742">
        <v>742</v>
      </c>
      <c r="D742">
        <v>1300</v>
      </c>
      <c r="E742" t="s">
        <v>357</v>
      </c>
      <c r="F742">
        <v>10</v>
      </c>
      <c r="G742">
        <v>4.5</v>
      </c>
      <c r="I742">
        <v>45</v>
      </c>
      <c r="J742">
        <v>7</v>
      </c>
    </row>
    <row r="743" spans="1:10" x14ac:dyDescent="0.25">
      <c r="A743">
        <v>10158</v>
      </c>
      <c r="B743" t="s">
        <v>1458</v>
      </c>
      <c r="C743">
        <v>743</v>
      </c>
      <c r="D743">
        <v>6260002926348</v>
      </c>
      <c r="E743" t="s">
        <v>1108</v>
      </c>
      <c r="F743">
        <v>1</v>
      </c>
      <c r="G743">
        <v>25</v>
      </c>
      <c r="I743">
        <v>25</v>
      </c>
      <c r="J743">
        <v>7</v>
      </c>
    </row>
    <row r="744" spans="1:10" x14ac:dyDescent="0.25">
      <c r="A744">
        <v>10158</v>
      </c>
      <c r="B744" t="s">
        <v>1458</v>
      </c>
      <c r="C744">
        <v>744</v>
      </c>
      <c r="D744">
        <v>6400</v>
      </c>
      <c r="E744" t="s">
        <v>1273</v>
      </c>
      <c r="F744">
        <v>1</v>
      </c>
      <c r="G744">
        <v>25</v>
      </c>
      <c r="I744">
        <v>25</v>
      </c>
      <c r="J744">
        <v>8</v>
      </c>
    </row>
    <row r="745" spans="1:10" x14ac:dyDescent="0.25">
      <c r="A745">
        <v>10158</v>
      </c>
      <c r="B745" t="s">
        <v>1458</v>
      </c>
      <c r="C745">
        <v>745</v>
      </c>
      <c r="D745">
        <v>6260522300031</v>
      </c>
      <c r="E745" t="s">
        <v>1368</v>
      </c>
      <c r="F745">
        <v>1</v>
      </c>
      <c r="G745">
        <v>10</v>
      </c>
      <c r="I745">
        <v>10</v>
      </c>
      <c r="J745">
        <v>9</v>
      </c>
    </row>
    <row r="746" spans="1:10" x14ac:dyDescent="0.25">
      <c r="A746">
        <v>10159</v>
      </c>
      <c r="B746" t="s">
        <v>1458</v>
      </c>
      <c r="C746">
        <v>746</v>
      </c>
      <c r="D746">
        <v>6260053186241</v>
      </c>
      <c r="E746" t="s">
        <v>1179</v>
      </c>
      <c r="F746">
        <v>1</v>
      </c>
      <c r="G746">
        <v>25</v>
      </c>
      <c r="I746">
        <v>25</v>
      </c>
      <c r="J746">
        <v>7</v>
      </c>
    </row>
    <row r="747" spans="1:10" x14ac:dyDescent="0.25">
      <c r="A747">
        <v>10159</v>
      </c>
      <c r="B747" t="s">
        <v>1458</v>
      </c>
      <c r="C747">
        <v>747</v>
      </c>
      <c r="D747">
        <v>6260474216800</v>
      </c>
      <c r="E747" t="s">
        <v>1245</v>
      </c>
      <c r="F747">
        <v>2</v>
      </c>
      <c r="G747">
        <v>5</v>
      </c>
      <c r="I747">
        <v>10</v>
      </c>
      <c r="J747">
        <v>8</v>
      </c>
    </row>
    <row r="748" spans="1:10" x14ac:dyDescent="0.25">
      <c r="A748">
        <v>10159</v>
      </c>
      <c r="B748" t="s">
        <v>1458</v>
      </c>
      <c r="C748">
        <v>748</v>
      </c>
      <c r="D748">
        <v>6261163400197</v>
      </c>
      <c r="E748" t="s">
        <v>254</v>
      </c>
      <c r="F748">
        <v>1</v>
      </c>
      <c r="G748">
        <v>20</v>
      </c>
      <c r="I748">
        <v>20</v>
      </c>
      <c r="J748">
        <v>9</v>
      </c>
    </row>
    <row r="749" spans="1:10" x14ac:dyDescent="0.25">
      <c r="A749">
        <v>10159</v>
      </c>
      <c r="B749" t="s">
        <v>1458</v>
      </c>
      <c r="C749">
        <v>749</v>
      </c>
      <c r="D749">
        <v>6260063295841</v>
      </c>
      <c r="E749" t="s">
        <v>1366</v>
      </c>
      <c r="F749">
        <v>1</v>
      </c>
      <c r="G749">
        <v>10</v>
      </c>
      <c r="I749">
        <v>10</v>
      </c>
      <c r="J749">
        <v>10</v>
      </c>
    </row>
    <row r="750" spans="1:10" x14ac:dyDescent="0.25">
      <c r="A750">
        <v>10159</v>
      </c>
      <c r="B750" t="s">
        <v>1458</v>
      </c>
      <c r="C750">
        <v>750</v>
      </c>
      <c r="D750">
        <v>6260567198587</v>
      </c>
      <c r="E750" t="s">
        <v>1203</v>
      </c>
      <c r="F750">
        <v>1</v>
      </c>
      <c r="G750">
        <v>12</v>
      </c>
      <c r="I750">
        <v>12</v>
      </c>
      <c r="J750">
        <v>11</v>
      </c>
    </row>
    <row r="751" spans="1:10" x14ac:dyDescent="0.25">
      <c r="A751">
        <v>10159</v>
      </c>
      <c r="B751" t="s">
        <v>1458</v>
      </c>
      <c r="C751">
        <v>751</v>
      </c>
      <c r="D751">
        <v>6260000252135</v>
      </c>
      <c r="E751" t="s">
        <v>1353</v>
      </c>
      <c r="F751">
        <v>2</v>
      </c>
      <c r="G751">
        <v>15</v>
      </c>
      <c r="I751">
        <v>30</v>
      </c>
      <c r="J751">
        <v>12</v>
      </c>
    </row>
    <row r="752" spans="1:10" x14ac:dyDescent="0.25">
      <c r="A752">
        <v>10159</v>
      </c>
      <c r="B752" t="s">
        <v>1458</v>
      </c>
      <c r="C752">
        <v>752</v>
      </c>
      <c r="D752">
        <v>133100116340003</v>
      </c>
      <c r="E752" t="s">
        <v>1360</v>
      </c>
      <c r="F752">
        <v>1</v>
      </c>
      <c r="G752">
        <v>20</v>
      </c>
      <c r="I752">
        <v>20</v>
      </c>
      <c r="J752">
        <v>13</v>
      </c>
    </row>
    <row r="753" spans="1:10" x14ac:dyDescent="0.25">
      <c r="A753">
        <v>10159</v>
      </c>
      <c r="B753" t="s">
        <v>1458</v>
      </c>
      <c r="C753">
        <v>753</v>
      </c>
      <c r="D753">
        <v>6260575904330</v>
      </c>
      <c r="E753" t="s">
        <v>1104</v>
      </c>
      <c r="F753">
        <v>1</v>
      </c>
      <c r="G753">
        <v>15</v>
      </c>
      <c r="I753">
        <v>15</v>
      </c>
      <c r="J753">
        <v>14</v>
      </c>
    </row>
    <row r="754" spans="1:10" x14ac:dyDescent="0.25">
      <c r="A754">
        <v>10159</v>
      </c>
      <c r="B754" t="s">
        <v>1458</v>
      </c>
      <c r="C754">
        <v>754</v>
      </c>
      <c r="D754">
        <v>6260575902312</v>
      </c>
      <c r="E754" t="s">
        <v>1452</v>
      </c>
      <c r="F754">
        <v>1</v>
      </c>
      <c r="G754">
        <v>5</v>
      </c>
      <c r="I754">
        <v>5</v>
      </c>
      <c r="J754">
        <v>15</v>
      </c>
    </row>
    <row r="755" spans="1:10" x14ac:dyDescent="0.25">
      <c r="A755">
        <v>10159</v>
      </c>
      <c r="B755" t="s">
        <v>1458</v>
      </c>
      <c r="C755">
        <v>755</v>
      </c>
      <c r="D755">
        <v>6260575904330</v>
      </c>
      <c r="E755" t="s">
        <v>1104</v>
      </c>
      <c r="F755">
        <v>1</v>
      </c>
      <c r="G755">
        <v>15</v>
      </c>
      <c r="I755">
        <v>15</v>
      </c>
      <c r="J755">
        <v>16</v>
      </c>
    </row>
    <row r="756" spans="1:10" x14ac:dyDescent="0.25">
      <c r="A756">
        <v>10159</v>
      </c>
      <c r="B756" t="s">
        <v>1458</v>
      </c>
      <c r="C756">
        <v>756</v>
      </c>
      <c r="D756">
        <v>6269948100195</v>
      </c>
      <c r="E756" t="s">
        <v>1478</v>
      </c>
      <c r="F756">
        <v>1</v>
      </c>
      <c r="G756">
        <v>12.5</v>
      </c>
      <c r="I756">
        <v>12.5</v>
      </c>
      <c r="J756">
        <v>17</v>
      </c>
    </row>
    <row r="757" spans="1:10" x14ac:dyDescent="0.25">
      <c r="A757">
        <v>10159</v>
      </c>
      <c r="B757" t="s">
        <v>1458</v>
      </c>
      <c r="C757">
        <v>757</v>
      </c>
      <c r="D757">
        <v>6269948100201</v>
      </c>
      <c r="E757" t="s">
        <v>1311</v>
      </c>
      <c r="F757">
        <v>1</v>
      </c>
      <c r="G757">
        <v>12.5</v>
      </c>
      <c r="I757">
        <v>12.5</v>
      </c>
      <c r="J757">
        <v>18</v>
      </c>
    </row>
    <row r="758" spans="1:10" x14ac:dyDescent="0.25">
      <c r="A758">
        <v>10159</v>
      </c>
      <c r="B758" t="s">
        <v>1458</v>
      </c>
      <c r="C758">
        <v>758</v>
      </c>
      <c r="D758">
        <v>6260063298149</v>
      </c>
      <c r="E758" t="s">
        <v>1365</v>
      </c>
      <c r="F758">
        <v>1</v>
      </c>
      <c r="G758">
        <v>15</v>
      </c>
      <c r="I758">
        <v>15</v>
      </c>
      <c r="J758">
        <v>19</v>
      </c>
    </row>
    <row r="759" spans="1:10" x14ac:dyDescent="0.25">
      <c r="A759">
        <v>10159</v>
      </c>
      <c r="B759" t="s">
        <v>1458</v>
      </c>
      <c r="C759">
        <v>759</v>
      </c>
      <c r="D759">
        <v>6265499500101</v>
      </c>
      <c r="E759" t="s">
        <v>929</v>
      </c>
      <c r="F759">
        <v>1</v>
      </c>
      <c r="G759">
        <v>50</v>
      </c>
      <c r="I759">
        <v>50</v>
      </c>
      <c r="J759">
        <v>20</v>
      </c>
    </row>
    <row r="760" spans="1:10" x14ac:dyDescent="0.25">
      <c r="A760">
        <v>10159</v>
      </c>
      <c r="B760" t="s">
        <v>1458</v>
      </c>
      <c r="C760">
        <v>760</v>
      </c>
      <c r="D760">
        <v>6260100509023</v>
      </c>
      <c r="E760" t="s">
        <v>972</v>
      </c>
      <c r="F760">
        <v>1</v>
      </c>
      <c r="G760">
        <v>350</v>
      </c>
      <c r="I760">
        <v>350</v>
      </c>
      <c r="J760">
        <v>21</v>
      </c>
    </row>
    <row r="761" spans="1:10" x14ac:dyDescent="0.25">
      <c r="A761">
        <v>10159</v>
      </c>
      <c r="B761" t="s">
        <v>1458</v>
      </c>
      <c r="C761">
        <v>761</v>
      </c>
      <c r="D761">
        <v>6260575904279</v>
      </c>
      <c r="E761" t="s">
        <v>1102</v>
      </c>
      <c r="F761">
        <v>1</v>
      </c>
      <c r="G761">
        <v>10</v>
      </c>
      <c r="I761">
        <v>10</v>
      </c>
      <c r="J761">
        <v>22</v>
      </c>
    </row>
    <row r="762" spans="1:10" x14ac:dyDescent="0.25">
      <c r="A762">
        <v>10160</v>
      </c>
      <c r="B762" t="s">
        <v>1458</v>
      </c>
      <c r="C762">
        <v>762</v>
      </c>
      <c r="D762">
        <v>6264078411593</v>
      </c>
      <c r="E762" t="s">
        <v>1146</v>
      </c>
      <c r="F762">
        <v>5</v>
      </c>
      <c r="G762">
        <v>10</v>
      </c>
      <c r="I762">
        <v>50</v>
      </c>
      <c r="J762">
        <v>7</v>
      </c>
    </row>
    <row r="763" spans="1:10" x14ac:dyDescent="0.25">
      <c r="A763">
        <v>10161</v>
      </c>
      <c r="B763" t="s">
        <v>1458</v>
      </c>
      <c r="C763">
        <v>763</v>
      </c>
      <c r="D763">
        <v>6260575904330</v>
      </c>
      <c r="E763" t="s">
        <v>1104</v>
      </c>
      <c r="F763">
        <v>1</v>
      </c>
      <c r="G763">
        <v>15</v>
      </c>
      <c r="I763">
        <v>15</v>
      </c>
      <c r="J763">
        <v>7</v>
      </c>
    </row>
    <row r="764" spans="1:10" x14ac:dyDescent="0.25">
      <c r="A764">
        <v>10162</v>
      </c>
      <c r="B764" t="s">
        <v>1458</v>
      </c>
      <c r="C764">
        <v>764</v>
      </c>
      <c r="D764">
        <v>6265663104265</v>
      </c>
      <c r="E764" t="s">
        <v>1338</v>
      </c>
      <c r="F764">
        <v>1</v>
      </c>
      <c r="G764">
        <v>10</v>
      </c>
      <c r="I764">
        <v>10</v>
      </c>
      <c r="J764">
        <v>7</v>
      </c>
    </row>
    <row r="765" spans="1:10" x14ac:dyDescent="0.25">
      <c r="A765">
        <v>10163</v>
      </c>
      <c r="B765" t="s">
        <v>1458</v>
      </c>
      <c r="C765">
        <v>765</v>
      </c>
      <c r="D765">
        <v>6265663104265</v>
      </c>
      <c r="E765" t="s">
        <v>1338</v>
      </c>
      <c r="F765">
        <v>2</v>
      </c>
      <c r="G765">
        <v>10</v>
      </c>
      <c r="I765">
        <v>20</v>
      </c>
      <c r="J765">
        <v>7</v>
      </c>
    </row>
    <row r="766" spans="1:10" x14ac:dyDescent="0.25">
      <c r="A766">
        <v>10163</v>
      </c>
      <c r="B766" t="s">
        <v>1458</v>
      </c>
      <c r="C766">
        <v>766</v>
      </c>
      <c r="D766">
        <v>6260002666725</v>
      </c>
      <c r="E766" t="s">
        <v>1207</v>
      </c>
      <c r="F766">
        <v>1</v>
      </c>
      <c r="G766">
        <v>10</v>
      </c>
      <c r="I766">
        <v>10</v>
      </c>
      <c r="J766">
        <v>8</v>
      </c>
    </row>
    <row r="767" spans="1:10" x14ac:dyDescent="0.25">
      <c r="A767">
        <v>10163</v>
      </c>
      <c r="B767" t="s">
        <v>1458</v>
      </c>
      <c r="C767">
        <v>767</v>
      </c>
      <c r="D767">
        <v>6261178540284</v>
      </c>
      <c r="E767" t="s">
        <v>551</v>
      </c>
      <c r="F767">
        <v>2</v>
      </c>
      <c r="G767">
        <v>4</v>
      </c>
      <c r="I767">
        <v>8</v>
      </c>
      <c r="J767">
        <v>9</v>
      </c>
    </row>
    <row r="768" spans="1:10" x14ac:dyDescent="0.25">
      <c r="A768">
        <v>10163</v>
      </c>
      <c r="B768" t="s">
        <v>1458</v>
      </c>
      <c r="C768">
        <v>768</v>
      </c>
      <c r="D768">
        <v>6260748000371</v>
      </c>
      <c r="E768" t="s">
        <v>1235</v>
      </c>
      <c r="F768">
        <v>2</v>
      </c>
      <c r="G768">
        <v>7</v>
      </c>
      <c r="I768">
        <v>14</v>
      </c>
      <c r="J768">
        <v>10</v>
      </c>
    </row>
    <row r="769" spans="1:10" x14ac:dyDescent="0.25">
      <c r="A769">
        <v>10164</v>
      </c>
      <c r="B769" t="s">
        <v>1458</v>
      </c>
      <c r="C769">
        <v>769</v>
      </c>
      <c r="D769">
        <v>6260737001631</v>
      </c>
      <c r="E769" t="s">
        <v>1441</v>
      </c>
      <c r="F769">
        <v>1</v>
      </c>
      <c r="G769">
        <v>10</v>
      </c>
      <c r="I769">
        <v>10</v>
      </c>
      <c r="J769">
        <v>7</v>
      </c>
    </row>
    <row r="770" spans="1:10" x14ac:dyDescent="0.25">
      <c r="A770">
        <v>10165</v>
      </c>
      <c r="B770" t="s">
        <v>1458</v>
      </c>
      <c r="C770">
        <v>770</v>
      </c>
      <c r="D770">
        <v>1100</v>
      </c>
      <c r="E770" t="s">
        <v>615</v>
      </c>
      <c r="F770">
        <v>6</v>
      </c>
      <c r="G770">
        <v>3</v>
      </c>
      <c r="I770">
        <v>18</v>
      </c>
      <c r="J770">
        <v>7</v>
      </c>
    </row>
    <row r="771" spans="1:10" x14ac:dyDescent="0.25">
      <c r="A771">
        <v>10165</v>
      </c>
      <c r="B771" t="s">
        <v>1458</v>
      </c>
      <c r="C771">
        <v>771</v>
      </c>
      <c r="D771">
        <v>6261149146071</v>
      </c>
      <c r="E771" t="s">
        <v>845</v>
      </c>
      <c r="F771">
        <v>1</v>
      </c>
      <c r="G771">
        <v>30</v>
      </c>
      <c r="I771">
        <v>30</v>
      </c>
      <c r="J771">
        <v>8</v>
      </c>
    </row>
    <row r="772" spans="1:10" x14ac:dyDescent="0.25">
      <c r="A772">
        <v>10166</v>
      </c>
      <c r="B772" t="s">
        <v>1458</v>
      </c>
      <c r="C772">
        <v>772</v>
      </c>
      <c r="D772">
        <v>7500</v>
      </c>
      <c r="E772" t="s">
        <v>1387</v>
      </c>
      <c r="F772">
        <v>1</v>
      </c>
      <c r="G772">
        <v>2</v>
      </c>
      <c r="I772">
        <v>2</v>
      </c>
      <c r="J772">
        <v>7</v>
      </c>
    </row>
    <row r="773" spans="1:10" x14ac:dyDescent="0.25">
      <c r="A773">
        <v>10166</v>
      </c>
      <c r="B773" t="s">
        <v>1458</v>
      </c>
      <c r="C773">
        <v>773</v>
      </c>
      <c r="D773">
        <v>6260053185640</v>
      </c>
      <c r="E773" t="s">
        <v>1344</v>
      </c>
      <c r="F773">
        <v>1</v>
      </c>
      <c r="G773">
        <v>12</v>
      </c>
      <c r="I773">
        <v>12</v>
      </c>
      <c r="J773">
        <v>8</v>
      </c>
    </row>
    <row r="774" spans="1:10" x14ac:dyDescent="0.25">
      <c r="A774">
        <v>10166</v>
      </c>
      <c r="B774" t="s">
        <v>1458</v>
      </c>
      <c r="C774">
        <v>774</v>
      </c>
      <c r="D774">
        <v>6260053186333</v>
      </c>
      <c r="E774" t="s">
        <v>1346</v>
      </c>
      <c r="F774">
        <v>1</v>
      </c>
      <c r="G774">
        <v>18</v>
      </c>
      <c r="I774">
        <v>18</v>
      </c>
      <c r="J774">
        <v>9</v>
      </c>
    </row>
    <row r="775" spans="1:10" x14ac:dyDescent="0.25">
      <c r="A775">
        <v>10167</v>
      </c>
      <c r="B775" t="s">
        <v>1458</v>
      </c>
      <c r="C775">
        <v>775</v>
      </c>
      <c r="D775">
        <v>6260543504791</v>
      </c>
      <c r="E775" t="s">
        <v>1499</v>
      </c>
      <c r="F775">
        <v>3</v>
      </c>
      <c r="G775">
        <v>5</v>
      </c>
      <c r="I775">
        <v>15</v>
      </c>
      <c r="J775">
        <v>7</v>
      </c>
    </row>
    <row r="776" spans="1:10" x14ac:dyDescent="0.25">
      <c r="A776">
        <v>10168</v>
      </c>
      <c r="B776" t="s">
        <v>1458</v>
      </c>
      <c r="C776">
        <v>776</v>
      </c>
      <c r="D776">
        <v>6260109281555</v>
      </c>
      <c r="E776" t="s">
        <v>1252</v>
      </c>
      <c r="F776">
        <v>2</v>
      </c>
      <c r="G776">
        <v>12</v>
      </c>
      <c r="I776">
        <v>24</v>
      </c>
      <c r="J776">
        <v>7</v>
      </c>
    </row>
    <row r="777" spans="1:10" x14ac:dyDescent="0.25">
      <c r="A777">
        <v>10168</v>
      </c>
      <c r="B777" t="s">
        <v>1458</v>
      </c>
      <c r="C777">
        <v>777</v>
      </c>
      <c r="D777">
        <v>6263812800334</v>
      </c>
      <c r="E777" t="s">
        <v>1094</v>
      </c>
      <c r="F777">
        <v>1</v>
      </c>
      <c r="G777">
        <v>18</v>
      </c>
      <c r="I777">
        <v>18</v>
      </c>
      <c r="J777">
        <v>8</v>
      </c>
    </row>
    <row r="778" spans="1:10" x14ac:dyDescent="0.25">
      <c r="A778">
        <v>10168</v>
      </c>
      <c r="B778" t="s">
        <v>1458</v>
      </c>
      <c r="C778">
        <v>778</v>
      </c>
      <c r="D778">
        <v>6264078411593</v>
      </c>
      <c r="E778" t="s">
        <v>1146</v>
      </c>
      <c r="F778">
        <v>1</v>
      </c>
      <c r="G778">
        <v>10</v>
      </c>
      <c r="I778">
        <v>10</v>
      </c>
      <c r="J778">
        <v>9</v>
      </c>
    </row>
    <row r="779" spans="1:10" x14ac:dyDescent="0.25">
      <c r="A779">
        <v>10168</v>
      </c>
      <c r="B779" t="s">
        <v>1458</v>
      </c>
      <c r="C779">
        <v>779</v>
      </c>
      <c r="D779">
        <v>6260063295841</v>
      </c>
      <c r="E779" t="s">
        <v>1366</v>
      </c>
      <c r="F779">
        <v>1</v>
      </c>
      <c r="G779">
        <v>10</v>
      </c>
      <c r="I779">
        <v>10</v>
      </c>
      <c r="J779">
        <v>10</v>
      </c>
    </row>
    <row r="780" spans="1:10" x14ac:dyDescent="0.25">
      <c r="A780">
        <v>10169</v>
      </c>
      <c r="B780" t="s">
        <v>1458</v>
      </c>
      <c r="C780">
        <v>780</v>
      </c>
      <c r="D780">
        <v>6269365700077</v>
      </c>
      <c r="E780" t="s">
        <v>264</v>
      </c>
      <c r="F780">
        <v>2</v>
      </c>
      <c r="G780">
        <v>18</v>
      </c>
      <c r="I780">
        <v>36</v>
      </c>
      <c r="J780">
        <v>7</v>
      </c>
    </row>
    <row r="781" spans="1:10" x14ac:dyDescent="0.25">
      <c r="A781">
        <v>10170</v>
      </c>
      <c r="B781" t="s">
        <v>1458</v>
      </c>
      <c r="C781">
        <v>781</v>
      </c>
      <c r="D781">
        <v>6260575904330</v>
      </c>
      <c r="E781" t="s">
        <v>1104</v>
      </c>
      <c r="F781">
        <v>2</v>
      </c>
      <c r="G781">
        <v>15</v>
      </c>
      <c r="I781">
        <v>30</v>
      </c>
      <c r="J781">
        <v>7</v>
      </c>
    </row>
    <row r="782" spans="1:10" x14ac:dyDescent="0.25">
      <c r="A782">
        <v>10170</v>
      </c>
      <c r="B782" t="s">
        <v>1458</v>
      </c>
      <c r="C782">
        <v>782</v>
      </c>
      <c r="D782">
        <v>6260053186333</v>
      </c>
      <c r="E782" t="s">
        <v>1346</v>
      </c>
      <c r="F782">
        <v>1</v>
      </c>
      <c r="G782">
        <v>18</v>
      </c>
      <c r="I782">
        <v>18</v>
      </c>
      <c r="J782">
        <v>8</v>
      </c>
    </row>
    <row r="783" spans="1:10" x14ac:dyDescent="0.25">
      <c r="A783">
        <v>10170</v>
      </c>
      <c r="B783" t="s">
        <v>1458</v>
      </c>
      <c r="C783">
        <v>783</v>
      </c>
      <c r="D783">
        <v>6263812800334</v>
      </c>
      <c r="E783" t="s">
        <v>1094</v>
      </c>
      <c r="F783">
        <v>1</v>
      </c>
      <c r="G783">
        <v>18</v>
      </c>
      <c r="I783">
        <v>18</v>
      </c>
      <c r="J783">
        <v>9</v>
      </c>
    </row>
    <row r="784" spans="1:10" x14ac:dyDescent="0.25">
      <c r="A784">
        <v>10171</v>
      </c>
      <c r="B784" t="s">
        <v>1458</v>
      </c>
      <c r="C784">
        <v>784</v>
      </c>
      <c r="D784">
        <v>6260575904279</v>
      </c>
      <c r="E784" t="s">
        <v>1102</v>
      </c>
      <c r="F784">
        <v>1</v>
      </c>
      <c r="G784">
        <v>10</v>
      </c>
      <c r="I784">
        <v>10</v>
      </c>
      <c r="J784">
        <v>7</v>
      </c>
    </row>
    <row r="785" spans="1:10" x14ac:dyDescent="0.25">
      <c r="A785">
        <v>10171</v>
      </c>
      <c r="B785" t="s">
        <v>1458</v>
      </c>
      <c r="C785">
        <v>785</v>
      </c>
      <c r="D785">
        <v>6260053186241</v>
      </c>
      <c r="E785" t="s">
        <v>1179</v>
      </c>
      <c r="F785">
        <v>1</v>
      </c>
      <c r="G785">
        <v>25</v>
      </c>
      <c r="I785">
        <v>25</v>
      </c>
      <c r="J785">
        <v>8</v>
      </c>
    </row>
    <row r="786" spans="1:10" x14ac:dyDescent="0.25">
      <c r="A786">
        <v>10171</v>
      </c>
      <c r="B786" t="s">
        <v>1458</v>
      </c>
      <c r="C786">
        <v>786</v>
      </c>
      <c r="D786">
        <v>6260138002138</v>
      </c>
      <c r="E786" t="s">
        <v>1241</v>
      </c>
      <c r="F786">
        <v>1</v>
      </c>
      <c r="G786">
        <v>10</v>
      </c>
      <c r="I786">
        <v>10</v>
      </c>
      <c r="J786">
        <v>9</v>
      </c>
    </row>
    <row r="787" spans="1:10" x14ac:dyDescent="0.25">
      <c r="A787">
        <v>10171</v>
      </c>
      <c r="B787" t="s">
        <v>1458</v>
      </c>
      <c r="C787">
        <v>787</v>
      </c>
      <c r="D787">
        <v>6260575904309</v>
      </c>
      <c r="E787" t="s">
        <v>1098</v>
      </c>
      <c r="F787">
        <v>1</v>
      </c>
      <c r="G787">
        <v>10</v>
      </c>
      <c r="I787">
        <v>10</v>
      </c>
      <c r="J787">
        <v>10</v>
      </c>
    </row>
    <row r="788" spans="1:10" x14ac:dyDescent="0.25">
      <c r="A788">
        <v>10172</v>
      </c>
      <c r="B788" t="s">
        <v>1458</v>
      </c>
      <c r="C788">
        <v>788</v>
      </c>
      <c r="D788">
        <v>6260138002169</v>
      </c>
      <c r="E788" t="s">
        <v>1239</v>
      </c>
      <c r="F788">
        <v>1</v>
      </c>
      <c r="G788">
        <v>10</v>
      </c>
      <c r="I788">
        <v>10</v>
      </c>
      <c r="J788">
        <v>7</v>
      </c>
    </row>
    <row r="789" spans="1:10" x14ac:dyDescent="0.25">
      <c r="A789">
        <v>10172</v>
      </c>
      <c r="B789" t="s">
        <v>1458</v>
      </c>
      <c r="C789">
        <v>789</v>
      </c>
      <c r="D789">
        <v>6260138002138</v>
      </c>
      <c r="E789" t="s">
        <v>1241</v>
      </c>
      <c r="F789">
        <v>1</v>
      </c>
      <c r="G789">
        <v>10</v>
      </c>
      <c r="I789">
        <v>10</v>
      </c>
      <c r="J789">
        <v>8</v>
      </c>
    </row>
    <row r="790" spans="1:10" x14ac:dyDescent="0.25">
      <c r="A790">
        <v>10173</v>
      </c>
      <c r="B790" t="s">
        <v>1458</v>
      </c>
      <c r="C790">
        <v>790</v>
      </c>
      <c r="D790">
        <v>6260268400170</v>
      </c>
      <c r="E790" t="s">
        <v>831</v>
      </c>
      <c r="F790">
        <v>1</v>
      </c>
      <c r="G790">
        <v>15</v>
      </c>
      <c r="I790">
        <v>15</v>
      </c>
      <c r="J790">
        <v>7</v>
      </c>
    </row>
    <row r="791" spans="1:10" x14ac:dyDescent="0.25">
      <c r="A791">
        <v>10173</v>
      </c>
      <c r="B791" t="s">
        <v>1458</v>
      </c>
      <c r="C791">
        <v>791</v>
      </c>
      <c r="D791">
        <v>6260053186241</v>
      </c>
      <c r="E791" t="s">
        <v>1179</v>
      </c>
      <c r="F791">
        <v>1</v>
      </c>
      <c r="G791">
        <v>25</v>
      </c>
      <c r="I791">
        <v>25</v>
      </c>
      <c r="J791">
        <v>8</v>
      </c>
    </row>
    <row r="792" spans="1:10" x14ac:dyDescent="0.25">
      <c r="A792">
        <v>10173</v>
      </c>
      <c r="B792" t="s">
        <v>1458</v>
      </c>
      <c r="C792">
        <v>792</v>
      </c>
      <c r="D792">
        <v>6262690600074</v>
      </c>
      <c r="E792" t="s">
        <v>1200</v>
      </c>
      <c r="F792">
        <v>1</v>
      </c>
      <c r="G792">
        <v>10</v>
      </c>
      <c r="I792">
        <v>10</v>
      </c>
      <c r="J792">
        <v>9</v>
      </c>
    </row>
    <row r="793" spans="1:10" x14ac:dyDescent="0.25">
      <c r="A793">
        <v>10173</v>
      </c>
      <c r="B793" t="s">
        <v>1458</v>
      </c>
      <c r="C793">
        <v>793</v>
      </c>
      <c r="D793">
        <v>6260109281555</v>
      </c>
      <c r="E793" t="s">
        <v>1252</v>
      </c>
      <c r="F793">
        <v>1</v>
      </c>
      <c r="G793">
        <v>12</v>
      </c>
      <c r="I793">
        <v>12</v>
      </c>
      <c r="J793">
        <v>10</v>
      </c>
    </row>
    <row r="794" spans="1:10" x14ac:dyDescent="0.25">
      <c r="A794">
        <v>10173</v>
      </c>
      <c r="B794" t="s">
        <v>1458</v>
      </c>
      <c r="C794">
        <v>794</v>
      </c>
      <c r="D794">
        <v>6260748000371</v>
      </c>
      <c r="E794" t="s">
        <v>1235</v>
      </c>
      <c r="F794">
        <v>1</v>
      </c>
      <c r="G794">
        <v>7</v>
      </c>
      <c r="I794">
        <v>7</v>
      </c>
      <c r="J794">
        <v>11</v>
      </c>
    </row>
    <row r="795" spans="1:10" x14ac:dyDescent="0.25">
      <c r="A795">
        <v>10173</v>
      </c>
      <c r="B795" t="s">
        <v>1458</v>
      </c>
      <c r="C795">
        <v>795</v>
      </c>
      <c r="D795">
        <v>6260543505682</v>
      </c>
      <c r="E795" t="s">
        <v>1425</v>
      </c>
      <c r="F795">
        <v>1</v>
      </c>
      <c r="G795">
        <v>5</v>
      </c>
      <c r="I795">
        <v>5</v>
      </c>
      <c r="J795">
        <v>12</v>
      </c>
    </row>
    <row r="796" spans="1:10" x14ac:dyDescent="0.25">
      <c r="A796">
        <v>10173</v>
      </c>
      <c r="B796" t="s">
        <v>1458</v>
      </c>
      <c r="C796">
        <v>796</v>
      </c>
      <c r="D796">
        <v>7500</v>
      </c>
      <c r="E796" t="s">
        <v>1387</v>
      </c>
      <c r="F796">
        <v>5</v>
      </c>
      <c r="G796">
        <v>2</v>
      </c>
      <c r="I796">
        <v>10</v>
      </c>
      <c r="J796">
        <v>13</v>
      </c>
    </row>
    <row r="797" spans="1:10" x14ac:dyDescent="0.25">
      <c r="A797">
        <v>10174</v>
      </c>
      <c r="B797" t="s">
        <v>1458</v>
      </c>
      <c r="C797">
        <v>797</v>
      </c>
      <c r="D797">
        <v>6262003401961</v>
      </c>
      <c r="E797" t="s">
        <v>818</v>
      </c>
      <c r="F797">
        <v>1</v>
      </c>
      <c r="G797">
        <v>55</v>
      </c>
      <c r="I797">
        <v>55</v>
      </c>
      <c r="J797">
        <v>7</v>
      </c>
    </row>
    <row r="798" spans="1:10" x14ac:dyDescent="0.25">
      <c r="A798">
        <v>10175</v>
      </c>
      <c r="B798" t="s">
        <v>1458</v>
      </c>
      <c r="C798">
        <v>798</v>
      </c>
      <c r="D798">
        <v>6260055843036</v>
      </c>
      <c r="E798" t="s">
        <v>736</v>
      </c>
      <c r="F798">
        <v>1</v>
      </c>
      <c r="G798">
        <v>40</v>
      </c>
      <c r="I798">
        <v>40</v>
      </c>
      <c r="J798">
        <v>7</v>
      </c>
    </row>
    <row r="799" spans="1:10" x14ac:dyDescent="0.25">
      <c r="A799">
        <v>10175</v>
      </c>
      <c r="B799" t="s">
        <v>1458</v>
      </c>
      <c r="C799">
        <v>799</v>
      </c>
      <c r="D799">
        <v>6260055843036</v>
      </c>
      <c r="E799" t="s">
        <v>736</v>
      </c>
      <c r="F799">
        <v>1</v>
      </c>
      <c r="G799">
        <v>40</v>
      </c>
      <c r="I799">
        <v>40</v>
      </c>
      <c r="J799">
        <v>8</v>
      </c>
    </row>
    <row r="800" spans="1:10" x14ac:dyDescent="0.25">
      <c r="A800">
        <v>10175</v>
      </c>
      <c r="B800" t="s">
        <v>1458</v>
      </c>
      <c r="C800">
        <v>800</v>
      </c>
      <c r="D800">
        <v>7700</v>
      </c>
      <c r="E800" t="s">
        <v>1439</v>
      </c>
      <c r="F800">
        <v>0.97</v>
      </c>
      <c r="G800">
        <v>180</v>
      </c>
      <c r="I800">
        <v>174.6</v>
      </c>
      <c r="J800">
        <v>9</v>
      </c>
    </row>
    <row r="801" spans="1:10" x14ac:dyDescent="0.25">
      <c r="A801">
        <v>10176</v>
      </c>
      <c r="B801" t="s">
        <v>1458</v>
      </c>
      <c r="C801">
        <v>801</v>
      </c>
      <c r="D801">
        <v>7700</v>
      </c>
      <c r="E801" t="s">
        <v>1439</v>
      </c>
      <c r="F801">
        <v>0.28000000000000003</v>
      </c>
      <c r="G801">
        <v>180</v>
      </c>
      <c r="I801">
        <v>50.400000000000006</v>
      </c>
      <c r="J801">
        <v>7</v>
      </c>
    </row>
    <row r="802" spans="1:10" x14ac:dyDescent="0.25">
      <c r="A802">
        <v>10177</v>
      </c>
      <c r="B802" t="s">
        <v>1458</v>
      </c>
      <c r="C802">
        <v>802</v>
      </c>
      <c r="D802">
        <v>6260063295841</v>
      </c>
      <c r="E802" t="s">
        <v>1366</v>
      </c>
      <c r="F802">
        <v>1</v>
      </c>
      <c r="G802">
        <v>10</v>
      </c>
      <c r="I802">
        <v>10</v>
      </c>
      <c r="J802">
        <v>7</v>
      </c>
    </row>
    <row r="803" spans="1:10" x14ac:dyDescent="0.25">
      <c r="A803">
        <v>10178</v>
      </c>
      <c r="B803" t="s">
        <v>1458</v>
      </c>
      <c r="C803">
        <v>803</v>
      </c>
      <c r="D803">
        <v>6264078410992</v>
      </c>
      <c r="E803" t="s">
        <v>1362</v>
      </c>
      <c r="F803">
        <v>1</v>
      </c>
      <c r="G803">
        <v>15</v>
      </c>
      <c r="I803">
        <v>15</v>
      </c>
      <c r="J803">
        <v>7</v>
      </c>
    </row>
    <row r="804" spans="1:10" x14ac:dyDescent="0.25">
      <c r="A804">
        <v>10179</v>
      </c>
      <c r="B804" t="s">
        <v>1458</v>
      </c>
      <c r="C804">
        <v>804</v>
      </c>
      <c r="D804">
        <v>8936036022933</v>
      </c>
      <c r="E804" t="s">
        <v>1464</v>
      </c>
      <c r="F804">
        <v>1</v>
      </c>
      <c r="G804">
        <v>10</v>
      </c>
      <c r="I804">
        <v>10</v>
      </c>
      <c r="J804">
        <v>7</v>
      </c>
    </row>
    <row r="805" spans="1:10" x14ac:dyDescent="0.25">
      <c r="A805">
        <v>10179</v>
      </c>
      <c r="B805" t="s">
        <v>1458</v>
      </c>
      <c r="C805">
        <v>805</v>
      </c>
      <c r="D805">
        <v>6260170900461</v>
      </c>
      <c r="E805" t="s">
        <v>864</v>
      </c>
      <c r="F805">
        <v>1</v>
      </c>
      <c r="G805">
        <v>6</v>
      </c>
      <c r="I805">
        <v>6</v>
      </c>
      <c r="J805">
        <v>8</v>
      </c>
    </row>
    <row r="806" spans="1:10" x14ac:dyDescent="0.25">
      <c r="A806">
        <v>10179</v>
      </c>
      <c r="B806" t="s">
        <v>1458</v>
      </c>
      <c r="C806">
        <v>806</v>
      </c>
      <c r="D806">
        <v>6261178540284</v>
      </c>
      <c r="E806" t="s">
        <v>551</v>
      </c>
      <c r="F806">
        <v>1</v>
      </c>
      <c r="G806">
        <v>4</v>
      </c>
      <c r="I806">
        <v>4</v>
      </c>
      <c r="J806">
        <v>9</v>
      </c>
    </row>
    <row r="807" spans="1:10" x14ac:dyDescent="0.25">
      <c r="A807">
        <v>10180</v>
      </c>
      <c r="B807" t="s">
        <v>1458</v>
      </c>
      <c r="C807">
        <v>807</v>
      </c>
      <c r="D807">
        <v>6261178540284</v>
      </c>
      <c r="E807" t="s">
        <v>551</v>
      </c>
      <c r="F807">
        <v>1</v>
      </c>
      <c r="G807">
        <v>4</v>
      </c>
      <c r="I807">
        <v>4</v>
      </c>
      <c r="J807">
        <v>7</v>
      </c>
    </row>
    <row r="808" spans="1:10" x14ac:dyDescent="0.25">
      <c r="A808">
        <v>10180</v>
      </c>
      <c r="B808" t="s">
        <v>1458</v>
      </c>
      <c r="C808">
        <v>808</v>
      </c>
      <c r="D808">
        <v>6260575904309</v>
      </c>
      <c r="E808" t="s">
        <v>1098</v>
      </c>
      <c r="F808">
        <v>1</v>
      </c>
      <c r="G808">
        <v>10</v>
      </c>
      <c r="I808">
        <v>10</v>
      </c>
      <c r="J808">
        <v>8</v>
      </c>
    </row>
    <row r="809" spans="1:10" x14ac:dyDescent="0.25">
      <c r="A809">
        <v>10180</v>
      </c>
      <c r="B809" t="s">
        <v>1458</v>
      </c>
      <c r="C809">
        <v>809</v>
      </c>
      <c r="D809">
        <v>6260748000371</v>
      </c>
      <c r="E809" t="s">
        <v>1235</v>
      </c>
      <c r="F809">
        <v>1</v>
      </c>
      <c r="G809">
        <v>7</v>
      </c>
      <c r="I809">
        <v>7</v>
      </c>
      <c r="J809">
        <v>9</v>
      </c>
    </row>
    <row r="810" spans="1:10" x14ac:dyDescent="0.25">
      <c r="A810">
        <v>10181</v>
      </c>
      <c r="B810" t="s">
        <v>1458</v>
      </c>
      <c r="C810">
        <v>810</v>
      </c>
      <c r="D810">
        <v>6269948100638</v>
      </c>
      <c r="E810" t="s">
        <v>1199</v>
      </c>
      <c r="F810">
        <v>1</v>
      </c>
      <c r="G810">
        <v>8</v>
      </c>
      <c r="I810">
        <v>8</v>
      </c>
      <c r="J810">
        <v>7</v>
      </c>
    </row>
    <row r="811" spans="1:10" x14ac:dyDescent="0.25">
      <c r="A811">
        <v>10182</v>
      </c>
      <c r="B811" t="s">
        <v>1458</v>
      </c>
      <c r="C811">
        <v>811</v>
      </c>
      <c r="D811">
        <v>7500</v>
      </c>
      <c r="E811" t="s">
        <v>1387</v>
      </c>
      <c r="F811">
        <v>2</v>
      </c>
      <c r="G811">
        <v>2</v>
      </c>
      <c r="I811">
        <v>4</v>
      </c>
      <c r="J811">
        <v>7</v>
      </c>
    </row>
    <row r="812" spans="1:10" x14ac:dyDescent="0.25">
      <c r="A812">
        <v>10182</v>
      </c>
      <c r="B812" t="s">
        <v>1458</v>
      </c>
      <c r="C812">
        <v>812</v>
      </c>
      <c r="D812">
        <v>5200</v>
      </c>
      <c r="E812" t="s">
        <v>866</v>
      </c>
      <c r="F812">
        <v>1</v>
      </c>
      <c r="G812">
        <v>1</v>
      </c>
      <c r="I812">
        <v>1</v>
      </c>
      <c r="J812">
        <v>8</v>
      </c>
    </row>
    <row r="813" spans="1:10" x14ac:dyDescent="0.25">
      <c r="A813">
        <v>10183</v>
      </c>
      <c r="B813" t="s">
        <v>1458</v>
      </c>
      <c r="C813">
        <v>813</v>
      </c>
      <c r="D813">
        <v>6265826100844</v>
      </c>
      <c r="E813" t="s">
        <v>1220</v>
      </c>
      <c r="F813">
        <v>1</v>
      </c>
      <c r="G813">
        <v>19</v>
      </c>
      <c r="I813">
        <v>19</v>
      </c>
      <c r="J813">
        <v>7</v>
      </c>
    </row>
    <row r="814" spans="1:10" x14ac:dyDescent="0.25">
      <c r="A814">
        <v>10183</v>
      </c>
      <c r="B814" t="s">
        <v>1458</v>
      </c>
      <c r="C814">
        <v>814</v>
      </c>
      <c r="D814">
        <v>6260918500175</v>
      </c>
      <c r="E814" t="s">
        <v>1123</v>
      </c>
      <c r="F814">
        <v>4</v>
      </c>
      <c r="G814">
        <v>10</v>
      </c>
      <c r="I814">
        <v>40</v>
      </c>
      <c r="J814">
        <v>8</v>
      </c>
    </row>
    <row r="815" spans="1:10" x14ac:dyDescent="0.25">
      <c r="A815">
        <v>10183</v>
      </c>
      <c r="B815" t="s">
        <v>1458</v>
      </c>
      <c r="C815">
        <v>815</v>
      </c>
      <c r="D815">
        <v>6269948100638</v>
      </c>
      <c r="E815" t="s">
        <v>1199</v>
      </c>
      <c r="F815">
        <v>5</v>
      </c>
      <c r="G815">
        <v>8</v>
      </c>
      <c r="I815">
        <v>40</v>
      </c>
      <c r="J815">
        <v>9</v>
      </c>
    </row>
    <row r="816" spans="1:10" x14ac:dyDescent="0.25">
      <c r="A816">
        <v>10184</v>
      </c>
      <c r="B816" t="s">
        <v>1458</v>
      </c>
      <c r="C816">
        <v>816</v>
      </c>
      <c r="D816">
        <v>6260308301467</v>
      </c>
      <c r="E816" t="s">
        <v>948</v>
      </c>
      <c r="F816">
        <v>1</v>
      </c>
      <c r="G816">
        <v>60</v>
      </c>
      <c r="I816">
        <v>60</v>
      </c>
      <c r="J816">
        <v>7</v>
      </c>
    </row>
    <row r="817" spans="1:10" x14ac:dyDescent="0.25">
      <c r="A817">
        <v>10184</v>
      </c>
      <c r="B817" t="s">
        <v>1458</v>
      </c>
      <c r="C817">
        <v>817</v>
      </c>
      <c r="D817">
        <v>6265499500040</v>
      </c>
      <c r="E817" t="s">
        <v>629</v>
      </c>
      <c r="F817">
        <v>1</v>
      </c>
      <c r="G817">
        <v>80</v>
      </c>
      <c r="I817">
        <v>80</v>
      </c>
      <c r="J817">
        <v>8</v>
      </c>
    </row>
    <row r="818" spans="1:10" x14ac:dyDescent="0.25">
      <c r="A818">
        <v>10185</v>
      </c>
      <c r="B818" t="s">
        <v>1458</v>
      </c>
      <c r="C818">
        <v>818</v>
      </c>
      <c r="D818">
        <v>160290016690011</v>
      </c>
      <c r="E818" t="s">
        <v>192</v>
      </c>
      <c r="F818">
        <v>1</v>
      </c>
      <c r="G818">
        <v>10</v>
      </c>
      <c r="I818">
        <v>10</v>
      </c>
      <c r="J818">
        <v>7</v>
      </c>
    </row>
    <row r="819" spans="1:10" x14ac:dyDescent="0.25">
      <c r="A819">
        <v>10185</v>
      </c>
      <c r="B819" t="s">
        <v>1458</v>
      </c>
      <c r="C819">
        <v>819</v>
      </c>
      <c r="D819">
        <v>6262003401961</v>
      </c>
      <c r="E819" t="s">
        <v>818</v>
      </c>
      <c r="F819">
        <v>1</v>
      </c>
      <c r="G819">
        <v>55</v>
      </c>
      <c r="I819">
        <v>55</v>
      </c>
      <c r="J819">
        <v>8</v>
      </c>
    </row>
    <row r="820" spans="1:10" x14ac:dyDescent="0.25">
      <c r="A820">
        <v>10185</v>
      </c>
      <c r="B820" t="s">
        <v>1458</v>
      </c>
      <c r="C820">
        <v>820</v>
      </c>
      <c r="D820">
        <v>2200</v>
      </c>
      <c r="E820" t="s">
        <v>1225</v>
      </c>
      <c r="F820">
        <v>0.5</v>
      </c>
      <c r="G820">
        <v>70</v>
      </c>
      <c r="I820">
        <v>35</v>
      </c>
      <c r="J820">
        <v>9</v>
      </c>
    </row>
    <row r="821" spans="1:10" x14ac:dyDescent="0.25">
      <c r="A821">
        <v>10185</v>
      </c>
      <c r="B821" t="s">
        <v>1458</v>
      </c>
      <c r="C821">
        <v>821</v>
      </c>
      <c r="D821">
        <v>6269988500269</v>
      </c>
      <c r="E821" t="s">
        <v>852</v>
      </c>
      <c r="F821">
        <v>2</v>
      </c>
      <c r="G821">
        <v>12</v>
      </c>
      <c r="I821">
        <v>24</v>
      </c>
      <c r="J821">
        <v>10</v>
      </c>
    </row>
    <row r="822" spans="1:10" x14ac:dyDescent="0.25">
      <c r="A822">
        <v>10185</v>
      </c>
      <c r="B822" t="s">
        <v>1458</v>
      </c>
      <c r="C822">
        <v>822</v>
      </c>
      <c r="D822">
        <v>1100</v>
      </c>
      <c r="E822" t="s">
        <v>615</v>
      </c>
      <c r="F822">
        <v>3</v>
      </c>
      <c r="G822">
        <v>3</v>
      </c>
      <c r="I822">
        <v>9</v>
      </c>
      <c r="J822">
        <v>11</v>
      </c>
    </row>
    <row r="823" spans="1:10" x14ac:dyDescent="0.25">
      <c r="A823">
        <v>10185</v>
      </c>
      <c r="B823" t="s">
        <v>1458</v>
      </c>
      <c r="C823">
        <v>823</v>
      </c>
      <c r="D823">
        <v>6263812801256</v>
      </c>
      <c r="E823" t="s">
        <v>393</v>
      </c>
      <c r="F823">
        <v>1</v>
      </c>
      <c r="G823">
        <v>45</v>
      </c>
      <c r="I823">
        <v>45</v>
      </c>
      <c r="J823">
        <v>12</v>
      </c>
    </row>
    <row r="824" spans="1:10" x14ac:dyDescent="0.25">
      <c r="A824">
        <v>10185</v>
      </c>
      <c r="B824" t="s">
        <v>1458</v>
      </c>
      <c r="C824">
        <v>824</v>
      </c>
      <c r="D824">
        <v>6260002926348</v>
      </c>
      <c r="E824" t="s">
        <v>1108</v>
      </c>
      <c r="F824">
        <v>1</v>
      </c>
      <c r="G824">
        <v>25</v>
      </c>
      <c r="I824">
        <v>25</v>
      </c>
      <c r="J824">
        <v>13</v>
      </c>
    </row>
    <row r="825" spans="1:10" x14ac:dyDescent="0.25">
      <c r="A825">
        <v>10186</v>
      </c>
      <c r="B825" t="s">
        <v>1458</v>
      </c>
      <c r="C825">
        <v>825</v>
      </c>
      <c r="D825">
        <v>6260000252128</v>
      </c>
      <c r="E825" t="s">
        <v>1508</v>
      </c>
      <c r="F825">
        <v>1</v>
      </c>
      <c r="G825">
        <v>15</v>
      </c>
      <c r="I825">
        <v>15</v>
      </c>
      <c r="J825">
        <v>7</v>
      </c>
    </row>
    <row r="826" spans="1:10" x14ac:dyDescent="0.25">
      <c r="A826">
        <v>10186</v>
      </c>
      <c r="B826" t="s">
        <v>1458</v>
      </c>
      <c r="C826">
        <v>826</v>
      </c>
      <c r="D826">
        <v>6260063298149</v>
      </c>
      <c r="E826" t="s">
        <v>1365</v>
      </c>
      <c r="F826">
        <v>1</v>
      </c>
      <c r="G826">
        <v>15</v>
      </c>
      <c r="I826">
        <v>15</v>
      </c>
      <c r="J826">
        <v>8</v>
      </c>
    </row>
    <row r="827" spans="1:10" x14ac:dyDescent="0.25">
      <c r="A827">
        <v>10186</v>
      </c>
      <c r="B827" t="s">
        <v>1458</v>
      </c>
      <c r="C827">
        <v>827</v>
      </c>
      <c r="D827">
        <v>6264078410992</v>
      </c>
      <c r="E827" t="s">
        <v>1362</v>
      </c>
      <c r="F827">
        <v>1</v>
      </c>
      <c r="G827">
        <v>15</v>
      </c>
      <c r="I827">
        <v>15</v>
      </c>
      <c r="J827">
        <v>9</v>
      </c>
    </row>
    <row r="828" spans="1:10" x14ac:dyDescent="0.25">
      <c r="A828">
        <v>10187</v>
      </c>
      <c r="B828" t="s">
        <v>1458</v>
      </c>
      <c r="C828">
        <v>828</v>
      </c>
      <c r="D828">
        <v>6264078410992</v>
      </c>
      <c r="E828" t="s">
        <v>1362</v>
      </c>
      <c r="F828">
        <v>2</v>
      </c>
      <c r="G828">
        <v>15</v>
      </c>
      <c r="I828">
        <v>30</v>
      </c>
      <c r="J828">
        <v>7</v>
      </c>
    </row>
    <row r="829" spans="1:10" x14ac:dyDescent="0.25">
      <c r="A829">
        <v>10187</v>
      </c>
      <c r="B829" t="s">
        <v>1458</v>
      </c>
      <c r="C829">
        <v>829</v>
      </c>
      <c r="D829">
        <v>6260138002138</v>
      </c>
      <c r="E829" t="s">
        <v>1241</v>
      </c>
      <c r="F829">
        <v>1</v>
      </c>
      <c r="G829">
        <v>10</v>
      </c>
      <c r="I829">
        <v>10</v>
      </c>
      <c r="J829">
        <v>8</v>
      </c>
    </row>
    <row r="830" spans="1:10" x14ac:dyDescent="0.25">
      <c r="A830">
        <v>10188</v>
      </c>
      <c r="B830" t="s">
        <v>1458</v>
      </c>
      <c r="C830">
        <v>830</v>
      </c>
      <c r="D830">
        <v>6263812800334</v>
      </c>
      <c r="E830" t="s">
        <v>1094</v>
      </c>
      <c r="F830">
        <v>1</v>
      </c>
      <c r="G830">
        <v>18</v>
      </c>
      <c r="I830">
        <v>18</v>
      </c>
      <c r="J830">
        <v>7</v>
      </c>
    </row>
    <row r="831" spans="1:10" x14ac:dyDescent="0.25">
      <c r="A831">
        <v>10188</v>
      </c>
      <c r="B831" t="s">
        <v>1458</v>
      </c>
      <c r="C831">
        <v>831</v>
      </c>
      <c r="D831">
        <v>6260053186333</v>
      </c>
      <c r="E831" t="s">
        <v>1346</v>
      </c>
      <c r="F831">
        <v>1</v>
      </c>
      <c r="G831">
        <v>18</v>
      </c>
      <c r="I831">
        <v>18</v>
      </c>
      <c r="J831">
        <v>8</v>
      </c>
    </row>
    <row r="832" spans="1:10" x14ac:dyDescent="0.25">
      <c r="A832">
        <v>10189</v>
      </c>
      <c r="B832" t="s">
        <v>1458</v>
      </c>
      <c r="C832">
        <v>832</v>
      </c>
      <c r="D832">
        <v>6261149146071</v>
      </c>
      <c r="E832" t="s">
        <v>845</v>
      </c>
      <c r="F832">
        <v>1</v>
      </c>
      <c r="G832">
        <v>30</v>
      </c>
      <c r="I832">
        <v>30</v>
      </c>
      <c r="J832">
        <v>7</v>
      </c>
    </row>
    <row r="833" spans="1:10" x14ac:dyDescent="0.25">
      <c r="A833">
        <v>10189</v>
      </c>
      <c r="B833" t="s">
        <v>1458</v>
      </c>
      <c r="C833">
        <v>833</v>
      </c>
      <c r="D833">
        <v>6260002926379</v>
      </c>
      <c r="E833" t="s">
        <v>1422</v>
      </c>
      <c r="F833">
        <v>1</v>
      </c>
      <c r="G833">
        <v>25</v>
      </c>
      <c r="I833">
        <v>25</v>
      </c>
      <c r="J833">
        <v>8</v>
      </c>
    </row>
    <row r="834" spans="1:10" x14ac:dyDescent="0.25">
      <c r="A834">
        <v>10189</v>
      </c>
      <c r="B834" t="s">
        <v>1458</v>
      </c>
      <c r="C834">
        <v>834</v>
      </c>
      <c r="D834">
        <v>6260002926348</v>
      </c>
      <c r="E834" t="s">
        <v>1108</v>
      </c>
      <c r="F834">
        <v>1</v>
      </c>
      <c r="G834">
        <v>25</v>
      </c>
      <c r="I834">
        <v>25</v>
      </c>
      <c r="J834">
        <v>9</v>
      </c>
    </row>
    <row r="835" spans="1:10" x14ac:dyDescent="0.25">
      <c r="A835">
        <v>10189</v>
      </c>
      <c r="B835" t="s">
        <v>1458</v>
      </c>
      <c r="C835">
        <v>835</v>
      </c>
      <c r="D835">
        <v>6263812801249</v>
      </c>
      <c r="E835" t="s">
        <v>1168</v>
      </c>
      <c r="F835">
        <v>1</v>
      </c>
      <c r="G835">
        <v>20</v>
      </c>
      <c r="I835">
        <v>20</v>
      </c>
      <c r="J835">
        <v>10</v>
      </c>
    </row>
    <row r="836" spans="1:10" x14ac:dyDescent="0.25">
      <c r="A836">
        <v>10190</v>
      </c>
      <c r="B836" t="s">
        <v>1458</v>
      </c>
      <c r="C836">
        <v>836</v>
      </c>
      <c r="D836">
        <v>6265826100134</v>
      </c>
      <c r="E836" t="s">
        <v>814</v>
      </c>
      <c r="F836">
        <v>1</v>
      </c>
      <c r="G836">
        <v>21</v>
      </c>
      <c r="I836">
        <v>21</v>
      </c>
      <c r="J836">
        <v>7</v>
      </c>
    </row>
    <row r="837" spans="1:10" x14ac:dyDescent="0.25">
      <c r="A837">
        <v>10190</v>
      </c>
      <c r="B837" t="s">
        <v>1458</v>
      </c>
      <c r="C837">
        <v>837</v>
      </c>
      <c r="D837">
        <v>6269365700091</v>
      </c>
      <c r="E837" t="s">
        <v>272</v>
      </c>
      <c r="F837">
        <v>1</v>
      </c>
      <c r="G837">
        <v>18</v>
      </c>
      <c r="I837">
        <v>18</v>
      </c>
      <c r="J837">
        <v>8</v>
      </c>
    </row>
    <row r="838" spans="1:10" x14ac:dyDescent="0.25">
      <c r="A838">
        <v>10191</v>
      </c>
      <c r="B838" t="s">
        <v>1458</v>
      </c>
      <c r="C838">
        <v>838</v>
      </c>
      <c r="D838">
        <v>6262228200028</v>
      </c>
      <c r="E838" t="s">
        <v>1446</v>
      </c>
      <c r="F838">
        <v>6</v>
      </c>
      <c r="G838">
        <v>8</v>
      </c>
      <c r="I838">
        <v>48</v>
      </c>
      <c r="J838">
        <v>7</v>
      </c>
    </row>
    <row r="839" spans="1:10" x14ac:dyDescent="0.25">
      <c r="A839">
        <v>10191</v>
      </c>
      <c r="B839" t="s">
        <v>1458</v>
      </c>
      <c r="C839">
        <v>839</v>
      </c>
      <c r="D839">
        <v>6264078410992</v>
      </c>
      <c r="E839" t="s">
        <v>1362</v>
      </c>
      <c r="F839">
        <v>6</v>
      </c>
      <c r="G839">
        <v>15</v>
      </c>
      <c r="I839">
        <v>90</v>
      </c>
      <c r="J839">
        <v>8</v>
      </c>
    </row>
    <row r="840" spans="1:10" x14ac:dyDescent="0.25">
      <c r="A840">
        <v>10191</v>
      </c>
      <c r="B840" t="s">
        <v>1458</v>
      </c>
      <c r="C840">
        <v>840</v>
      </c>
      <c r="D840">
        <v>162900054350822</v>
      </c>
      <c r="E840" t="s">
        <v>1183</v>
      </c>
      <c r="F840">
        <v>4</v>
      </c>
      <c r="G840">
        <v>5</v>
      </c>
      <c r="I840">
        <v>20</v>
      </c>
      <c r="J840">
        <v>9</v>
      </c>
    </row>
    <row r="841" spans="1:10" x14ac:dyDescent="0.25">
      <c r="A841">
        <v>10191</v>
      </c>
      <c r="B841" t="s">
        <v>1458</v>
      </c>
      <c r="C841">
        <v>841</v>
      </c>
      <c r="D841">
        <v>6260543505682</v>
      </c>
      <c r="E841" t="s">
        <v>1425</v>
      </c>
      <c r="F841">
        <v>2</v>
      </c>
      <c r="G841">
        <v>5</v>
      </c>
      <c r="I841">
        <v>10</v>
      </c>
      <c r="J841">
        <v>10</v>
      </c>
    </row>
    <row r="842" spans="1:10" x14ac:dyDescent="0.25">
      <c r="A842">
        <v>10191</v>
      </c>
      <c r="B842" t="s">
        <v>1458</v>
      </c>
      <c r="C842">
        <v>842</v>
      </c>
      <c r="D842">
        <v>6260002666725</v>
      </c>
      <c r="E842" t="s">
        <v>1207</v>
      </c>
      <c r="F842">
        <v>1</v>
      </c>
      <c r="G842">
        <v>10</v>
      </c>
      <c r="I842">
        <v>10</v>
      </c>
      <c r="J842">
        <v>11</v>
      </c>
    </row>
    <row r="843" spans="1:10" x14ac:dyDescent="0.25">
      <c r="A843">
        <v>10191</v>
      </c>
      <c r="B843" t="s">
        <v>1458</v>
      </c>
      <c r="C843">
        <v>843</v>
      </c>
      <c r="D843">
        <v>6260002666725</v>
      </c>
      <c r="E843" t="s">
        <v>1207</v>
      </c>
      <c r="F843">
        <v>1</v>
      </c>
      <c r="G843">
        <v>10</v>
      </c>
      <c r="I843">
        <v>10</v>
      </c>
      <c r="J843">
        <v>12</v>
      </c>
    </row>
    <row r="844" spans="1:10" x14ac:dyDescent="0.25">
      <c r="A844">
        <v>10192</v>
      </c>
      <c r="B844" t="s">
        <v>1458</v>
      </c>
      <c r="C844">
        <v>844</v>
      </c>
      <c r="D844">
        <v>6260806400020</v>
      </c>
      <c r="E844" t="s">
        <v>754</v>
      </c>
      <c r="F844">
        <v>1</v>
      </c>
      <c r="G844">
        <v>50</v>
      </c>
      <c r="I844">
        <v>50</v>
      </c>
      <c r="J844">
        <v>7</v>
      </c>
    </row>
    <row r="845" spans="1:10" x14ac:dyDescent="0.25">
      <c r="A845">
        <v>10193</v>
      </c>
      <c r="B845" t="s">
        <v>1458</v>
      </c>
      <c r="C845">
        <v>845</v>
      </c>
      <c r="D845">
        <v>6260007406487</v>
      </c>
      <c r="E845" t="s">
        <v>910</v>
      </c>
      <c r="F845">
        <v>1</v>
      </c>
      <c r="G845">
        <v>17</v>
      </c>
      <c r="I845">
        <v>17</v>
      </c>
      <c r="J845">
        <v>7</v>
      </c>
    </row>
    <row r="846" spans="1:10" x14ac:dyDescent="0.25">
      <c r="A846">
        <v>10193</v>
      </c>
      <c r="B846" t="s">
        <v>1458</v>
      </c>
      <c r="C846">
        <v>846</v>
      </c>
      <c r="D846">
        <v>6260063295841</v>
      </c>
      <c r="E846" t="s">
        <v>1366</v>
      </c>
      <c r="F846">
        <v>1</v>
      </c>
      <c r="G846">
        <v>10</v>
      </c>
      <c r="I846">
        <v>10</v>
      </c>
      <c r="J846">
        <v>8</v>
      </c>
    </row>
    <row r="847" spans="1:10" x14ac:dyDescent="0.25">
      <c r="A847">
        <v>10194</v>
      </c>
      <c r="B847" t="s">
        <v>1458</v>
      </c>
      <c r="C847">
        <v>847</v>
      </c>
      <c r="D847">
        <v>6260268400170</v>
      </c>
      <c r="E847" t="s">
        <v>831</v>
      </c>
      <c r="F847">
        <v>2</v>
      </c>
      <c r="G847">
        <v>15</v>
      </c>
      <c r="I847">
        <v>30</v>
      </c>
      <c r="J847">
        <v>7</v>
      </c>
    </row>
    <row r="848" spans="1:10" x14ac:dyDescent="0.25">
      <c r="A848">
        <v>10195</v>
      </c>
      <c r="B848" t="s">
        <v>1458</v>
      </c>
      <c r="C848">
        <v>848</v>
      </c>
      <c r="D848">
        <v>6261101313039</v>
      </c>
      <c r="E848" t="s">
        <v>561</v>
      </c>
      <c r="F848">
        <v>1</v>
      </c>
      <c r="G848">
        <v>100</v>
      </c>
      <c r="I848">
        <v>100</v>
      </c>
      <c r="J848">
        <v>7</v>
      </c>
    </row>
    <row r="849" spans="1:10" x14ac:dyDescent="0.25">
      <c r="A849">
        <v>10195</v>
      </c>
      <c r="B849" t="s">
        <v>1458</v>
      </c>
      <c r="C849">
        <v>849</v>
      </c>
      <c r="D849">
        <v>2200</v>
      </c>
      <c r="E849" t="s">
        <v>1225</v>
      </c>
      <c r="F849">
        <v>5</v>
      </c>
      <c r="G849">
        <v>70</v>
      </c>
      <c r="I849">
        <v>350</v>
      </c>
      <c r="J849">
        <v>8</v>
      </c>
    </row>
    <row r="850" spans="1:10" x14ac:dyDescent="0.25">
      <c r="A850">
        <v>10195</v>
      </c>
      <c r="B850" t="s">
        <v>1458</v>
      </c>
      <c r="C850">
        <v>850</v>
      </c>
      <c r="D850">
        <v>6260026101066</v>
      </c>
      <c r="E850" t="s">
        <v>960</v>
      </c>
      <c r="F850">
        <v>1</v>
      </c>
      <c r="G850">
        <v>180</v>
      </c>
      <c r="I850">
        <v>180</v>
      </c>
      <c r="J850">
        <v>9</v>
      </c>
    </row>
    <row r="851" spans="1:10" x14ac:dyDescent="0.25">
      <c r="A851">
        <v>10196</v>
      </c>
      <c r="B851" t="s">
        <v>1458</v>
      </c>
      <c r="C851">
        <v>851</v>
      </c>
      <c r="D851">
        <v>6260404400200</v>
      </c>
      <c r="E851" t="s">
        <v>1113</v>
      </c>
      <c r="F851">
        <v>4</v>
      </c>
      <c r="G851">
        <v>5</v>
      </c>
      <c r="I851">
        <v>20</v>
      </c>
      <c r="J851">
        <v>7</v>
      </c>
    </row>
    <row r="852" spans="1:10" x14ac:dyDescent="0.25">
      <c r="A852">
        <v>10196</v>
      </c>
      <c r="B852" t="s">
        <v>1458</v>
      </c>
      <c r="C852">
        <v>852</v>
      </c>
      <c r="D852">
        <v>6264078409156</v>
      </c>
      <c r="E852" t="s">
        <v>1374</v>
      </c>
      <c r="F852">
        <v>4</v>
      </c>
      <c r="G852">
        <v>10</v>
      </c>
      <c r="I852">
        <v>40</v>
      </c>
      <c r="J852">
        <v>8</v>
      </c>
    </row>
    <row r="853" spans="1:10" x14ac:dyDescent="0.25">
      <c r="A853">
        <v>10196</v>
      </c>
      <c r="B853" t="s">
        <v>1458</v>
      </c>
      <c r="C853">
        <v>853</v>
      </c>
      <c r="D853">
        <v>6265663103565</v>
      </c>
      <c r="E853" t="s">
        <v>329</v>
      </c>
      <c r="F853">
        <v>2</v>
      </c>
      <c r="G853">
        <v>5</v>
      </c>
      <c r="I853">
        <v>10</v>
      </c>
      <c r="J853">
        <v>9</v>
      </c>
    </row>
    <row r="854" spans="1:10" x14ac:dyDescent="0.25">
      <c r="A854">
        <v>10197</v>
      </c>
      <c r="B854" t="s">
        <v>1458</v>
      </c>
      <c r="C854">
        <v>854</v>
      </c>
      <c r="D854">
        <v>6260079200914</v>
      </c>
      <c r="E854" t="s">
        <v>843</v>
      </c>
      <c r="F854">
        <v>1</v>
      </c>
      <c r="G854">
        <v>20</v>
      </c>
      <c r="I854">
        <v>20</v>
      </c>
      <c r="J854">
        <v>7</v>
      </c>
    </row>
    <row r="855" spans="1:10" x14ac:dyDescent="0.25">
      <c r="A855">
        <v>10198</v>
      </c>
      <c r="B855" t="s">
        <v>1458</v>
      </c>
      <c r="C855">
        <v>855</v>
      </c>
      <c r="D855">
        <v>7500</v>
      </c>
      <c r="E855" t="s">
        <v>1387</v>
      </c>
      <c r="F855">
        <v>3</v>
      </c>
      <c r="G855">
        <v>2</v>
      </c>
      <c r="I855">
        <v>6</v>
      </c>
      <c r="J855">
        <v>7</v>
      </c>
    </row>
    <row r="856" spans="1:10" x14ac:dyDescent="0.25">
      <c r="A856">
        <v>10198</v>
      </c>
      <c r="B856" t="s">
        <v>1458</v>
      </c>
      <c r="C856">
        <v>856</v>
      </c>
      <c r="D856">
        <v>6260575902312</v>
      </c>
      <c r="E856" t="s">
        <v>1452</v>
      </c>
      <c r="F856">
        <v>1</v>
      </c>
      <c r="G856">
        <v>5</v>
      </c>
      <c r="I856">
        <v>5</v>
      </c>
      <c r="J856">
        <v>8</v>
      </c>
    </row>
    <row r="857" spans="1:10" x14ac:dyDescent="0.25">
      <c r="A857">
        <v>10199</v>
      </c>
      <c r="B857" t="s">
        <v>1458</v>
      </c>
      <c r="C857">
        <v>857</v>
      </c>
      <c r="D857">
        <v>6261149024867</v>
      </c>
      <c r="E857" t="s">
        <v>1470</v>
      </c>
      <c r="F857">
        <v>1</v>
      </c>
      <c r="G857">
        <v>10</v>
      </c>
      <c r="I857">
        <v>10</v>
      </c>
      <c r="J857">
        <v>7</v>
      </c>
    </row>
    <row r="858" spans="1:10" x14ac:dyDescent="0.25">
      <c r="A858">
        <v>10200</v>
      </c>
      <c r="B858" t="s">
        <v>1458</v>
      </c>
      <c r="C858">
        <v>858</v>
      </c>
      <c r="D858">
        <v>6260026101066</v>
      </c>
      <c r="E858" t="s">
        <v>960</v>
      </c>
      <c r="F858">
        <v>1</v>
      </c>
      <c r="G858">
        <v>180</v>
      </c>
      <c r="I858">
        <v>180</v>
      </c>
      <c r="J858">
        <v>7</v>
      </c>
    </row>
    <row r="859" spans="1:10" x14ac:dyDescent="0.25">
      <c r="A859">
        <v>10201</v>
      </c>
      <c r="B859" t="s">
        <v>1458</v>
      </c>
      <c r="C859">
        <v>859</v>
      </c>
      <c r="D859">
        <v>2112265425554</v>
      </c>
      <c r="E859" t="s">
        <v>1005</v>
      </c>
      <c r="F859">
        <v>1</v>
      </c>
      <c r="G859">
        <v>35</v>
      </c>
      <c r="I859">
        <v>35</v>
      </c>
      <c r="J859">
        <v>7</v>
      </c>
    </row>
    <row r="860" spans="1:10" x14ac:dyDescent="0.25">
      <c r="A860">
        <v>10202</v>
      </c>
      <c r="B860" t="s">
        <v>1458</v>
      </c>
      <c r="C860">
        <v>860</v>
      </c>
      <c r="D860">
        <v>2300</v>
      </c>
      <c r="E860" t="s">
        <v>1029</v>
      </c>
      <c r="F860">
        <v>1</v>
      </c>
      <c r="G860">
        <v>25</v>
      </c>
      <c r="I860">
        <v>25</v>
      </c>
      <c r="J860">
        <v>7</v>
      </c>
    </row>
    <row r="861" spans="1:10" x14ac:dyDescent="0.25">
      <c r="A861">
        <v>10202</v>
      </c>
      <c r="B861" t="s">
        <v>1458</v>
      </c>
      <c r="C861">
        <v>861</v>
      </c>
      <c r="D861">
        <v>225822517542789</v>
      </c>
      <c r="E861" t="s">
        <v>824</v>
      </c>
      <c r="F861">
        <v>1</v>
      </c>
      <c r="G861">
        <v>10</v>
      </c>
      <c r="I861">
        <v>10</v>
      </c>
      <c r="J861">
        <v>8</v>
      </c>
    </row>
    <row r="862" spans="1:10" x14ac:dyDescent="0.25">
      <c r="A862">
        <v>10202</v>
      </c>
      <c r="B862" t="s">
        <v>1458</v>
      </c>
      <c r="C862">
        <v>862</v>
      </c>
      <c r="D862">
        <v>6260000771995</v>
      </c>
      <c r="E862" t="s">
        <v>1268</v>
      </c>
      <c r="F862">
        <v>1</v>
      </c>
      <c r="G862">
        <v>25</v>
      </c>
      <c r="I862">
        <v>25</v>
      </c>
      <c r="J862">
        <v>9</v>
      </c>
    </row>
    <row r="863" spans="1:10" x14ac:dyDescent="0.25">
      <c r="A863">
        <v>10202</v>
      </c>
      <c r="B863" t="s">
        <v>1458</v>
      </c>
      <c r="C863">
        <v>863</v>
      </c>
      <c r="D863">
        <v>6260737001631</v>
      </c>
      <c r="E863" t="s">
        <v>1441</v>
      </c>
      <c r="F863">
        <v>1</v>
      </c>
      <c r="G863">
        <v>10</v>
      </c>
      <c r="I863">
        <v>10</v>
      </c>
      <c r="J863">
        <v>10</v>
      </c>
    </row>
    <row r="864" spans="1:10" x14ac:dyDescent="0.25">
      <c r="A864">
        <v>10202</v>
      </c>
      <c r="B864" t="s">
        <v>1458</v>
      </c>
      <c r="C864">
        <v>864</v>
      </c>
      <c r="D864">
        <v>6260737001631</v>
      </c>
      <c r="E864" t="s">
        <v>1441</v>
      </c>
      <c r="F864">
        <v>1</v>
      </c>
      <c r="G864">
        <v>10</v>
      </c>
      <c r="I864">
        <v>10</v>
      </c>
      <c r="J864">
        <v>11</v>
      </c>
    </row>
    <row r="865" spans="1:10" x14ac:dyDescent="0.25">
      <c r="A865">
        <v>10202</v>
      </c>
      <c r="B865" t="s">
        <v>1458</v>
      </c>
      <c r="C865">
        <v>865</v>
      </c>
      <c r="D865">
        <v>6260079211323</v>
      </c>
      <c r="E865" t="s">
        <v>1429</v>
      </c>
      <c r="F865">
        <v>1</v>
      </c>
      <c r="G865">
        <v>35</v>
      </c>
      <c r="I865">
        <v>35</v>
      </c>
      <c r="J865">
        <v>12</v>
      </c>
    </row>
    <row r="866" spans="1:10" x14ac:dyDescent="0.25">
      <c r="A866">
        <v>10202</v>
      </c>
      <c r="B866" t="s">
        <v>1458</v>
      </c>
      <c r="C866">
        <v>866</v>
      </c>
      <c r="D866">
        <v>6261149024867</v>
      </c>
      <c r="E866" t="s">
        <v>1470</v>
      </c>
      <c r="F866">
        <v>1</v>
      </c>
      <c r="G866">
        <v>10</v>
      </c>
      <c r="I866">
        <v>10</v>
      </c>
      <c r="J866">
        <v>13</v>
      </c>
    </row>
    <row r="867" spans="1:10" x14ac:dyDescent="0.25">
      <c r="A867">
        <v>10202</v>
      </c>
      <c r="B867" t="s">
        <v>1458</v>
      </c>
      <c r="C867">
        <v>867</v>
      </c>
      <c r="D867">
        <v>6261149024867</v>
      </c>
      <c r="E867" t="s">
        <v>1470</v>
      </c>
      <c r="F867">
        <v>1</v>
      </c>
      <c r="G867">
        <v>10</v>
      </c>
      <c r="I867">
        <v>10</v>
      </c>
      <c r="J867">
        <v>14</v>
      </c>
    </row>
    <row r="868" spans="1:10" x14ac:dyDescent="0.25">
      <c r="A868">
        <v>10202</v>
      </c>
      <c r="B868" t="s">
        <v>1458</v>
      </c>
      <c r="C868">
        <v>868</v>
      </c>
      <c r="D868">
        <v>6260469900509</v>
      </c>
      <c r="E868" t="s">
        <v>1115</v>
      </c>
      <c r="F868">
        <v>1</v>
      </c>
      <c r="G868">
        <v>12</v>
      </c>
      <c r="I868">
        <v>12</v>
      </c>
      <c r="J868">
        <v>15</v>
      </c>
    </row>
    <row r="869" spans="1:10" x14ac:dyDescent="0.25">
      <c r="A869">
        <v>10202</v>
      </c>
      <c r="B869" t="s">
        <v>1458</v>
      </c>
      <c r="C869">
        <v>869</v>
      </c>
      <c r="D869">
        <v>6260469900509</v>
      </c>
      <c r="E869" t="s">
        <v>1115</v>
      </c>
      <c r="F869">
        <v>1</v>
      </c>
      <c r="G869">
        <v>12</v>
      </c>
      <c r="I869">
        <v>12</v>
      </c>
      <c r="J869">
        <v>16</v>
      </c>
    </row>
    <row r="870" spans="1:10" x14ac:dyDescent="0.25">
      <c r="A870">
        <v>10202</v>
      </c>
      <c r="B870" t="s">
        <v>1458</v>
      </c>
      <c r="C870">
        <v>870</v>
      </c>
      <c r="D870">
        <v>6260543504289</v>
      </c>
      <c r="E870" t="s">
        <v>698</v>
      </c>
      <c r="F870">
        <v>1</v>
      </c>
      <c r="G870">
        <v>15</v>
      </c>
      <c r="I870">
        <v>15</v>
      </c>
      <c r="J870">
        <v>17</v>
      </c>
    </row>
    <row r="871" spans="1:10" x14ac:dyDescent="0.25">
      <c r="A871">
        <v>10202</v>
      </c>
      <c r="B871" t="s">
        <v>1458</v>
      </c>
      <c r="C871">
        <v>871</v>
      </c>
      <c r="D871">
        <v>6260501000440</v>
      </c>
      <c r="E871" t="s">
        <v>641</v>
      </c>
      <c r="F871">
        <v>1</v>
      </c>
      <c r="G871">
        <v>10</v>
      </c>
      <c r="I871">
        <v>10</v>
      </c>
      <c r="J871">
        <v>18</v>
      </c>
    </row>
    <row r="872" spans="1:10" x14ac:dyDescent="0.25">
      <c r="A872">
        <v>10202</v>
      </c>
      <c r="B872" t="s">
        <v>1458</v>
      </c>
      <c r="C872">
        <v>872</v>
      </c>
      <c r="D872">
        <v>6260543505682</v>
      </c>
      <c r="E872" t="s">
        <v>1425</v>
      </c>
      <c r="F872">
        <v>1</v>
      </c>
      <c r="G872">
        <v>5</v>
      </c>
      <c r="I872">
        <v>5</v>
      </c>
      <c r="J872">
        <v>19</v>
      </c>
    </row>
    <row r="873" spans="1:10" x14ac:dyDescent="0.25">
      <c r="A873">
        <v>10202</v>
      </c>
      <c r="B873" t="s">
        <v>1458</v>
      </c>
      <c r="C873">
        <v>873</v>
      </c>
      <c r="D873">
        <v>6260053186333</v>
      </c>
      <c r="E873" t="s">
        <v>1346</v>
      </c>
      <c r="F873">
        <v>1</v>
      </c>
      <c r="G873">
        <v>18</v>
      </c>
      <c r="I873">
        <v>18</v>
      </c>
      <c r="J873">
        <v>20</v>
      </c>
    </row>
    <row r="874" spans="1:10" x14ac:dyDescent="0.25">
      <c r="A874">
        <v>10202</v>
      </c>
      <c r="B874" t="s">
        <v>1458</v>
      </c>
      <c r="C874">
        <v>874</v>
      </c>
      <c r="D874">
        <v>6269988500269</v>
      </c>
      <c r="E874" t="s">
        <v>852</v>
      </c>
      <c r="F874">
        <v>1</v>
      </c>
      <c r="G874">
        <v>12</v>
      </c>
      <c r="I874">
        <v>12</v>
      </c>
      <c r="J874">
        <v>21</v>
      </c>
    </row>
    <row r="875" spans="1:10" x14ac:dyDescent="0.25">
      <c r="A875">
        <v>10202</v>
      </c>
      <c r="B875" t="s">
        <v>1458</v>
      </c>
      <c r="C875">
        <v>875</v>
      </c>
      <c r="D875">
        <v>6261005083984</v>
      </c>
      <c r="E875" t="s">
        <v>984</v>
      </c>
      <c r="F875">
        <v>1</v>
      </c>
      <c r="G875">
        <v>25</v>
      </c>
      <c r="I875">
        <v>25</v>
      </c>
      <c r="J875">
        <v>22</v>
      </c>
    </row>
    <row r="876" spans="1:10" x14ac:dyDescent="0.25">
      <c r="A876">
        <v>10202</v>
      </c>
      <c r="B876" t="s">
        <v>1458</v>
      </c>
      <c r="C876">
        <v>876</v>
      </c>
      <c r="D876">
        <v>6260000700025</v>
      </c>
      <c r="E876" t="s">
        <v>1256</v>
      </c>
      <c r="F876">
        <v>2</v>
      </c>
      <c r="G876">
        <v>8</v>
      </c>
      <c r="I876">
        <v>16</v>
      </c>
      <c r="J876">
        <v>23</v>
      </c>
    </row>
    <row r="877" spans="1:10" x14ac:dyDescent="0.25">
      <c r="A877">
        <v>10203</v>
      </c>
      <c r="B877" t="s">
        <v>1458</v>
      </c>
      <c r="C877">
        <v>877</v>
      </c>
      <c r="D877">
        <v>6260002926331</v>
      </c>
      <c r="E877" t="s">
        <v>1100</v>
      </c>
      <c r="F877">
        <v>1</v>
      </c>
      <c r="G877">
        <v>25</v>
      </c>
      <c r="I877">
        <v>25</v>
      </c>
      <c r="J877">
        <v>7</v>
      </c>
    </row>
    <row r="878" spans="1:10" x14ac:dyDescent="0.25">
      <c r="A878">
        <v>10204</v>
      </c>
      <c r="B878" t="s">
        <v>1458</v>
      </c>
      <c r="C878">
        <v>878</v>
      </c>
      <c r="D878">
        <v>6269365700077</v>
      </c>
      <c r="E878" t="s">
        <v>264</v>
      </c>
      <c r="F878">
        <v>10</v>
      </c>
      <c r="G878">
        <v>18</v>
      </c>
      <c r="I878">
        <v>180</v>
      </c>
      <c r="J878">
        <v>7</v>
      </c>
    </row>
    <row r="879" spans="1:10" x14ac:dyDescent="0.25">
      <c r="A879">
        <v>10205</v>
      </c>
      <c r="B879" t="s">
        <v>1458</v>
      </c>
      <c r="C879">
        <v>879</v>
      </c>
      <c r="D879">
        <v>6265826100134</v>
      </c>
      <c r="E879" t="s">
        <v>814</v>
      </c>
      <c r="F879">
        <v>1</v>
      </c>
      <c r="G879">
        <v>21</v>
      </c>
      <c r="I879">
        <v>21</v>
      </c>
      <c r="J879">
        <v>7</v>
      </c>
    </row>
    <row r="880" spans="1:10" x14ac:dyDescent="0.25">
      <c r="A880">
        <v>10206</v>
      </c>
      <c r="B880" t="s">
        <v>1458</v>
      </c>
      <c r="C880">
        <v>880</v>
      </c>
      <c r="D880">
        <v>8458412400024</v>
      </c>
      <c r="E880" t="s">
        <v>383</v>
      </c>
      <c r="F880">
        <v>1</v>
      </c>
      <c r="G880">
        <v>9</v>
      </c>
      <c r="I880">
        <v>9</v>
      </c>
      <c r="J880">
        <v>7</v>
      </c>
    </row>
    <row r="881" spans="1:10" x14ac:dyDescent="0.25">
      <c r="A881">
        <v>10207</v>
      </c>
      <c r="B881" t="s">
        <v>1458</v>
      </c>
      <c r="C881">
        <v>881</v>
      </c>
      <c r="D881">
        <v>2900</v>
      </c>
      <c r="E881" t="s">
        <v>1041</v>
      </c>
      <c r="F881">
        <v>0.12</v>
      </c>
      <c r="G881">
        <v>180</v>
      </c>
      <c r="I881">
        <v>21.599999999999998</v>
      </c>
      <c r="J881">
        <v>7</v>
      </c>
    </row>
    <row r="882" spans="1:10" x14ac:dyDescent="0.25">
      <c r="A882">
        <v>10207</v>
      </c>
      <c r="B882" t="s">
        <v>1458</v>
      </c>
      <c r="C882">
        <v>882</v>
      </c>
      <c r="D882">
        <v>3000</v>
      </c>
      <c r="E882" t="s">
        <v>1222</v>
      </c>
      <c r="F882">
        <v>5.5E-2</v>
      </c>
      <c r="G882">
        <v>700</v>
      </c>
      <c r="I882">
        <v>38.5</v>
      </c>
      <c r="J882">
        <v>8</v>
      </c>
    </row>
    <row r="883" spans="1:10" x14ac:dyDescent="0.25">
      <c r="A883">
        <v>10208</v>
      </c>
      <c r="B883" t="s">
        <v>1458</v>
      </c>
      <c r="C883">
        <v>883</v>
      </c>
      <c r="D883">
        <v>6261422503003</v>
      </c>
      <c r="E883" t="s">
        <v>955</v>
      </c>
      <c r="F883">
        <v>1</v>
      </c>
      <c r="G883">
        <v>30</v>
      </c>
      <c r="I883">
        <v>30</v>
      </c>
      <c r="J883">
        <v>7</v>
      </c>
    </row>
    <row r="884" spans="1:10" x14ac:dyDescent="0.25">
      <c r="A884">
        <v>10209</v>
      </c>
      <c r="B884" t="s">
        <v>1458</v>
      </c>
      <c r="C884">
        <v>884</v>
      </c>
      <c r="D884">
        <v>6260567101723</v>
      </c>
      <c r="E884" t="s">
        <v>1466</v>
      </c>
      <c r="F884">
        <v>3</v>
      </c>
      <c r="G884">
        <v>7</v>
      </c>
      <c r="I884">
        <v>21</v>
      </c>
      <c r="J884">
        <v>7</v>
      </c>
    </row>
    <row r="885" spans="1:10" x14ac:dyDescent="0.25">
      <c r="A885">
        <v>10210</v>
      </c>
      <c r="B885" t="s">
        <v>1458</v>
      </c>
      <c r="C885">
        <v>885</v>
      </c>
      <c r="D885">
        <v>6260308310278</v>
      </c>
      <c r="E885" t="s">
        <v>778</v>
      </c>
      <c r="F885">
        <v>1</v>
      </c>
      <c r="G885">
        <v>80</v>
      </c>
      <c r="I885">
        <v>80</v>
      </c>
      <c r="J885">
        <v>7</v>
      </c>
    </row>
    <row r="886" spans="1:10" x14ac:dyDescent="0.25">
      <c r="A886">
        <v>10211</v>
      </c>
      <c r="B886" t="s">
        <v>1458</v>
      </c>
      <c r="C886">
        <v>886</v>
      </c>
      <c r="D886">
        <v>6260002926331</v>
      </c>
      <c r="E886" t="s">
        <v>1100</v>
      </c>
      <c r="F886">
        <v>1</v>
      </c>
      <c r="G886">
        <v>25</v>
      </c>
      <c r="I886">
        <v>25</v>
      </c>
      <c r="J886">
        <v>7</v>
      </c>
    </row>
    <row r="887" spans="1:10" x14ac:dyDescent="0.25">
      <c r="A887">
        <v>10212</v>
      </c>
      <c r="B887" t="s">
        <v>1458</v>
      </c>
      <c r="C887">
        <v>887</v>
      </c>
      <c r="D887">
        <v>6260806400068</v>
      </c>
      <c r="E887" t="s">
        <v>746</v>
      </c>
      <c r="F887">
        <v>1</v>
      </c>
      <c r="G887">
        <v>35</v>
      </c>
      <c r="I887">
        <v>35</v>
      </c>
      <c r="J887">
        <v>7</v>
      </c>
    </row>
    <row r="888" spans="1:10" x14ac:dyDescent="0.25">
      <c r="A888">
        <v>10212</v>
      </c>
      <c r="B888" t="s">
        <v>1458</v>
      </c>
      <c r="C888">
        <v>888</v>
      </c>
      <c r="D888">
        <v>6260079211323</v>
      </c>
      <c r="E888" t="s">
        <v>1429</v>
      </c>
      <c r="F888">
        <v>1</v>
      </c>
      <c r="G888">
        <v>35</v>
      </c>
      <c r="I888">
        <v>35</v>
      </c>
      <c r="J888">
        <v>8</v>
      </c>
    </row>
    <row r="889" spans="1:10" x14ac:dyDescent="0.25">
      <c r="A889">
        <v>10212</v>
      </c>
      <c r="B889" t="s">
        <v>1458</v>
      </c>
      <c r="C889">
        <v>889</v>
      </c>
      <c r="D889">
        <v>6260308310278</v>
      </c>
      <c r="E889" t="s">
        <v>778</v>
      </c>
      <c r="F889">
        <v>1</v>
      </c>
      <c r="G889">
        <v>80</v>
      </c>
      <c r="I889">
        <v>80</v>
      </c>
      <c r="J889">
        <v>9</v>
      </c>
    </row>
    <row r="890" spans="1:10" x14ac:dyDescent="0.25">
      <c r="A890">
        <v>10213</v>
      </c>
      <c r="B890" t="s">
        <v>1458</v>
      </c>
      <c r="C890">
        <v>890</v>
      </c>
      <c r="D890">
        <v>6261178411010</v>
      </c>
      <c r="E890" t="s">
        <v>1186</v>
      </c>
      <c r="F890">
        <v>1</v>
      </c>
      <c r="G890">
        <v>15</v>
      </c>
      <c r="I890">
        <v>15</v>
      </c>
      <c r="J890">
        <v>7</v>
      </c>
    </row>
    <row r="891" spans="1:10" x14ac:dyDescent="0.25">
      <c r="A891">
        <v>10213</v>
      </c>
      <c r="B891" t="s">
        <v>1458</v>
      </c>
      <c r="C891">
        <v>891</v>
      </c>
      <c r="D891">
        <v>6260543504791</v>
      </c>
      <c r="E891" t="s">
        <v>1499</v>
      </c>
      <c r="F891">
        <v>1</v>
      </c>
      <c r="G891">
        <v>5</v>
      </c>
      <c r="I891">
        <v>5</v>
      </c>
      <c r="J891">
        <v>8</v>
      </c>
    </row>
    <row r="892" spans="1:10" x14ac:dyDescent="0.25">
      <c r="A892">
        <v>10214</v>
      </c>
      <c r="B892" t="s">
        <v>1458</v>
      </c>
      <c r="C892">
        <v>892</v>
      </c>
      <c r="D892">
        <v>6269365700077</v>
      </c>
      <c r="E892" t="s">
        <v>264</v>
      </c>
      <c r="F892">
        <v>2</v>
      </c>
      <c r="G892">
        <v>18</v>
      </c>
      <c r="I892">
        <v>36</v>
      </c>
      <c r="J892">
        <v>7</v>
      </c>
    </row>
    <row r="893" spans="1:10" x14ac:dyDescent="0.25">
      <c r="A893">
        <v>10215</v>
      </c>
      <c r="B893" t="s">
        <v>1458</v>
      </c>
      <c r="C893">
        <v>893</v>
      </c>
      <c r="D893">
        <v>6260063298149</v>
      </c>
      <c r="E893" t="s">
        <v>1365</v>
      </c>
      <c r="F893">
        <v>2</v>
      </c>
      <c r="G893">
        <v>15</v>
      </c>
      <c r="I893">
        <v>30</v>
      </c>
      <c r="J893">
        <v>7</v>
      </c>
    </row>
    <row r="894" spans="1:10" x14ac:dyDescent="0.25">
      <c r="A894">
        <v>10215</v>
      </c>
      <c r="B894" t="s">
        <v>1458</v>
      </c>
      <c r="C894">
        <v>894</v>
      </c>
      <c r="D894">
        <v>6260575904279</v>
      </c>
      <c r="E894" t="s">
        <v>1102</v>
      </c>
      <c r="F894">
        <v>1</v>
      </c>
      <c r="G894">
        <v>10</v>
      </c>
      <c r="I894">
        <v>10</v>
      </c>
      <c r="J894">
        <v>8</v>
      </c>
    </row>
    <row r="895" spans="1:10" x14ac:dyDescent="0.25">
      <c r="A895">
        <v>10216</v>
      </c>
      <c r="B895" t="s">
        <v>1458</v>
      </c>
      <c r="C895">
        <v>895</v>
      </c>
      <c r="D895">
        <v>6264078402324</v>
      </c>
      <c r="E895" t="s">
        <v>1157</v>
      </c>
      <c r="F895">
        <v>1</v>
      </c>
      <c r="G895">
        <v>10</v>
      </c>
      <c r="I895">
        <v>10</v>
      </c>
      <c r="J895">
        <v>7</v>
      </c>
    </row>
    <row r="896" spans="1:10" x14ac:dyDescent="0.25">
      <c r="A896">
        <v>10216</v>
      </c>
      <c r="B896" t="s">
        <v>1458</v>
      </c>
      <c r="C896">
        <v>896</v>
      </c>
      <c r="D896">
        <v>6264078408005</v>
      </c>
      <c r="E896" t="s">
        <v>244</v>
      </c>
      <c r="F896">
        <v>1</v>
      </c>
      <c r="G896">
        <v>10</v>
      </c>
      <c r="I896">
        <v>10</v>
      </c>
      <c r="J896">
        <v>8</v>
      </c>
    </row>
    <row r="897" spans="1:10" x14ac:dyDescent="0.25">
      <c r="A897">
        <v>10216</v>
      </c>
      <c r="B897" t="s">
        <v>1458</v>
      </c>
      <c r="C897">
        <v>897</v>
      </c>
      <c r="D897">
        <v>6260063214255</v>
      </c>
      <c r="E897" t="s">
        <v>1376</v>
      </c>
      <c r="F897">
        <v>1</v>
      </c>
      <c r="G897">
        <v>10</v>
      </c>
      <c r="I897">
        <v>10</v>
      </c>
      <c r="J897">
        <v>9</v>
      </c>
    </row>
    <row r="898" spans="1:10" x14ac:dyDescent="0.25">
      <c r="A898">
        <v>10216</v>
      </c>
      <c r="B898" t="s">
        <v>1458</v>
      </c>
      <c r="C898">
        <v>898</v>
      </c>
      <c r="D898">
        <v>6260543504791</v>
      </c>
      <c r="E898" t="s">
        <v>1499</v>
      </c>
      <c r="F898">
        <v>2</v>
      </c>
      <c r="G898">
        <v>5</v>
      </c>
      <c r="I898">
        <v>10</v>
      </c>
      <c r="J898">
        <v>10</v>
      </c>
    </row>
    <row r="899" spans="1:10" x14ac:dyDescent="0.25">
      <c r="A899">
        <v>10216</v>
      </c>
      <c r="B899" t="s">
        <v>1458</v>
      </c>
      <c r="C899">
        <v>899</v>
      </c>
      <c r="D899">
        <v>7500</v>
      </c>
      <c r="E899" t="s">
        <v>1387</v>
      </c>
      <c r="F899">
        <v>1</v>
      </c>
      <c r="G899">
        <v>2</v>
      </c>
      <c r="I899">
        <v>2</v>
      </c>
      <c r="J899">
        <v>11</v>
      </c>
    </row>
    <row r="900" spans="1:10" x14ac:dyDescent="0.25">
      <c r="A900">
        <v>10216</v>
      </c>
      <c r="B900" t="s">
        <v>1458</v>
      </c>
      <c r="C900">
        <v>900</v>
      </c>
      <c r="D900">
        <v>6264078411593</v>
      </c>
      <c r="E900" t="s">
        <v>1146</v>
      </c>
      <c r="F900">
        <v>3</v>
      </c>
      <c r="G900">
        <v>10</v>
      </c>
      <c r="I900">
        <v>30</v>
      </c>
      <c r="J900">
        <v>12</v>
      </c>
    </row>
    <row r="901" spans="1:10" x14ac:dyDescent="0.25">
      <c r="A901">
        <v>10216</v>
      </c>
      <c r="B901" t="s">
        <v>1458</v>
      </c>
      <c r="C901">
        <v>901</v>
      </c>
      <c r="D901">
        <v>6261178014334</v>
      </c>
      <c r="E901" t="s">
        <v>1096</v>
      </c>
      <c r="F901">
        <v>2</v>
      </c>
      <c r="G901">
        <v>4</v>
      </c>
      <c r="I901">
        <v>8</v>
      </c>
      <c r="J901">
        <v>13</v>
      </c>
    </row>
    <row r="902" spans="1:10" x14ac:dyDescent="0.25">
      <c r="A902">
        <v>10217</v>
      </c>
      <c r="B902" t="s">
        <v>1458</v>
      </c>
      <c r="C902">
        <v>902</v>
      </c>
      <c r="D902">
        <v>6260806400020</v>
      </c>
      <c r="E902" t="s">
        <v>754</v>
      </c>
      <c r="F902">
        <v>1</v>
      </c>
      <c r="G902">
        <v>50</v>
      </c>
      <c r="I902">
        <v>50</v>
      </c>
      <c r="J902">
        <v>7</v>
      </c>
    </row>
    <row r="903" spans="1:10" x14ac:dyDescent="0.25">
      <c r="A903">
        <v>10217</v>
      </c>
      <c r="B903" t="s">
        <v>1458</v>
      </c>
      <c r="C903">
        <v>903</v>
      </c>
      <c r="D903">
        <v>6264078411593</v>
      </c>
      <c r="E903" t="s">
        <v>1146</v>
      </c>
      <c r="F903">
        <v>2</v>
      </c>
      <c r="G903">
        <v>10</v>
      </c>
      <c r="I903">
        <v>20</v>
      </c>
      <c r="J903">
        <v>8</v>
      </c>
    </row>
    <row r="904" spans="1:10" x14ac:dyDescent="0.25">
      <c r="A904">
        <v>10217</v>
      </c>
      <c r="B904" t="s">
        <v>1458</v>
      </c>
      <c r="C904">
        <v>904</v>
      </c>
      <c r="D904">
        <v>1100</v>
      </c>
      <c r="E904" t="s">
        <v>615</v>
      </c>
      <c r="F904">
        <v>12</v>
      </c>
      <c r="G904">
        <v>3</v>
      </c>
      <c r="I904">
        <v>36</v>
      </c>
      <c r="J904">
        <v>9</v>
      </c>
    </row>
    <row r="905" spans="1:10" x14ac:dyDescent="0.25">
      <c r="A905">
        <v>10218</v>
      </c>
      <c r="B905" t="s">
        <v>1458</v>
      </c>
      <c r="C905">
        <v>905</v>
      </c>
      <c r="D905">
        <v>6260575904309</v>
      </c>
      <c r="E905" t="s">
        <v>1098</v>
      </c>
      <c r="F905">
        <v>1</v>
      </c>
      <c r="G905">
        <v>10</v>
      </c>
      <c r="I905">
        <v>10</v>
      </c>
      <c r="J905">
        <v>7</v>
      </c>
    </row>
    <row r="906" spans="1:10" x14ac:dyDescent="0.25">
      <c r="A906">
        <v>10219</v>
      </c>
      <c r="B906" t="s">
        <v>1458</v>
      </c>
      <c r="C906">
        <v>906</v>
      </c>
      <c r="D906">
        <v>1169910018400000</v>
      </c>
      <c r="E906" t="s">
        <v>590</v>
      </c>
      <c r="F906">
        <v>1</v>
      </c>
      <c r="G906">
        <v>1</v>
      </c>
      <c r="I906">
        <v>1</v>
      </c>
      <c r="J906">
        <v>7</v>
      </c>
    </row>
    <row r="907" spans="1:10" x14ac:dyDescent="0.25">
      <c r="A907">
        <v>10219</v>
      </c>
      <c r="B907" t="s">
        <v>1458</v>
      </c>
      <c r="C907">
        <v>907</v>
      </c>
      <c r="D907">
        <v>6260474216800</v>
      </c>
      <c r="E907" t="s">
        <v>1245</v>
      </c>
      <c r="F907">
        <v>1</v>
      </c>
      <c r="G907">
        <v>5</v>
      </c>
      <c r="I907">
        <v>5</v>
      </c>
      <c r="J907">
        <v>8</v>
      </c>
    </row>
    <row r="908" spans="1:10" x14ac:dyDescent="0.25">
      <c r="A908">
        <v>10220</v>
      </c>
      <c r="B908" t="s">
        <v>1458</v>
      </c>
      <c r="C908">
        <v>908</v>
      </c>
      <c r="D908">
        <v>1300</v>
      </c>
      <c r="E908" t="s">
        <v>357</v>
      </c>
      <c r="F908">
        <v>3</v>
      </c>
      <c r="G908">
        <v>4.5</v>
      </c>
      <c r="I908">
        <v>13.5</v>
      </c>
      <c r="J908">
        <v>7</v>
      </c>
    </row>
    <row r="909" spans="1:10" x14ac:dyDescent="0.25">
      <c r="A909">
        <v>10220</v>
      </c>
      <c r="B909" t="s">
        <v>1458</v>
      </c>
      <c r="C909">
        <v>909</v>
      </c>
      <c r="D909">
        <v>6260806400068</v>
      </c>
      <c r="E909" t="s">
        <v>746</v>
      </c>
      <c r="F909">
        <v>1</v>
      </c>
      <c r="G909">
        <v>35</v>
      </c>
      <c r="I909">
        <v>35</v>
      </c>
      <c r="J909">
        <v>8</v>
      </c>
    </row>
    <row r="910" spans="1:10" x14ac:dyDescent="0.25">
      <c r="A910">
        <v>10221</v>
      </c>
      <c r="B910" t="s">
        <v>1458</v>
      </c>
      <c r="C910">
        <v>910</v>
      </c>
      <c r="D910">
        <v>6261149146088</v>
      </c>
      <c r="E910" t="s">
        <v>847</v>
      </c>
      <c r="F910">
        <v>1</v>
      </c>
      <c r="G910">
        <v>30</v>
      </c>
      <c r="I910">
        <v>30</v>
      </c>
      <c r="J910">
        <v>7</v>
      </c>
    </row>
    <row r="911" spans="1:10" x14ac:dyDescent="0.25">
      <c r="A911">
        <v>10221</v>
      </c>
      <c r="B911" t="s">
        <v>1458</v>
      </c>
      <c r="C911">
        <v>911</v>
      </c>
      <c r="D911">
        <v>6261847503244</v>
      </c>
      <c r="E911" t="s">
        <v>598</v>
      </c>
      <c r="F911">
        <v>1</v>
      </c>
      <c r="G911">
        <v>18</v>
      </c>
      <c r="I911">
        <v>18</v>
      </c>
      <c r="J911">
        <v>8</v>
      </c>
    </row>
    <row r="912" spans="1:10" x14ac:dyDescent="0.25">
      <c r="A912">
        <v>10221</v>
      </c>
      <c r="B912" t="s">
        <v>1458</v>
      </c>
      <c r="C912">
        <v>912</v>
      </c>
      <c r="D912">
        <v>6260575904309</v>
      </c>
      <c r="E912" t="s">
        <v>1098</v>
      </c>
      <c r="F912">
        <v>1</v>
      </c>
      <c r="G912">
        <v>10</v>
      </c>
      <c r="I912">
        <v>10</v>
      </c>
      <c r="J912">
        <v>9</v>
      </c>
    </row>
    <row r="913" spans="1:10" x14ac:dyDescent="0.25">
      <c r="A913">
        <v>10222</v>
      </c>
      <c r="B913" t="s">
        <v>1458</v>
      </c>
      <c r="C913">
        <v>913</v>
      </c>
      <c r="D913">
        <v>7400</v>
      </c>
      <c r="E913" t="s">
        <v>1385</v>
      </c>
      <c r="F913">
        <v>1</v>
      </c>
      <c r="G913">
        <v>6</v>
      </c>
      <c r="I913">
        <v>6</v>
      </c>
      <c r="J913">
        <v>7</v>
      </c>
    </row>
    <row r="914" spans="1:10" x14ac:dyDescent="0.25">
      <c r="A914">
        <v>10222</v>
      </c>
      <c r="B914" t="s">
        <v>1458</v>
      </c>
      <c r="C914">
        <v>914</v>
      </c>
      <c r="D914">
        <v>6261149024867</v>
      </c>
      <c r="E914" t="s">
        <v>1470</v>
      </c>
      <c r="F914">
        <v>1</v>
      </c>
      <c r="G914">
        <v>10</v>
      </c>
      <c r="I914">
        <v>10</v>
      </c>
      <c r="J914">
        <v>8</v>
      </c>
    </row>
    <row r="915" spans="1:10" x14ac:dyDescent="0.25">
      <c r="A915">
        <v>10222</v>
      </c>
      <c r="B915" t="s">
        <v>1458</v>
      </c>
      <c r="C915">
        <v>915</v>
      </c>
      <c r="D915">
        <v>6264078411616</v>
      </c>
      <c r="E915" t="s">
        <v>1153</v>
      </c>
      <c r="F915">
        <v>1</v>
      </c>
      <c r="G915">
        <v>10</v>
      </c>
      <c r="I915">
        <v>10</v>
      </c>
      <c r="J915">
        <v>9</v>
      </c>
    </row>
    <row r="916" spans="1:10" x14ac:dyDescent="0.25">
      <c r="A916">
        <v>10223</v>
      </c>
      <c r="B916" t="s">
        <v>1458</v>
      </c>
      <c r="C916">
        <v>916</v>
      </c>
      <c r="D916">
        <v>6260063298149</v>
      </c>
      <c r="E916" t="s">
        <v>1365</v>
      </c>
      <c r="F916">
        <v>1</v>
      </c>
      <c r="G916">
        <v>15</v>
      </c>
      <c r="I916">
        <v>15</v>
      </c>
      <c r="J916">
        <v>7</v>
      </c>
    </row>
    <row r="917" spans="1:10" x14ac:dyDescent="0.25">
      <c r="A917">
        <v>10223</v>
      </c>
      <c r="B917" t="s">
        <v>1458</v>
      </c>
      <c r="C917">
        <v>917</v>
      </c>
      <c r="D917">
        <v>6260063298149</v>
      </c>
      <c r="E917" t="s">
        <v>1365</v>
      </c>
      <c r="F917">
        <v>1</v>
      </c>
      <c r="G917">
        <v>15</v>
      </c>
      <c r="I917">
        <v>15</v>
      </c>
      <c r="J917">
        <v>8</v>
      </c>
    </row>
    <row r="918" spans="1:10" x14ac:dyDescent="0.25">
      <c r="A918">
        <v>10223</v>
      </c>
      <c r="B918" t="s">
        <v>1458</v>
      </c>
      <c r="C918">
        <v>918</v>
      </c>
      <c r="D918">
        <v>6262036200272</v>
      </c>
      <c r="E918" t="s">
        <v>1418</v>
      </c>
      <c r="F918">
        <v>3</v>
      </c>
      <c r="G918">
        <v>10</v>
      </c>
      <c r="I918">
        <v>30</v>
      </c>
      <c r="J918">
        <v>9</v>
      </c>
    </row>
    <row r="919" spans="1:10" x14ac:dyDescent="0.25">
      <c r="A919">
        <v>10223</v>
      </c>
      <c r="B919" t="s">
        <v>1458</v>
      </c>
      <c r="C919">
        <v>919</v>
      </c>
      <c r="D919">
        <v>6264078411616</v>
      </c>
      <c r="E919" t="s">
        <v>1153</v>
      </c>
      <c r="F919">
        <v>1</v>
      </c>
      <c r="G919">
        <v>10</v>
      </c>
      <c r="I919">
        <v>10</v>
      </c>
      <c r="J919">
        <v>10</v>
      </c>
    </row>
    <row r="920" spans="1:10" x14ac:dyDescent="0.25">
      <c r="A920">
        <v>10224</v>
      </c>
      <c r="B920" t="s">
        <v>1458</v>
      </c>
      <c r="C920">
        <v>920</v>
      </c>
      <c r="D920">
        <v>5100</v>
      </c>
      <c r="E920" t="s">
        <v>1221</v>
      </c>
      <c r="F920">
        <v>4</v>
      </c>
      <c r="G920">
        <v>2</v>
      </c>
      <c r="I920">
        <v>8</v>
      </c>
      <c r="J920">
        <v>7</v>
      </c>
    </row>
    <row r="921" spans="1:10" x14ac:dyDescent="0.25">
      <c r="A921">
        <v>10224</v>
      </c>
      <c r="B921" t="s">
        <v>1458</v>
      </c>
      <c r="C921">
        <v>921</v>
      </c>
      <c r="D921">
        <v>6269988500269</v>
      </c>
      <c r="E921" t="s">
        <v>852</v>
      </c>
      <c r="F921">
        <v>1</v>
      </c>
      <c r="G921">
        <v>12</v>
      </c>
      <c r="I921">
        <v>12</v>
      </c>
      <c r="J921">
        <v>8</v>
      </c>
    </row>
    <row r="922" spans="1:10" x14ac:dyDescent="0.25">
      <c r="A922">
        <v>10224</v>
      </c>
      <c r="B922" t="s">
        <v>1458</v>
      </c>
      <c r="C922">
        <v>922</v>
      </c>
      <c r="D922">
        <v>6260501000440</v>
      </c>
      <c r="E922" t="s">
        <v>641</v>
      </c>
      <c r="F922">
        <v>1</v>
      </c>
      <c r="G922">
        <v>10</v>
      </c>
      <c r="I922">
        <v>10</v>
      </c>
      <c r="J922">
        <v>9</v>
      </c>
    </row>
    <row r="923" spans="1:10" x14ac:dyDescent="0.25">
      <c r="A923">
        <v>10225</v>
      </c>
      <c r="B923" t="s">
        <v>1458</v>
      </c>
      <c r="C923">
        <v>923</v>
      </c>
      <c r="D923">
        <v>6264078410992</v>
      </c>
      <c r="E923" t="s">
        <v>1362</v>
      </c>
      <c r="F923">
        <v>2</v>
      </c>
      <c r="G923">
        <v>15</v>
      </c>
      <c r="I923">
        <v>30</v>
      </c>
      <c r="J923">
        <v>7</v>
      </c>
    </row>
    <row r="924" spans="1:10" x14ac:dyDescent="0.25">
      <c r="A924">
        <v>10225</v>
      </c>
      <c r="B924" t="s">
        <v>1458</v>
      </c>
      <c r="C924">
        <v>924</v>
      </c>
      <c r="D924">
        <v>6264078402324</v>
      </c>
      <c r="E924" t="s">
        <v>1157</v>
      </c>
      <c r="F924">
        <v>2</v>
      </c>
      <c r="G924">
        <v>10</v>
      </c>
      <c r="I924">
        <v>20</v>
      </c>
      <c r="J924">
        <v>8</v>
      </c>
    </row>
    <row r="925" spans="1:10" x14ac:dyDescent="0.25">
      <c r="A925">
        <v>10225</v>
      </c>
      <c r="B925" t="s">
        <v>1458</v>
      </c>
      <c r="C925">
        <v>925</v>
      </c>
      <c r="D925">
        <v>6260063202139</v>
      </c>
      <c r="E925" t="s">
        <v>1361</v>
      </c>
      <c r="F925">
        <v>2</v>
      </c>
      <c r="G925">
        <v>15</v>
      </c>
      <c r="I925">
        <v>30</v>
      </c>
      <c r="J925">
        <v>9</v>
      </c>
    </row>
    <row r="926" spans="1:10" x14ac:dyDescent="0.25">
      <c r="A926">
        <v>10225</v>
      </c>
      <c r="B926" t="s">
        <v>1458</v>
      </c>
      <c r="C926">
        <v>926</v>
      </c>
      <c r="D926">
        <v>6264078408005</v>
      </c>
      <c r="E926" t="s">
        <v>244</v>
      </c>
      <c r="F926">
        <v>1</v>
      </c>
      <c r="G926">
        <v>10</v>
      </c>
      <c r="I926">
        <v>10</v>
      </c>
      <c r="J926">
        <v>10</v>
      </c>
    </row>
    <row r="927" spans="1:10" x14ac:dyDescent="0.25">
      <c r="A927">
        <v>10225</v>
      </c>
      <c r="B927" t="s">
        <v>1458</v>
      </c>
      <c r="C927">
        <v>927</v>
      </c>
      <c r="D927">
        <v>6260022324025</v>
      </c>
      <c r="E927" t="s">
        <v>740</v>
      </c>
      <c r="F927">
        <v>1</v>
      </c>
      <c r="G927">
        <v>35</v>
      </c>
      <c r="I927">
        <v>35</v>
      </c>
      <c r="J927">
        <v>11</v>
      </c>
    </row>
    <row r="928" spans="1:10" x14ac:dyDescent="0.25">
      <c r="A928">
        <v>10226</v>
      </c>
      <c r="B928" t="s">
        <v>1458</v>
      </c>
      <c r="C928">
        <v>928</v>
      </c>
      <c r="D928">
        <v>6262690600074</v>
      </c>
      <c r="E928" t="s">
        <v>1200</v>
      </c>
      <c r="F928">
        <v>1</v>
      </c>
      <c r="G928">
        <v>6</v>
      </c>
      <c r="I928">
        <v>6</v>
      </c>
      <c r="J928">
        <v>7</v>
      </c>
    </row>
    <row r="929" spans="1:10" x14ac:dyDescent="0.25">
      <c r="A929">
        <v>10226</v>
      </c>
      <c r="B929" t="s">
        <v>1458</v>
      </c>
      <c r="C929">
        <v>929</v>
      </c>
      <c r="D929">
        <v>6265663103565</v>
      </c>
      <c r="E929" t="s">
        <v>329</v>
      </c>
      <c r="F929">
        <v>1</v>
      </c>
      <c r="G929">
        <v>5</v>
      </c>
      <c r="I929">
        <v>5</v>
      </c>
      <c r="J929">
        <v>8</v>
      </c>
    </row>
    <row r="930" spans="1:10" x14ac:dyDescent="0.25">
      <c r="A930">
        <v>10227</v>
      </c>
      <c r="B930" t="s">
        <v>1458</v>
      </c>
      <c r="C930">
        <v>930</v>
      </c>
      <c r="D930">
        <v>6262003401961</v>
      </c>
      <c r="E930" t="s">
        <v>818</v>
      </c>
      <c r="F930">
        <v>1</v>
      </c>
      <c r="G930">
        <v>55</v>
      </c>
      <c r="I930">
        <v>55</v>
      </c>
      <c r="J930">
        <v>7</v>
      </c>
    </row>
    <row r="931" spans="1:10" x14ac:dyDescent="0.25">
      <c r="A931">
        <v>10227</v>
      </c>
      <c r="B931" t="s">
        <v>1458</v>
      </c>
      <c r="C931">
        <v>931</v>
      </c>
      <c r="D931">
        <v>6260522300031</v>
      </c>
      <c r="E931" t="s">
        <v>1368</v>
      </c>
      <c r="F931">
        <v>7</v>
      </c>
      <c r="G931">
        <v>10</v>
      </c>
      <c r="I931">
        <v>70</v>
      </c>
      <c r="J931">
        <v>8</v>
      </c>
    </row>
    <row r="932" spans="1:10" x14ac:dyDescent="0.25">
      <c r="A932">
        <v>10227</v>
      </c>
      <c r="B932" t="s">
        <v>1458</v>
      </c>
      <c r="C932">
        <v>932</v>
      </c>
      <c r="D932">
        <v>6260063295841</v>
      </c>
      <c r="E932" t="s">
        <v>1366</v>
      </c>
      <c r="F932">
        <v>1</v>
      </c>
      <c r="G932">
        <v>10</v>
      </c>
      <c r="I932">
        <v>10</v>
      </c>
      <c r="J932">
        <v>9</v>
      </c>
    </row>
    <row r="933" spans="1:10" x14ac:dyDescent="0.25">
      <c r="A933">
        <v>10228</v>
      </c>
      <c r="B933" t="s">
        <v>1458</v>
      </c>
      <c r="C933">
        <v>933</v>
      </c>
      <c r="D933">
        <v>6265826100134</v>
      </c>
      <c r="E933" t="s">
        <v>814</v>
      </c>
      <c r="F933">
        <v>1</v>
      </c>
      <c r="G933">
        <v>21</v>
      </c>
      <c r="I933">
        <v>21</v>
      </c>
      <c r="J933">
        <v>7</v>
      </c>
    </row>
    <row r="934" spans="1:10" x14ac:dyDescent="0.25">
      <c r="A934">
        <v>10229</v>
      </c>
      <c r="B934" t="s">
        <v>1458</v>
      </c>
      <c r="C934">
        <v>934</v>
      </c>
      <c r="D934">
        <v>6260308310278</v>
      </c>
      <c r="E934" t="s">
        <v>778</v>
      </c>
      <c r="F934">
        <v>1</v>
      </c>
      <c r="G934">
        <v>80</v>
      </c>
      <c r="I934">
        <v>80</v>
      </c>
      <c r="J934">
        <v>7</v>
      </c>
    </row>
    <row r="935" spans="1:10" x14ac:dyDescent="0.25">
      <c r="A935">
        <v>10229</v>
      </c>
      <c r="B935" t="s">
        <v>1458</v>
      </c>
      <c r="C935">
        <v>935</v>
      </c>
      <c r="D935">
        <v>6260806400020</v>
      </c>
      <c r="E935" t="s">
        <v>754</v>
      </c>
      <c r="F935">
        <v>1</v>
      </c>
      <c r="G935">
        <v>50</v>
      </c>
      <c r="I935">
        <v>50</v>
      </c>
      <c r="J935">
        <v>8</v>
      </c>
    </row>
    <row r="936" spans="1:10" x14ac:dyDescent="0.25">
      <c r="A936">
        <v>10229</v>
      </c>
      <c r="B936" t="s">
        <v>1458</v>
      </c>
      <c r="C936">
        <v>936</v>
      </c>
      <c r="D936">
        <v>6260806400068</v>
      </c>
      <c r="E936" t="s">
        <v>746</v>
      </c>
      <c r="F936">
        <v>1</v>
      </c>
      <c r="G936">
        <v>35</v>
      </c>
      <c r="I936">
        <v>35</v>
      </c>
      <c r="J936">
        <v>9</v>
      </c>
    </row>
    <row r="937" spans="1:10" x14ac:dyDescent="0.25">
      <c r="A937">
        <v>10230</v>
      </c>
      <c r="B937" t="s">
        <v>1458</v>
      </c>
      <c r="C937">
        <v>937</v>
      </c>
      <c r="D937">
        <v>6260308301467</v>
      </c>
      <c r="E937" t="s">
        <v>948</v>
      </c>
      <c r="F937">
        <v>1</v>
      </c>
      <c r="G937">
        <v>60</v>
      </c>
      <c r="I937">
        <v>60</v>
      </c>
      <c r="J937">
        <v>7</v>
      </c>
    </row>
    <row r="938" spans="1:10" x14ac:dyDescent="0.25">
      <c r="A938">
        <v>10231</v>
      </c>
      <c r="B938" t="s">
        <v>1458</v>
      </c>
      <c r="C938">
        <v>938</v>
      </c>
      <c r="D938">
        <v>6264078409156</v>
      </c>
      <c r="E938" t="s">
        <v>1374</v>
      </c>
      <c r="F938">
        <v>1</v>
      </c>
      <c r="G938">
        <v>10</v>
      </c>
      <c r="I938">
        <v>10</v>
      </c>
      <c r="J938">
        <v>7</v>
      </c>
    </row>
    <row r="939" spans="1:10" x14ac:dyDescent="0.25">
      <c r="A939">
        <v>10231</v>
      </c>
      <c r="B939" t="s">
        <v>1458</v>
      </c>
      <c r="C939">
        <v>939</v>
      </c>
      <c r="D939">
        <v>6261149065679</v>
      </c>
      <c r="E939" t="s">
        <v>1144</v>
      </c>
      <c r="F939">
        <v>1</v>
      </c>
      <c r="G939">
        <v>5</v>
      </c>
      <c r="I939">
        <v>5</v>
      </c>
      <c r="J939">
        <v>8</v>
      </c>
    </row>
    <row r="940" spans="1:10" x14ac:dyDescent="0.25">
      <c r="A940">
        <v>10231</v>
      </c>
      <c r="B940" t="s">
        <v>1458</v>
      </c>
      <c r="C940">
        <v>940</v>
      </c>
      <c r="D940">
        <v>5200</v>
      </c>
      <c r="E940" t="s">
        <v>866</v>
      </c>
      <c r="F940">
        <v>1</v>
      </c>
      <c r="G940">
        <v>1</v>
      </c>
      <c r="I940">
        <v>1</v>
      </c>
      <c r="J940">
        <v>9</v>
      </c>
    </row>
    <row r="941" spans="1:10" x14ac:dyDescent="0.25">
      <c r="A941">
        <v>10232</v>
      </c>
      <c r="B941" t="s">
        <v>1458</v>
      </c>
      <c r="C941">
        <v>941</v>
      </c>
      <c r="D941">
        <v>6261106001399</v>
      </c>
      <c r="E941" t="s">
        <v>941</v>
      </c>
      <c r="F941">
        <v>2</v>
      </c>
      <c r="G941">
        <v>80</v>
      </c>
      <c r="I941">
        <v>160</v>
      </c>
      <c r="J941">
        <v>7</v>
      </c>
    </row>
    <row r="942" spans="1:10" x14ac:dyDescent="0.25">
      <c r="A942">
        <v>10233</v>
      </c>
      <c r="B942" t="s">
        <v>1458</v>
      </c>
      <c r="C942">
        <v>942</v>
      </c>
      <c r="D942">
        <v>6269948100195</v>
      </c>
      <c r="E942" t="s">
        <v>1478</v>
      </c>
      <c r="F942">
        <v>1</v>
      </c>
      <c r="G942">
        <v>12.5</v>
      </c>
      <c r="I942">
        <v>12.5</v>
      </c>
      <c r="J942">
        <v>7</v>
      </c>
    </row>
    <row r="943" spans="1:10" x14ac:dyDescent="0.25">
      <c r="A943">
        <v>10233</v>
      </c>
      <c r="B943" t="s">
        <v>1458</v>
      </c>
      <c r="C943">
        <v>943</v>
      </c>
      <c r="D943">
        <v>6265663104715</v>
      </c>
      <c r="E943" t="s">
        <v>1493</v>
      </c>
      <c r="F943">
        <v>2</v>
      </c>
      <c r="G943">
        <v>12</v>
      </c>
      <c r="I943">
        <v>24</v>
      </c>
      <c r="J943">
        <v>8</v>
      </c>
    </row>
    <row r="944" spans="1:10" x14ac:dyDescent="0.25">
      <c r="A944">
        <v>10233</v>
      </c>
      <c r="B944" t="s">
        <v>1458</v>
      </c>
      <c r="C944">
        <v>944</v>
      </c>
      <c r="D944">
        <v>6261149065136</v>
      </c>
      <c r="E944" t="s">
        <v>1142</v>
      </c>
      <c r="F944">
        <v>1</v>
      </c>
      <c r="G944">
        <v>5</v>
      </c>
      <c r="I944">
        <v>5</v>
      </c>
      <c r="J944">
        <v>9</v>
      </c>
    </row>
    <row r="945" spans="1:10" x14ac:dyDescent="0.25">
      <c r="A945">
        <v>10233</v>
      </c>
      <c r="B945" t="s">
        <v>1458</v>
      </c>
      <c r="C945">
        <v>945</v>
      </c>
      <c r="D945">
        <v>6261149065679</v>
      </c>
      <c r="E945" t="s">
        <v>1144</v>
      </c>
      <c r="F945">
        <v>1</v>
      </c>
      <c r="G945">
        <v>5</v>
      </c>
      <c r="I945">
        <v>5</v>
      </c>
      <c r="J945">
        <v>10</v>
      </c>
    </row>
    <row r="946" spans="1:10" x14ac:dyDescent="0.25">
      <c r="A946">
        <v>10234</v>
      </c>
      <c r="B946" t="s">
        <v>1458</v>
      </c>
      <c r="C946">
        <v>946</v>
      </c>
      <c r="D946">
        <v>6260063214255</v>
      </c>
      <c r="E946" t="s">
        <v>1376</v>
      </c>
      <c r="F946">
        <v>4</v>
      </c>
      <c r="G946">
        <v>10</v>
      </c>
      <c r="I946">
        <v>40</v>
      </c>
      <c r="J946">
        <v>7</v>
      </c>
    </row>
    <row r="947" spans="1:10" x14ac:dyDescent="0.25">
      <c r="A947">
        <v>10234</v>
      </c>
      <c r="B947" t="s">
        <v>1458</v>
      </c>
      <c r="C947">
        <v>947</v>
      </c>
      <c r="D947">
        <v>6261204000133</v>
      </c>
      <c r="E947" t="s">
        <v>262</v>
      </c>
      <c r="F947">
        <v>1</v>
      </c>
      <c r="G947">
        <v>16</v>
      </c>
      <c r="I947">
        <v>16</v>
      </c>
      <c r="J947">
        <v>8</v>
      </c>
    </row>
    <row r="948" spans="1:10" x14ac:dyDescent="0.25">
      <c r="A948">
        <v>10234</v>
      </c>
      <c r="B948" t="s">
        <v>1458</v>
      </c>
      <c r="C948">
        <v>948</v>
      </c>
      <c r="D948">
        <v>1300</v>
      </c>
      <c r="E948" t="s">
        <v>357</v>
      </c>
      <c r="F948">
        <v>10</v>
      </c>
      <c r="G948">
        <v>4.5</v>
      </c>
      <c r="I948">
        <v>45</v>
      </c>
      <c r="J948">
        <v>9</v>
      </c>
    </row>
    <row r="949" spans="1:10" x14ac:dyDescent="0.25">
      <c r="A949">
        <v>10235</v>
      </c>
      <c r="B949" t="s">
        <v>1458</v>
      </c>
      <c r="C949">
        <v>949</v>
      </c>
      <c r="D949">
        <v>6261845300173</v>
      </c>
      <c r="E949" t="s">
        <v>736</v>
      </c>
      <c r="F949">
        <v>1</v>
      </c>
      <c r="G949">
        <v>35</v>
      </c>
      <c r="I949">
        <v>35</v>
      </c>
      <c r="J949">
        <v>7</v>
      </c>
    </row>
    <row r="950" spans="1:10" x14ac:dyDescent="0.25">
      <c r="A950">
        <v>10235</v>
      </c>
      <c r="B950" t="s">
        <v>1458</v>
      </c>
      <c r="C950">
        <v>950</v>
      </c>
      <c r="D950">
        <v>6260055843036</v>
      </c>
      <c r="E950" t="s">
        <v>736</v>
      </c>
      <c r="F950">
        <v>2</v>
      </c>
      <c r="G950">
        <v>40</v>
      </c>
      <c r="I950">
        <v>80</v>
      </c>
      <c r="J950">
        <v>8</v>
      </c>
    </row>
    <row r="951" spans="1:10" x14ac:dyDescent="0.25">
      <c r="A951">
        <v>10235</v>
      </c>
      <c r="B951" t="s">
        <v>1458</v>
      </c>
      <c r="C951">
        <v>951</v>
      </c>
      <c r="D951">
        <v>6260806400020</v>
      </c>
      <c r="E951" t="s">
        <v>754</v>
      </c>
      <c r="F951">
        <v>1</v>
      </c>
      <c r="G951">
        <v>50</v>
      </c>
      <c r="I951">
        <v>50</v>
      </c>
      <c r="J951">
        <v>9</v>
      </c>
    </row>
    <row r="952" spans="1:10" x14ac:dyDescent="0.25">
      <c r="A952">
        <v>10236</v>
      </c>
      <c r="B952" t="s">
        <v>1458</v>
      </c>
      <c r="C952">
        <v>952</v>
      </c>
      <c r="D952">
        <v>1300</v>
      </c>
      <c r="E952" t="s">
        <v>357</v>
      </c>
      <c r="F952">
        <v>10</v>
      </c>
      <c r="G952">
        <v>4.5</v>
      </c>
      <c r="I952">
        <v>45</v>
      </c>
      <c r="J952">
        <v>7</v>
      </c>
    </row>
    <row r="953" spans="1:10" x14ac:dyDescent="0.25">
      <c r="A953">
        <v>10237</v>
      </c>
      <c r="B953" t="s">
        <v>1458</v>
      </c>
      <c r="C953">
        <v>953</v>
      </c>
      <c r="D953">
        <v>6264078410992</v>
      </c>
      <c r="E953" t="s">
        <v>1362</v>
      </c>
      <c r="F953">
        <v>2</v>
      </c>
      <c r="G953">
        <v>15</v>
      </c>
      <c r="I953">
        <v>30</v>
      </c>
      <c r="J953">
        <v>7</v>
      </c>
    </row>
    <row r="954" spans="1:10" x14ac:dyDescent="0.25">
      <c r="A954">
        <v>10237</v>
      </c>
      <c r="B954" t="s">
        <v>1458</v>
      </c>
      <c r="C954">
        <v>954</v>
      </c>
      <c r="D954">
        <v>162300017650160</v>
      </c>
      <c r="E954" t="s">
        <v>1119</v>
      </c>
      <c r="F954">
        <v>1</v>
      </c>
      <c r="G954">
        <v>4</v>
      </c>
      <c r="I954">
        <v>4</v>
      </c>
      <c r="J954">
        <v>8</v>
      </c>
    </row>
    <row r="955" spans="1:10" x14ac:dyDescent="0.25">
      <c r="A955">
        <v>10237</v>
      </c>
      <c r="B955" t="s">
        <v>1458</v>
      </c>
      <c r="C955">
        <v>955</v>
      </c>
      <c r="D955">
        <v>6260170900522</v>
      </c>
      <c r="E955" t="s">
        <v>861</v>
      </c>
      <c r="F955">
        <v>1</v>
      </c>
      <c r="G955">
        <v>6</v>
      </c>
      <c r="I955">
        <v>6</v>
      </c>
      <c r="J955">
        <v>9</v>
      </c>
    </row>
    <row r="956" spans="1:10" x14ac:dyDescent="0.25">
      <c r="A956">
        <v>10237</v>
      </c>
      <c r="B956" t="s">
        <v>1458</v>
      </c>
      <c r="C956">
        <v>956</v>
      </c>
      <c r="D956">
        <v>6260501000440</v>
      </c>
      <c r="E956" t="s">
        <v>641</v>
      </c>
      <c r="F956">
        <v>1</v>
      </c>
      <c r="G956">
        <v>10</v>
      </c>
      <c r="I956">
        <v>10</v>
      </c>
      <c r="J956">
        <v>10</v>
      </c>
    </row>
    <row r="957" spans="1:10" x14ac:dyDescent="0.25">
      <c r="A957">
        <v>10237</v>
      </c>
      <c r="B957" t="s">
        <v>1458</v>
      </c>
      <c r="C957">
        <v>957</v>
      </c>
      <c r="D957">
        <v>5100</v>
      </c>
      <c r="E957" t="s">
        <v>1221</v>
      </c>
      <c r="F957">
        <v>2</v>
      </c>
      <c r="G957">
        <v>2</v>
      </c>
      <c r="I957">
        <v>4</v>
      </c>
      <c r="J957">
        <v>11</v>
      </c>
    </row>
    <row r="958" spans="1:10" x14ac:dyDescent="0.25">
      <c r="A958">
        <v>10237</v>
      </c>
      <c r="B958" t="s">
        <v>1458</v>
      </c>
      <c r="C958">
        <v>958</v>
      </c>
      <c r="D958">
        <v>5300</v>
      </c>
      <c r="E958" t="s">
        <v>1208</v>
      </c>
      <c r="F958">
        <v>5</v>
      </c>
      <c r="G958">
        <v>2</v>
      </c>
      <c r="I958">
        <v>10</v>
      </c>
      <c r="J958">
        <v>12</v>
      </c>
    </row>
  </sheetData>
  <mergeCells count="3">
    <mergeCell ref="A1:J1"/>
    <mergeCell ref="Q1:W1"/>
    <mergeCell ref="N1:O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ustomers"/>
  <dimension ref="A1:M31"/>
  <sheetViews>
    <sheetView workbookViewId="0">
      <selection activeCell="G3" sqref="G3:G20"/>
    </sheetView>
  </sheetViews>
  <sheetFormatPr defaultRowHeight="15" x14ac:dyDescent="0.25"/>
  <cols>
    <col min="2" max="2" width="15.42578125" bestFit="1" customWidth="1"/>
    <col min="3" max="3" width="11.85546875" bestFit="1" customWidth="1"/>
    <col min="7" max="7" width="16.7109375" bestFit="1" customWidth="1"/>
  </cols>
  <sheetData>
    <row r="1" spans="1:13" x14ac:dyDescent="0.25">
      <c r="A1" s="121" t="s">
        <v>52</v>
      </c>
      <c r="B1" s="121"/>
      <c r="C1" s="121"/>
      <c r="G1" s="10" t="s">
        <v>62</v>
      </c>
    </row>
    <row r="2" spans="1:13" x14ac:dyDescent="0.25">
      <c r="A2" s="8" t="s">
        <v>53</v>
      </c>
      <c r="B2" s="8" t="s">
        <v>54</v>
      </c>
      <c r="C2" s="8"/>
      <c r="G2" s="5" t="s">
        <v>54</v>
      </c>
    </row>
    <row r="3" spans="1:13" x14ac:dyDescent="0.25">
      <c r="A3" s="6">
        <v>1</v>
      </c>
      <c r="B3" t="s">
        <v>29</v>
      </c>
      <c r="G3">
        <v>2145</v>
      </c>
    </row>
    <row r="4" spans="1:13" x14ac:dyDescent="0.25">
      <c r="A4" s="6">
        <v>2</v>
      </c>
      <c r="B4" t="s">
        <v>63</v>
      </c>
      <c r="G4">
        <v>6260543505620</v>
      </c>
      <c r="M4">
        <v>6260543505620</v>
      </c>
    </row>
    <row r="5" spans="1:13" x14ac:dyDescent="0.25">
      <c r="A5" s="6">
        <v>3</v>
      </c>
      <c r="B5" t="s">
        <v>64</v>
      </c>
      <c r="G5">
        <v>6260575900769</v>
      </c>
      <c r="M5">
        <v>6260575900769</v>
      </c>
    </row>
    <row r="6" spans="1:13" x14ac:dyDescent="0.25">
      <c r="A6" s="6">
        <v>4</v>
      </c>
      <c r="B6" t="s">
        <v>177</v>
      </c>
      <c r="G6" t="s">
        <v>64</v>
      </c>
      <c r="M6" t="s">
        <v>64</v>
      </c>
    </row>
    <row r="7" spans="1:13" x14ac:dyDescent="0.25">
      <c r="A7" s="6">
        <v>5</v>
      </c>
      <c r="B7">
        <v>6260575900769</v>
      </c>
      <c r="G7" t="s">
        <v>29</v>
      </c>
      <c r="M7" t="s">
        <v>29</v>
      </c>
    </row>
    <row r="8" spans="1:13" x14ac:dyDescent="0.25">
      <c r="A8" s="6">
        <v>6</v>
      </c>
      <c r="B8">
        <v>2145</v>
      </c>
      <c r="G8" t="s">
        <v>177</v>
      </c>
      <c r="M8" t="s">
        <v>177</v>
      </c>
    </row>
    <row r="9" spans="1:13" x14ac:dyDescent="0.25">
      <c r="A9" s="6">
        <v>7</v>
      </c>
      <c r="B9" t="s">
        <v>1484</v>
      </c>
      <c r="G9" t="s">
        <v>63</v>
      </c>
      <c r="M9" t="s">
        <v>63</v>
      </c>
    </row>
    <row r="10" spans="1:13" x14ac:dyDescent="0.25">
      <c r="A10" s="6">
        <v>8</v>
      </c>
      <c r="B10" t="s">
        <v>1485</v>
      </c>
      <c r="G10" t="s">
        <v>1484</v>
      </c>
      <c r="M10" t="s">
        <v>1484</v>
      </c>
    </row>
    <row r="11" spans="1:13" x14ac:dyDescent="0.25">
      <c r="A11" s="6">
        <v>9</v>
      </c>
      <c r="B11" t="s">
        <v>1487</v>
      </c>
      <c r="G11" t="s">
        <v>1515</v>
      </c>
      <c r="M11" t="s">
        <v>1515</v>
      </c>
    </row>
    <row r="12" spans="1:13" x14ac:dyDescent="0.25">
      <c r="A12" s="6">
        <v>10</v>
      </c>
      <c r="B12" t="s">
        <v>1488</v>
      </c>
      <c r="G12" t="s">
        <v>1489</v>
      </c>
      <c r="M12" t="s">
        <v>1489</v>
      </c>
    </row>
    <row r="13" spans="1:13" x14ac:dyDescent="0.25">
      <c r="A13" s="6">
        <v>11</v>
      </c>
      <c r="B13" t="s">
        <v>1489</v>
      </c>
      <c r="G13" t="s">
        <v>1513</v>
      </c>
      <c r="M13" t="s">
        <v>1513</v>
      </c>
    </row>
    <row r="14" spans="1:13" x14ac:dyDescent="0.25">
      <c r="A14" s="6">
        <v>12</v>
      </c>
      <c r="B14" t="s">
        <v>1490</v>
      </c>
      <c r="G14" t="s">
        <v>1488</v>
      </c>
      <c r="M14" t="s">
        <v>1488</v>
      </c>
    </row>
    <row r="15" spans="1:13" x14ac:dyDescent="0.25">
      <c r="A15" s="6">
        <v>13</v>
      </c>
      <c r="B15" t="s">
        <v>1502</v>
      </c>
      <c r="G15" t="s">
        <v>1487</v>
      </c>
      <c r="M15" t="s">
        <v>1487</v>
      </c>
    </row>
    <row r="16" spans="1:13" x14ac:dyDescent="0.25">
      <c r="A16" s="6">
        <v>14</v>
      </c>
      <c r="B16" t="s">
        <v>1513</v>
      </c>
      <c r="G16" t="s">
        <v>1514</v>
      </c>
      <c r="M16" t="s">
        <v>1514</v>
      </c>
    </row>
    <row r="17" spans="1:13" x14ac:dyDescent="0.25">
      <c r="A17" s="6">
        <v>15</v>
      </c>
      <c r="B17" t="s">
        <v>1514</v>
      </c>
      <c r="G17" t="s">
        <v>1490</v>
      </c>
      <c r="M17" t="s">
        <v>1490</v>
      </c>
    </row>
    <row r="18" spans="1:13" x14ac:dyDescent="0.25">
      <c r="A18" s="6">
        <v>16</v>
      </c>
      <c r="B18" t="s">
        <v>1515</v>
      </c>
      <c r="G18" t="s">
        <v>1502</v>
      </c>
      <c r="M18" t="s">
        <v>1502</v>
      </c>
    </row>
    <row r="19" spans="1:13" x14ac:dyDescent="0.25">
      <c r="A19" s="6">
        <v>17</v>
      </c>
      <c r="B19" t="s">
        <v>1516</v>
      </c>
      <c r="G19" t="s">
        <v>1516</v>
      </c>
      <c r="M19" t="s">
        <v>1516</v>
      </c>
    </row>
    <row r="20" spans="1:13" x14ac:dyDescent="0.25">
      <c r="A20" s="6">
        <v>18</v>
      </c>
      <c r="B20">
        <v>6260543505620</v>
      </c>
      <c r="G20" t="s">
        <v>1485</v>
      </c>
      <c r="M20" t="s">
        <v>1485</v>
      </c>
    </row>
    <row r="21" spans="1:13" x14ac:dyDescent="0.25">
      <c r="A21" s="6">
        <v>19</v>
      </c>
      <c r="B21" t="s">
        <v>1517</v>
      </c>
    </row>
    <row r="22" spans="1:13" x14ac:dyDescent="0.25">
      <c r="A22" s="6"/>
    </row>
    <row r="23" spans="1:13" x14ac:dyDescent="0.25">
      <c r="A23" s="6"/>
    </row>
    <row r="24" spans="1:13" x14ac:dyDescent="0.25">
      <c r="A24" s="6"/>
    </row>
    <row r="25" spans="1:13" x14ac:dyDescent="0.25">
      <c r="A25" s="6"/>
    </row>
    <row r="26" spans="1:13" x14ac:dyDescent="0.25">
      <c r="A26" s="6"/>
    </row>
    <row r="27" spans="1:13" x14ac:dyDescent="0.25">
      <c r="A27" s="6"/>
    </row>
    <row r="28" spans="1:13" x14ac:dyDescent="0.25">
      <c r="A28" s="6"/>
    </row>
    <row r="29" spans="1:13" x14ac:dyDescent="0.25">
      <c r="A29" s="6"/>
    </row>
    <row r="30" spans="1:13" x14ac:dyDescent="0.25">
      <c r="A30" s="6"/>
    </row>
    <row r="31" spans="1:13" x14ac:dyDescent="0.25">
      <c r="A31" s="6"/>
    </row>
  </sheetData>
  <sortState ref="G3:G20">
    <sortCondition ref="G3"/>
  </sortState>
  <mergeCells count="1">
    <mergeCell ref="A1:C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endors"/>
  <dimension ref="A1:G39"/>
  <sheetViews>
    <sheetView workbookViewId="0">
      <selection activeCell="G3" sqref="G3:G8"/>
    </sheetView>
  </sheetViews>
  <sheetFormatPr defaultRowHeight="15" x14ac:dyDescent="0.25"/>
  <cols>
    <col min="2" max="2" width="18.85546875" bestFit="1" customWidth="1"/>
    <col min="3" max="3" width="14.85546875" bestFit="1" customWidth="1"/>
    <col min="7" max="7" width="18.85546875" bestFit="1" customWidth="1"/>
  </cols>
  <sheetData>
    <row r="1" spans="1:7" x14ac:dyDescent="0.25">
      <c r="A1" s="122" t="s">
        <v>55</v>
      </c>
      <c r="B1" s="122"/>
      <c r="C1" s="122"/>
      <c r="G1" s="11" t="s">
        <v>61</v>
      </c>
    </row>
    <row r="2" spans="1:7" x14ac:dyDescent="0.25">
      <c r="A2" s="9" t="s">
        <v>56</v>
      </c>
      <c r="B2" s="9" t="s">
        <v>57</v>
      </c>
      <c r="C2" s="9"/>
      <c r="G2" s="9" t="s">
        <v>57</v>
      </c>
    </row>
    <row r="3" spans="1:7" x14ac:dyDescent="0.25">
      <c r="A3" s="6">
        <v>1</v>
      </c>
      <c r="B3" t="s">
        <v>58</v>
      </c>
      <c r="G3" t="s">
        <v>58</v>
      </c>
    </row>
    <row r="4" spans="1:7" x14ac:dyDescent="0.25">
      <c r="A4" s="6">
        <v>2</v>
      </c>
      <c r="B4" t="s">
        <v>59</v>
      </c>
      <c r="G4" t="s">
        <v>59</v>
      </c>
    </row>
    <row r="5" spans="1:7" x14ac:dyDescent="0.25">
      <c r="A5" s="6">
        <v>3</v>
      </c>
      <c r="B5" t="s">
        <v>60</v>
      </c>
      <c r="G5" t="s">
        <v>1086</v>
      </c>
    </row>
    <row r="6" spans="1:7" x14ac:dyDescent="0.25">
      <c r="A6" s="6">
        <v>4</v>
      </c>
      <c r="B6" t="s">
        <v>176</v>
      </c>
      <c r="G6" t="s">
        <v>60</v>
      </c>
    </row>
    <row r="7" spans="1:7" x14ac:dyDescent="0.25">
      <c r="A7" s="6">
        <v>5</v>
      </c>
      <c r="B7" t="s">
        <v>1086</v>
      </c>
      <c r="G7" t="s">
        <v>176</v>
      </c>
    </row>
    <row r="8" spans="1:7" x14ac:dyDescent="0.25">
      <c r="A8" s="6">
        <v>6</v>
      </c>
      <c r="B8" t="s">
        <v>1506</v>
      </c>
      <c r="G8" t="s">
        <v>1506</v>
      </c>
    </row>
    <row r="9" spans="1:7" x14ac:dyDescent="0.25">
      <c r="A9" s="6"/>
    </row>
    <row r="10" spans="1:7" x14ac:dyDescent="0.25">
      <c r="A10" s="6"/>
    </row>
    <row r="11" spans="1:7" x14ac:dyDescent="0.25">
      <c r="A11" s="6"/>
    </row>
    <row r="12" spans="1:7" x14ac:dyDescent="0.25">
      <c r="A12" s="6"/>
    </row>
    <row r="13" spans="1:7" x14ac:dyDescent="0.25">
      <c r="A13" s="6"/>
    </row>
    <row r="14" spans="1:7" x14ac:dyDescent="0.25">
      <c r="A14" s="6"/>
    </row>
    <row r="15" spans="1:7" x14ac:dyDescent="0.25">
      <c r="A15" s="6"/>
    </row>
    <row r="16" spans="1:7" x14ac:dyDescent="0.25">
      <c r="A16" s="6"/>
    </row>
    <row r="17" spans="1:1" x14ac:dyDescent="0.25">
      <c r="A17" s="6"/>
    </row>
    <row r="18" spans="1:1" x14ac:dyDescent="0.25">
      <c r="A18" s="6"/>
    </row>
    <row r="19" spans="1:1" x14ac:dyDescent="0.25">
      <c r="A19" s="6"/>
    </row>
    <row r="20" spans="1:1" x14ac:dyDescent="0.25">
      <c r="A20" s="6"/>
    </row>
    <row r="21" spans="1:1" x14ac:dyDescent="0.25">
      <c r="A21" s="6"/>
    </row>
    <row r="22" spans="1:1" x14ac:dyDescent="0.25">
      <c r="A22" s="6"/>
    </row>
    <row r="23" spans="1:1" x14ac:dyDescent="0.25">
      <c r="A23" s="6"/>
    </row>
    <row r="24" spans="1:1" x14ac:dyDescent="0.25">
      <c r="A24" s="6"/>
    </row>
    <row r="25" spans="1:1" x14ac:dyDescent="0.25">
      <c r="A25" s="6"/>
    </row>
    <row r="26" spans="1:1" x14ac:dyDescent="0.25">
      <c r="A26" s="6"/>
    </row>
    <row r="27" spans="1:1" x14ac:dyDescent="0.25">
      <c r="A27" s="6"/>
    </row>
    <row r="28" spans="1:1" x14ac:dyDescent="0.25">
      <c r="A28" s="6"/>
    </row>
    <row r="29" spans="1:1" x14ac:dyDescent="0.25">
      <c r="A29" s="6"/>
    </row>
    <row r="30" spans="1:1" x14ac:dyDescent="0.25">
      <c r="A30" s="6"/>
    </row>
    <row r="31" spans="1:1" x14ac:dyDescent="0.25">
      <c r="A31" s="6"/>
    </row>
    <row r="32" spans="1:1" x14ac:dyDescent="0.25">
      <c r="A32" s="6"/>
    </row>
    <row r="33" spans="1:1" x14ac:dyDescent="0.25">
      <c r="A33" s="6"/>
    </row>
    <row r="34" spans="1:1" x14ac:dyDescent="0.25">
      <c r="A34" s="6"/>
    </row>
    <row r="35" spans="1:1" x14ac:dyDescent="0.25">
      <c r="A35" s="6"/>
    </row>
    <row r="36" spans="1:1" x14ac:dyDescent="0.25">
      <c r="A36" s="6"/>
    </row>
    <row r="37" spans="1:1" x14ac:dyDescent="0.25">
      <c r="A37" s="6"/>
    </row>
    <row r="38" spans="1:1" x14ac:dyDescent="0.25">
      <c r="A38" s="6"/>
    </row>
    <row r="39" spans="1:1" x14ac:dyDescent="0.25">
      <c r="A39" s="6"/>
    </row>
  </sheetData>
  <sortState ref="G3:G8">
    <sortCondition ref="G3"/>
  </sortState>
  <mergeCells count="1">
    <mergeCell ref="A1:C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ucts"/>
  <dimension ref="A1:O772"/>
  <sheetViews>
    <sheetView topLeftCell="A749" workbookViewId="0">
      <selection activeCell="A776" sqref="A776"/>
    </sheetView>
  </sheetViews>
  <sheetFormatPr defaultRowHeight="15" x14ac:dyDescent="0.25"/>
  <cols>
    <col min="1" max="1" width="23.85546875" customWidth="1"/>
    <col min="2" max="2" width="18" customWidth="1"/>
    <col min="3" max="3" width="18.5703125" bestFit="1" customWidth="1"/>
    <col min="4" max="4" width="12.85546875" bestFit="1" customWidth="1"/>
    <col min="5" max="5" width="12" customWidth="1"/>
    <col min="6" max="6" width="16.42578125" customWidth="1"/>
    <col min="10" max="10" width="19.28515625" customWidth="1"/>
    <col min="11" max="11" width="12" customWidth="1"/>
    <col min="15" max="15" width="16.42578125" bestFit="1" customWidth="1"/>
  </cols>
  <sheetData>
    <row r="1" spans="1:15" x14ac:dyDescent="0.25">
      <c r="A1" s="123" t="s">
        <v>95</v>
      </c>
      <c r="B1" s="124"/>
      <c r="C1" s="124"/>
      <c r="D1" s="124"/>
      <c r="E1" s="124"/>
      <c r="F1" s="124"/>
      <c r="J1" s="125" t="s">
        <v>90</v>
      </c>
      <c r="K1" s="125"/>
      <c r="N1" s="125" t="s">
        <v>90</v>
      </c>
      <c r="O1" s="125"/>
    </row>
    <row r="2" spans="1:15" x14ac:dyDescent="0.25">
      <c r="A2" s="19" t="s">
        <v>128</v>
      </c>
      <c r="B2" s="19" t="s">
        <v>3</v>
      </c>
      <c r="C2" s="19" t="s">
        <v>31</v>
      </c>
      <c r="D2" s="19" t="s">
        <v>96</v>
      </c>
      <c r="E2" s="19" t="s">
        <v>97</v>
      </c>
      <c r="F2" s="19" t="s">
        <v>98</v>
      </c>
      <c r="J2" s="19" t="s">
        <v>31</v>
      </c>
      <c r="K2" s="19" t="s">
        <v>96</v>
      </c>
      <c r="N2" s="19" t="s">
        <v>128</v>
      </c>
      <c r="O2" s="19" t="s">
        <v>3</v>
      </c>
    </row>
    <row r="3" spans="1:15" ht="18.75" x14ac:dyDescent="0.3">
      <c r="A3" s="58" t="s">
        <v>179</v>
      </c>
      <c r="B3" s="59" t="s">
        <v>180</v>
      </c>
      <c r="C3" t="s">
        <v>34</v>
      </c>
      <c r="D3" t="s">
        <v>1009</v>
      </c>
      <c r="E3" s="66">
        <v>28</v>
      </c>
      <c r="F3" s="66">
        <v>29</v>
      </c>
      <c r="J3" t="s">
        <v>34</v>
      </c>
      <c r="K3" t="s">
        <v>40</v>
      </c>
      <c r="N3" s="58" t="s">
        <v>185</v>
      </c>
      <c r="O3" s="60" t="s">
        <v>186</v>
      </c>
    </row>
    <row r="4" spans="1:15" ht="18.75" x14ac:dyDescent="0.3">
      <c r="A4" s="58" t="s">
        <v>181</v>
      </c>
      <c r="B4" s="59" t="s">
        <v>182</v>
      </c>
      <c r="C4" t="s">
        <v>34</v>
      </c>
      <c r="D4" t="s">
        <v>1009</v>
      </c>
      <c r="E4" s="66">
        <v>36</v>
      </c>
      <c r="F4" s="66">
        <v>38</v>
      </c>
      <c r="N4" s="58" t="s">
        <v>1174</v>
      </c>
      <c r="O4" s="59" t="s">
        <v>1173</v>
      </c>
    </row>
    <row r="5" spans="1:15" ht="18.75" x14ac:dyDescent="0.3">
      <c r="A5" s="58" t="s">
        <v>183</v>
      </c>
      <c r="B5" s="59" t="s">
        <v>184</v>
      </c>
      <c r="C5" t="s">
        <v>35</v>
      </c>
      <c r="D5" t="s">
        <v>40</v>
      </c>
      <c r="E5" s="66">
        <v>32</v>
      </c>
      <c r="F5" s="66">
        <v>32</v>
      </c>
      <c r="N5" s="58" t="s">
        <v>789</v>
      </c>
      <c r="O5" s="59" t="s">
        <v>790</v>
      </c>
    </row>
    <row r="6" spans="1:15" ht="18.75" x14ac:dyDescent="0.3">
      <c r="A6" s="58" t="s">
        <v>185</v>
      </c>
      <c r="B6" s="60" t="s">
        <v>186</v>
      </c>
      <c r="C6" t="s">
        <v>34</v>
      </c>
      <c r="D6" t="s">
        <v>40</v>
      </c>
      <c r="E6" s="66">
        <v>30</v>
      </c>
      <c r="F6" s="66">
        <v>30</v>
      </c>
      <c r="N6" s="58" t="s">
        <v>791</v>
      </c>
      <c r="O6" s="59" t="s">
        <v>790</v>
      </c>
    </row>
    <row r="7" spans="1:15" ht="18.75" x14ac:dyDescent="0.3">
      <c r="A7" s="58" t="s">
        <v>1174</v>
      </c>
      <c r="B7" s="59" t="s">
        <v>1173</v>
      </c>
      <c r="C7" t="s">
        <v>34</v>
      </c>
      <c r="D7" t="s">
        <v>40</v>
      </c>
      <c r="E7" s="66">
        <v>3.5</v>
      </c>
      <c r="F7" s="66">
        <v>3.5</v>
      </c>
      <c r="N7" s="58" t="s">
        <v>792</v>
      </c>
      <c r="O7" s="59" t="s">
        <v>793</v>
      </c>
    </row>
    <row r="8" spans="1:15" ht="18.75" x14ac:dyDescent="0.3">
      <c r="A8" s="58" t="s">
        <v>187</v>
      </c>
      <c r="B8" s="59" t="s">
        <v>188</v>
      </c>
      <c r="C8" t="s">
        <v>34</v>
      </c>
      <c r="D8" t="s">
        <v>41</v>
      </c>
      <c r="E8" s="66">
        <v>10</v>
      </c>
      <c r="F8" s="66">
        <v>10</v>
      </c>
      <c r="N8" s="58" t="s">
        <v>794</v>
      </c>
      <c r="O8" s="59" t="s">
        <v>795</v>
      </c>
    </row>
    <row r="9" spans="1:15" ht="18.75" x14ac:dyDescent="0.3">
      <c r="A9" s="58" t="s">
        <v>189</v>
      </c>
      <c r="B9" s="59" t="s">
        <v>190</v>
      </c>
      <c r="C9" t="s">
        <v>34</v>
      </c>
      <c r="D9" t="s">
        <v>41</v>
      </c>
      <c r="E9" s="66">
        <v>6</v>
      </c>
      <c r="F9" s="66">
        <v>6</v>
      </c>
      <c r="N9" s="58"/>
      <c r="O9" s="59"/>
    </row>
    <row r="10" spans="1:15" ht="18.75" x14ac:dyDescent="0.3">
      <c r="A10" s="58" t="s">
        <v>191</v>
      </c>
      <c r="B10" s="60" t="s">
        <v>192</v>
      </c>
      <c r="C10" t="s">
        <v>34</v>
      </c>
      <c r="D10" t="s">
        <v>41</v>
      </c>
      <c r="E10" s="66">
        <v>10</v>
      </c>
      <c r="F10" s="66">
        <v>10</v>
      </c>
      <c r="N10" s="58"/>
      <c r="O10" s="59"/>
    </row>
    <row r="11" spans="1:15" ht="18.75" x14ac:dyDescent="0.3">
      <c r="A11" s="58" t="s">
        <v>193</v>
      </c>
      <c r="B11" s="60" t="s">
        <v>192</v>
      </c>
      <c r="C11" t="s">
        <v>34</v>
      </c>
      <c r="D11" t="s">
        <v>41</v>
      </c>
      <c r="E11" s="66">
        <v>10</v>
      </c>
      <c r="F11" s="66">
        <v>10</v>
      </c>
      <c r="N11" s="58"/>
      <c r="O11" s="59"/>
    </row>
    <row r="12" spans="1:15" ht="18.75" x14ac:dyDescent="0.25">
      <c r="A12" s="58" t="s">
        <v>194</v>
      </c>
      <c r="B12" s="60" t="s">
        <v>195</v>
      </c>
      <c r="C12" t="s">
        <v>34</v>
      </c>
      <c r="D12" t="s">
        <v>41</v>
      </c>
      <c r="E12" s="66">
        <v>10</v>
      </c>
      <c r="F12" s="66">
        <v>10</v>
      </c>
    </row>
    <row r="13" spans="1:15" ht="18.75" x14ac:dyDescent="0.25">
      <c r="A13" s="58" t="s">
        <v>196</v>
      </c>
      <c r="B13" s="60" t="s">
        <v>195</v>
      </c>
      <c r="C13" t="s">
        <v>34</v>
      </c>
      <c r="D13" t="s">
        <v>42</v>
      </c>
      <c r="E13" s="66">
        <v>10</v>
      </c>
      <c r="F13" s="66">
        <v>10</v>
      </c>
    </row>
    <row r="14" spans="1:15" ht="18.75" x14ac:dyDescent="0.25">
      <c r="A14" s="58" t="s">
        <v>197</v>
      </c>
      <c r="B14" s="60" t="s">
        <v>198</v>
      </c>
      <c r="C14" t="s">
        <v>34</v>
      </c>
      <c r="D14" t="s">
        <v>42</v>
      </c>
      <c r="E14" s="66">
        <v>10</v>
      </c>
      <c r="F14" s="66">
        <v>10</v>
      </c>
    </row>
    <row r="15" spans="1:15" ht="18.75" x14ac:dyDescent="0.25">
      <c r="A15" s="58" t="s">
        <v>199</v>
      </c>
      <c r="B15" s="60" t="s">
        <v>198</v>
      </c>
      <c r="C15" t="s">
        <v>34</v>
      </c>
      <c r="D15" t="s">
        <v>42</v>
      </c>
      <c r="E15" s="66">
        <v>10</v>
      </c>
      <c r="F15" s="66">
        <v>10</v>
      </c>
    </row>
    <row r="16" spans="1:15" ht="18.75" x14ac:dyDescent="0.25">
      <c r="A16" s="58" t="s">
        <v>200</v>
      </c>
      <c r="B16" s="60" t="s">
        <v>201</v>
      </c>
      <c r="C16" t="s">
        <v>34</v>
      </c>
      <c r="D16" t="s">
        <v>42</v>
      </c>
      <c r="E16" s="66">
        <v>10</v>
      </c>
      <c r="F16" s="66">
        <v>10</v>
      </c>
    </row>
    <row r="17" spans="1:6" ht="18.75" x14ac:dyDescent="0.25">
      <c r="A17" s="58" t="s">
        <v>202</v>
      </c>
      <c r="B17" s="60" t="s">
        <v>201</v>
      </c>
      <c r="C17" t="s">
        <v>34</v>
      </c>
      <c r="D17" t="s">
        <v>42</v>
      </c>
      <c r="E17" s="66">
        <v>10</v>
      </c>
      <c r="F17" s="66">
        <v>10</v>
      </c>
    </row>
    <row r="18" spans="1:6" ht="18.75" x14ac:dyDescent="0.3">
      <c r="A18" s="58" t="s">
        <v>203</v>
      </c>
      <c r="B18" s="59" t="s">
        <v>204</v>
      </c>
      <c r="C18" t="s">
        <v>34</v>
      </c>
      <c r="D18" t="s">
        <v>43</v>
      </c>
      <c r="E18" s="66">
        <v>10</v>
      </c>
      <c r="F18" s="66">
        <v>10</v>
      </c>
    </row>
    <row r="19" spans="1:6" ht="18.75" x14ac:dyDescent="0.25">
      <c r="A19" s="58" t="s">
        <v>205</v>
      </c>
      <c r="B19" s="60" t="s">
        <v>1446</v>
      </c>
      <c r="C19" t="s">
        <v>34</v>
      </c>
      <c r="D19" t="s">
        <v>43</v>
      </c>
      <c r="E19" s="66">
        <v>8</v>
      </c>
      <c r="F19" s="66">
        <v>8</v>
      </c>
    </row>
    <row r="20" spans="1:6" ht="18.75" x14ac:dyDescent="0.3">
      <c r="A20" s="58" t="s">
        <v>206</v>
      </c>
      <c r="B20" s="59" t="s">
        <v>207</v>
      </c>
      <c r="C20" t="s">
        <v>34</v>
      </c>
      <c r="D20" t="s">
        <v>43</v>
      </c>
      <c r="E20" s="66">
        <v>10</v>
      </c>
      <c r="F20" s="66">
        <v>10</v>
      </c>
    </row>
    <row r="21" spans="1:6" ht="18.75" x14ac:dyDescent="0.25">
      <c r="A21" s="58" t="s">
        <v>206</v>
      </c>
      <c r="B21" s="60" t="s">
        <v>208</v>
      </c>
      <c r="C21" t="s">
        <v>34</v>
      </c>
      <c r="D21" t="s">
        <v>43</v>
      </c>
      <c r="E21" s="66">
        <v>10</v>
      </c>
      <c r="F21" s="66">
        <v>10</v>
      </c>
    </row>
    <row r="22" spans="1:6" ht="18.75" x14ac:dyDescent="0.3">
      <c r="A22" s="58" t="s">
        <v>209</v>
      </c>
      <c r="B22" s="59" t="s">
        <v>210</v>
      </c>
      <c r="C22" t="s">
        <v>34</v>
      </c>
      <c r="D22" t="s">
        <v>43</v>
      </c>
      <c r="E22" s="66">
        <v>0.5</v>
      </c>
      <c r="F22" s="66">
        <v>0.5</v>
      </c>
    </row>
    <row r="23" spans="1:6" ht="18.75" x14ac:dyDescent="0.3">
      <c r="A23" s="58" t="s">
        <v>211</v>
      </c>
      <c r="B23" s="59" t="s">
        <v>212</v>
      </c>
      <c r="C23" t="s">
        <v>34</v>
      </c>
      <c r="D23" t="s">
        <v>68</v>
      </c>
      <c r="E23" s="66">
        <v>10</v>
      </c>
      <c r="F23" s="66">
        <v>10</v>
      </c>
    </row>
    <row r="24" spans="1:6" ht="18.75" x14ac:dyDescent="0.3">
      <c r="A24" s="58" t="s">
        <v>213</v>
      </c>
      <c r="B24" s="59" t="s">
        <v>214</v>
      </c>
      <c r="C24" t="s">
        <v>34</v>
      </c>
      <c r="D24" t="s">
        <v>68</v>
      </c>
      <c r="E24" s="66">
        <v>10</v>
      </c>
      <c r="F24" s="66">
        <v>10</v>
      </c>
    </row>
    <row r="25" spans="1:6" ht="18.75" x14ac:dyDescent="0.3">
      <c r="A25" s="58" t="s">
        <v>215</v>
      </c>
      <c r="B25" s="59" t="s">
        <v>216</v>
      </c>
      <c r="C25" t="s">
        <v>34</v>
      </c>
      <c r="D25" t="s">
        <v>68</v>
      </c>
      <c r="E25" s="66">
        <v>10</v>
      </c>
      <c r="F25" s="66">
        <v>10</v>
      </c>
    </row>
    <row r="26" spans="1:6" ht="18.75" x14ac:dyDescent="0.3">
      <c r="A26" s="58" t="s">
        <v>217</v>
      </c>
      <c r="B26" s="59" t="s">
        <v>218</v>
      </c>
      <c r="C26" t="s">
        <v>34</v>
      </c>
      <c r="D26" t="s">
        <v>68</v>
      </c>
      <c r="E26" s="66">
        <v>10</v>
      </c>
      <c r="F26" s="66">
        <v>10</v>
      </c>
    </row>
    <row r="27" spans="1:6" ht="18.75" x14ac:dyDescent="0.3">
      <c r="A27" s="58" t="s">
        <v>219</v>
      </c>
      <c r="B27" s="59" t="s">
        <v>220</v>
      </c>
      <c r="C27" t="s">
        <v>34</v>
      </c>
      <c r="D27" t="s">
        <v>68</v>
      </c>
      <c r="E27" s="66">
        <v>10</v>
      </c>
      <c r="F27" s="66">
        <v>10</v>
      </c>
    </row>
    <row r="28" spans="1:6" ht="18.75" x14ac:dyDescent="0.3">
      <c r="A28" s="58" t="s">
        <v>221</v>
      </c>
      <c r="B28" s="59" t="s">
        <v>222</v>
      </c>
      <c r="C28" t="s">
        <v>34</v>
      </c>
      <c r="D28" t="s">
        <v>99</v>
      </c>
      <c r="E28" s="66">
        <v>1</v>
      </c>
      <c r="F28" s="66">
        <v>1</v>
      </c>
    </row>
    <row r="29" spans="1:6" ht="18.75" x14ac:dyDescent="0.3">
      <c r="A29" s="58" t="s">
        <v>223</v>
      </c>
      <c r="B29" s="59" t="s">
        <v>224</v>
      </c>
      <c r="C29" t="s">
        <v>34</v>
      </c>
      <c r="D29" t="s">
        <v>99</v>
      </c>
      <c r="E29" s="66">
        <v>10</v>
      </c>
      <c r="F29" s="66">
        <v>10</v>
      </c>
    </row>
    <row r="30" spans="1:6" ht="18.75" x14ac:dyDescent="0.3">
      <c r="A30" s="58" t="s">
        <v>225</v>
      </c>
      <c r="B30" s="59" t="s">
        <v>226</v>
      </c>
      <c r="C30" t="s">
        <v>34</v>
      </c>
      <c r="D30" t="s">
        <v>99</v>
      </c>
      <c r="E30" s="66">
        <v>10</v>
      </c>
      <c r="F30" s="66">
        <v>10</v>
      </c>
    </row>
    <row r="31" spans="1:6" ht="18.75" x14ac:dyDescent="0.3">
      <c r="A31" s="58" t="s">
        <v>227</v>
      </c>
      <c r="B31" s="59" t="s">
        <v>228</v>
      </c>
      <c r="C31" t="s">
        <v>34</v>
      </c>
      <c r="D31" t="s">
        <v>99</v>
      </c>
      <c r="E31" s="66">
        <v>10</v>
      </c>
      <c r="F31" s="66">
        <v>10</v>
      </c>
    </row>
    <row r="32" spans="1:6" ht="18.75" x14ac:dyDescent="0.3">
      <c r="A32" s="58" t="s">
        <v>229</v>
      </c>
      <c r="B32" s="59" t="s">
        <v>230</v>
      </c>
      <c r="C32" t="s">
        <v>34</v>
      </c>
      <c r="D32" t="s">
        <v>99</v>
      </c>
      <c r="E32" s="66">
        <v>10</v>
      </c>
      <c r="F32" s="66">
        <v>10</v>
      </c>
    </row>
    <row r="33" spans="1:6" ht="18.75" x14ac:dyDescent="0.3">
      <c r="A33" s="58" t="s">
        <v>231</v>
      </c>
      <c r="B33" s="59" t="s">
        <v>232</v>
      </c>
      <c r="C33" t="s">
        <v>34</v>
      </c>
      <c r="D33" t="s">
        <v>70</v>
      </c>
      <c r="E33" s="66">
        <v>10</v>
      </c>
      <c r="F33" s="66">
        <v>10</v>
      </c>
    </row>
    <row r="34" spans="1:6" ht="18.75" x14ac:dyDescent="0.25">
      <c r="A34" s="58" t="s">
        <v>233</v>
      </c>
      <c r="B34" s="60" t="s">
        <v>234</v>
      </c>
      <c r="C34" t="s">
        <v>34</v>
      </c>
      <c r="D34" t="s">
        <v>70</v>
      </c>
      <c r="E34" s="66">
        <v>30</v>
      </c>
      <c r="F34" s="66">
        <v>32</v>
      </c>
    </row>
    <row r="35" spans="1:6" ht="18.75" x14ac:dyDescent="0.3">
      <c r="A35" s="58" t="s">
        <v>1055</v>
      </c>
      <c r="B35" s="59" t="s">
        <v>235</v>
      </c>
      <c r="C35" t="s">
        <v>34</v>
      </c>
      <c r="D35" t="s">
        <v>70</v>
      </c>
      <c r="E35" s="66">
        <v>150</v>
      </c>
      <c r="F35" s="66">
        <v>150</v>
      </c>
    </row>
    <row r="36" spans="1:6" ht="18.75" x14ac:dyDescent="0.25">
      <c r="A36" s="58" t="s">
        <v>236</v>
      </c>
      <c r="B36" s="60" t="s">
        <v>237</v>
      </c>
      <c r="C36" t="s">
        <v>34</v>
      </c>
      <c r="D36" t="s">
        <v>70</v>
      </c>
      <c r="E36" s="66">
        <v>5.2</v>
      </c>
      <c r="F36" s="66">
        <v>8</v>
      </c>
    </row>
    <row r="37" spans="1:6" ht="18.75" x14ac:dyDescent="0.25">
      <c r="A37" s="61" t="s">
        <v>238</v>
      </c>
      <c r="B37" s="60" t="s">
        <v>239</v>
      </c>
      <c r="C37" t="s">
        <v>34</v>
      </c>
      <c r="D37" t="s">
        <v>70</v>
      </c>
      <c r="E37" s="66">
        <v>4.5</v>
      </c>
      <c r="F37" s="66">
        <v>5</v>
      </c>
    </row>
    <row r="38" spans="1:6" ht="18.75" x14ac:dyDescent="0.3">
      <c r="A38" s="58" t="s">
        <v>1175</v>
      </c>
      <c r="B38" s="59" t="s">
        <v>240</v>
      </c>
      <c r="C38" t="s">
        <v>34</v>
      </c>
      <c r="D38" t="s">
        <v>100</v>
      </c>
      <c r="E38" s="66">
        <v>620</v>
      </c>
      <c r="F38" s="66">
        <v>3.5</v>
      </c>
    </row>
    <row r="39" spans="1:6" ht="18.75" x14ac:dyDescent="0.3">
      <c r="A39" s="58" t="s">
        <v>241</v>
      </c>
      <c r="B39" s="59" t="s">
        <v>242</v>
      </c>
      <c r="C39" t="s">
        <v>34</v>
      </c>
      <c r="D39" t="s">
        <v>100</v>
      </c>
      <c r="E39" s="66">
        <v>8</v>
      </c>
      <c r="F39" s="66">
        <v>10</v>
      </c>
    </row>
    <row r="40" spans="1:6" ht="18.75" x14ac:dyDescent="0.3">
      <c r="A40" s="58" t="s">
        <v>243</v>
      </c>
      <c r="B40" s="59" t="s">
        <v>244</v>
      </c>
      <c r="C40" t="s">
        <v>34</v>
      </c>
      <c r="D40" t="s">
        <v>100</v>
      </c>
      <c r="E40" s="66">
        <v>8</v>
      </c>
      <c r="F40" s="66">
        <v>10</v>
      </c>
    </row>
    <row r="41" spans="1:6" ht="18.75" x14ac:dyDescent="0.3">
      <c r="A41" s="58" t="s">
        <v>245</v>
      </c>
      <c r="B41" s="59" t="s">
        <v>246</v>
      </c>
      <c r="C41" t="s">
        <v>34</v>
      </c>
      <c r="D41" t="s">
        <v>100</v>
      </c>
      <c r="E41" s="66">
        <v>1.59</v>
      </c>
      <c r="F41" s="66">
        <v>10</v>
      </c>
    </row>
    <row r="42" spans="1:6" ht="18.75" x14ac:dyDescent="0.3">
      <c r="A42" s="58" t="s">
        <v>247</v>
      </c>
      <c r="B42" s="59" t="s">
        <v>248</v>
      </c>
      <c r="C42" t="s">
        <v>34</v>
      </c>
      <c r="D42" t="s">
        <v>100</v>
      </c>
      <c r="E42" s="66">
        <v>1.98</v>
      </c>
      <c r="F42" s="66">
        <v>10</v>
      </c>
    </row>
    <row r="43" spans="1:6" ht="18.75" x14ac:dyDescent="0.3">
      <c r="A43" s="58" t="s">
        <v>249</v>
      </c>
      <c r="B43" s="59" t="s">
        <v>250</v>
      </c>
      <c r="C43" t="s">
        <v>34</v>
      </c>
      <c r="D43" t="s">
        <v>101</v>
      </c>
      <c r="E43" s="66">
        <v>1.3</v>
      </c>
      <c r="F43" s="66">
        <v>10</v>
      </c>
    </row>
    <row r="44" spans="1:6" ht="18.75" x14ac:dyDescent="0.3">
      <c r="A44" s="58" t="s">
        <v>251</v>
      </c>
      <c r="B44" s="59" t="s">
        <v>252</v>
      </c>
      <c r="C44" t="s">
        <v>34</v>
      </c>
      <c r="D44" t="s">
        <v>101</v>
      </c>
      <c r="E44" s="66">
        <v>1.3</v>
      </c>
      <c r="F44" s="66">
        <v>10</v>
      </c>
    </row>
    <row r="45" spans="1:6" ht="18.75" x14ac:dyDescent="0.3">
      <c r="A45" s="58" t="s">
        <v>253</v>
      </c>
      <c r="B45" s="59" t="s">
        <v>254</v>
      </c>
      <c r="C45" t="s">
        <v>34</v>
      </c>
      <c r="D45" t="s">
        <v>101</v>
      </c>
      <c r="E45" s="66">
        <v>1.7</v>
      </c>
      <c r="F45" s="66">
        <v>10</v>
      </c>
    </row>
    <row r="46" spans="1:6" ht="18.75" x14ac:dyDescent="0.3">
      <c r="A46" s="58" t="s">
        <v>255</v>
      </c>
      <c r="B46" s="59" t="s">
        <v>256</v>
      </c>
      <c r="C46" t="s">
        <v>34</v>
      </c>
      <c r="D46" t="s">
        <v>101</v>
      </c>
      <c r="E46" s="66">
        <v>1.66</v>
      </c>
      <c r="F46" s="66">
        <v>10</v>
      </c>
    </row>
    <row r="47" spans="1:6" ht="18.75" x14ac:dyDescent="0.3">
      <c r="A47" s="58" t="s">
        <v>257</v>
      </c>
      <c r="B47" s="59" t="s">
        <v>258</v>
      </c>
      <c r="C47" t="s">
        <v>34</v>
      </c>
      <c r="D47" t="s">
        <v>102</v>
      </c>
      <c r="E47" s="66">
        <v>1.9</v>
      </c>
      <c r="F47" s="66">
        <v>10</v>
      </c>
    </row>
    <row r="48" spans="1:6" ht="18.75" x14ac:dyDescent="0.3">
      <c r="A48" s="58" t="s">
        <v>1176</v>
      </c>
      <c r="B48" s="59" t="s">
        <v>259</v>
      </c>
      <c r="C48" t="s">
        <v>34</v>
      </c>
      <c r="D48" t="s">
        <v>102</v>
      </c>
      <c r="E48" s="66">
        <v>1.28</v>
      </c>
      <c r="F48" s="66">
        <v>7</v>
      </c>
    </row>
    <row r="49" spans="1:6" ht="18.75" x14ac:dyDescent="0.3">
      <c r="A49" s="58" t="s">
        <v>1177</v>
      </c>
      <c r="B49" s="59" t="s">
        <v>260</v>
      </c>
      <c r="C49" t="s">
        <v>34</v>
      </c>
      <c r="D49" t="s">
        <v>102</v>
      </c>
      <c r="E49" s="66">
        <v>1.62</v>
      </c>
      <c r="F49" s="66">
        <v>8</v>
      </c>
    </row>
    <row r="50" spans="1:6" ht="18.75" x14ac:dyDescent="0.25">
      <c r="A50" s="58" t="s">
        <v>261</v>
      </c>
      <c r="B50" s="60" t="s">
        <v>262</v>
      </c>
      <c r="C50" t="s">
        <v>34</v>
      </c>
      <c r="D50" t="s">
        <v>102</v>
      </c>
      <c r="E50" s="66">
        <v>16</v>
      </c>
      <c r="F50" s="66">
        <v>16</v>
      </c>
    </row>
    <row r="51" spans="1:6" ht="18.75" x14ac:dyDescent="0.25">
      <c r="A51" s="58" t="s">
        <v>263</v>
      </c>
      <c r="B51" s="60" t="s">
        <v>264</v>
      </c>
      <c r="C51" t="s">
        <v>34</v>
      </c>
      <c r="D51" t="s">
        <v>102</v>
      </c>
      <c r="E51" s="66">
        <v>17</v>
      </c>
      <c r="F51" s="66">
        <v>18</v>
      </c>
    </row>
    <row r="52" spans="1:6" ht="18.75" x14ac:dyDescent="0.25">
      <c r="A52" s="58" t="s">
        <v>265</v>
      </c>
      <c r="B52" s="60" t="s">
        <v>266</v>
      </c>
      <c r="C52" t="s">
        <v>34</v>
      </c>
      <c r="D52" t="s">
        <v>103</v>
      </c>
      <c r="E52" s="66">
        <v>18</v>
      </c>
      <c r="F52" s="66">
        <v>19</v>
      </c>
    </row>
    <row r="53" spans="1:6" ht="18.75" x14ac:dyDescent="0.25">
      <c r="A53" s="58" t="s">
        <v>267</v>
      </c>
      <c r="B53" s="60" t="s">
        <v>268</v>
      </c>
      <c r="C53" t="s">
        <v>34</v>
      </c>
      <c r="D53" t="s">
        <v>103</v>
      </c>
      <c r="E53" s="66">
        <v>17</v>
      </c>
      <c r="F53" s="66">
        <v>18</v>
      </c>
    </row>
    <row r="54" spans="1:6" ht="18.75" x14ac:dyDescent="0.25">
      <c r="A54" s="58" t="s">
        <v>269</v>
      </c>
      <c r="B54" s="60" t="s">
        <v>270</v>
      </c>
      <c r="C54" t="s">
        <v>34</v>
      </c>
      <c r="D54" t="s">
        <v>103</v>
      </c>
      <c r="E54" s="66">
        <v>17</v>
      </c>
      <c r="F54" s="66">
        <v>17</v>
      </c>
    </row>
    <row r="55" spans="1:6" ht="18.75" x14ac:dyDescent="0.25">
      <c r="A55" s="58" t="s">
        <v>271</v>
      </c>
      <c r="B55" s="60" t="s">
        <v>272</v>
      </c>
      <c r="C55" t="s">
        <v>34</v>
      </c>
      <c r="D55" t="s">
        <v>103</v>
      </c>
      <c r="E55" s="66">
        <v>17</v>
      </c>
      <c r="F55" s="66">
        <v>18</v>
      </c>
    </row>
    <row r="56" spans="1:6" ht="18.75" x14ac:dyDescent="0.25">
      <c r="A56" s="58" t="s">
        <v>273</v>
      </c>
      <c r="B56" s="60" t="s">
        <v>274</v>
      </c>
      <c r="C56" t="s">
        <v>34</v>
      </c>
      <c r="D56" t="s">
        <v>103</v>
      </c>
      <c r="E56" s="66">
        <v>20</v>
      </c>
      <c r="F56" s="66">
        <v>20</v>
      </c>
    </row>
    <row r="57" spans="1:6" ht="18.75" x14ac:dyDescent="0.25">
      <c r="A57" s="58" t="s">
        <v>275</v>
      </c>
      <c r="B57" s="60" t="s">
        <v>276</v>
      </c>
      <c r="C57" t="s">
        <v>34</v>
      </c>
      <c r="D57" t="s">
        <v>77</v>
      </c>
      <c r="E57" s="66">
        <v>20</v>
      </c>
      <c r="F57" s="66">
        <v>20</v>
      </c>
    </row>
    <row r="58" spans="1:6" ht="18.75" x14ac:dyDescent="0.3">
      <c r="A58" s="58" t="s">
        <v>1035</v>
      </c>
      <c r="B58" s="59" t="s">
        <v>277</v>
      </c>
      <c r="C58" t="s">
        <v>34</v>
      </c>
      <c r="D58" t="s">
        <v>77</v>
      </c>
      <c r="E58" s="66">
        <v>100</v>
      </c>
      <c r="F58" s="66">
        <v>100</v>
      </c>
    </row>
    <row r="59" spans="1:6" ht="18.75" x14ac:dyDescent="0.25">
      <c r="A59" s="58" t="s">
        <v>278</v>
      </c>
      <c r="B59" s="60" t="s">
        <v>279</v>
      </c>
      <c r="C59" t="s">
        <v>34</v>
      </c>
      <c r="D59" t="s">
        <v>77</v>
      </c>
      <c r="E59" s="66">
        <v>10</v>
      </c>
      <c r="F59" s="66">
        <v>10</v>
      </c>
    </row>
    <row r="60" spans="1:6" ht="18.75" x14ac:dyDescent="0.25">
      <c r="A60" s="58" t="s">
        <v>280</v>
      </c>
      <c r="B60" s="60" t="s">
        <v>281</v>
      </c>
      <c r="C60" t="s">
        <v>34</v>
      </c>
      <c r="D60" t="s">
        <v>77</v>
      </c>
      <c r="E60" s="66">
        <v>10</v>
      </c>
      <c r="F60" s="66">
        <v>10</v>
      </c>
    </row>
    <row r="61" spans="1:6" ht="18.75" x14ac:dyDescent="0.25">
      <c r="A61" s="58" t="s">
        <v>282</v>
      </c>
      <c r="B61" s="60" t="s">
        <v>283</v>
      </c>
      <c r="C61" t="s">
        <v>34</v>
      </c>
      <c r="D61" t="s">
        <v>77</v>
      </c>
      <c r="E61" s="66">
        <v>13</v>
      </c>
      <c r="F61" s="66">
        <v>13</v>
      </c>
    </row>
    <row r="62" spans="1:6" ht="18.75" x14ac:dyDescent="0.3">
      <c r="A62" s="58" t="s">
        <v>284</v>
      </c>
      <c r="B62" s="59" t="s">
        <v>285</v>
      </c>
      <c r="C62" t="s">
        <v>35</v>
      </c>
      <c r="D62" t="s">
        <v>2</v>
      </c>
      <c r="E62" s="66">
        <v>8</v>
      </c>
      <c r="F62" s="66">
        <v>8</v>
      </c>
    </row>
    <row r="63" spans="1:6" ht="18.75" x14ac:dyDescent="0.25">
      <c r="A63" s="58" t="s">
        <v>286</v>
      </c>
      <c r="B63" s="60" t="s">
        <v>287</v>
      </c>
      <c r="C63" t="s">
        <v>35</v>
      </c>
      <c r="D63" t="s">
        <v>2</v>
      </c>
      <c r="E63" s="66">
        <v>5</v>
      </c>
      <c r="F63" s="66">
        <v>5</v>
      </c>
    </row>
    <row r="64" spans="1:6" ht="18.75" x14ac:dyDescent="0.3">
      <c r="A64" s="58" t="s">
        <v>288</v>
      </c>
      <c r="B64" s="59" t="s">
        <v>289</v>
      </c>
      <c r="C64" t="s">
        <v>35</v>
      </c>
      <c r="D64" t="s">
        <v>2</v>
      </c>
      <c r="E64" s="66">
        <v>5</v>
      </c>
      <c r="F64" s="66">
        <v>5</v>
      </c>
    </row>
    <row r="65" spans="1:6" ht="18.75" x14ac:dyDescent="0.25">
      <c r="A65" s="61" t="s">
        <v>290</v>
      </c>
      <c r="B65" s="60" t="s">
        <v>291</v>
      </c>
      <c r="C65" t="s">
        <v>35</v>
      </c>
      <c r="D65" t="s">
        <v>2</v>
      </c>
      <c r="E65" s="66">
        <v>15</v>
      </c>
      <c r="F65" s="66">
        <v>15</v>
      </c>
    </row>
    <row r="66" spans="1:6" ht="18.75" x14ac:dyDescent="0.25">
      <c r="A66" s="61" t="s">
        <v>292</v>
      </c>
      <c r="B66" s="60" t="s">
        <v>293</v>
      </c>
      <c r="C66" t="s">
        <v>35</v>
      </c>
      <c r="D66" t="s">
        <v>2</v>
      </c>
      <c r="E66" s="66">
        <v>10</v>
      </c>
      <c r="F66" s="66">
        <v>10</v>
      </c>
    </row>
    <row r="67" spans="1:6" ht="18.75" x14ac:dyDescent="0.3">
      <c r="A67" s="58" t="s">
        <v>294</v>
      </c>
      <c r="B67" s="59" t="s">
        <v>295</v>
      </c>
      <c r="C67" t="s">
        <v>35</v>
      </c>
      <c r="D67" t="s">
        <v>104</v>
      </c>
      <c r="E67" s="66">
        <v>7</v>
      </c>
      <c r="F67" s="66">
        <v>7</v>
      </c>
    </row>
    <row r="68" spans="1:6" ht="18.75" x14ac:dyDescent="0.3">
      <c r="A68" s="58" t="s">
        <v>296</v>
      </c>
      <c r="B68" s="59" t="s">
        <v>297</v>
      </c>
      <c r="C68" t="s">
        <v>35</v>
      </c>
      <c r="D68" t="s">
        <v>104</v>
      </c>
      <c r="E68" s="66">
        <v>15</v>
      </c>
      <c r="F68" s="66">
        <v>15</v>
      </c>
    </row>
    <row r="69" spans="1:6" ht="18.75" x14ac:dyDescent="0.3">
      <c r="A69" s="58" t="s">
        <v>298</v>
      </c>
      <c r="B69" s="59" t="s">
        <v>299</v>
      </c>
      <c r="C69" t="s">
        <v>35</v>
      </c>
      <c r="D69" t="s">
        <v>104</v>
      </c>
      <c r="E69" s="66">
        <v>15</v>
      </c>
      <c r="F69" s="66">
        <v>15</v>
      </c>
    </row>
    <row r="70" spans="1:6" ht="18.75" x14ac:dyDescent="0.25">
      <c r="A70" s="58" t="s">
        <v>300</v>
      </c>
      <c r="B70" s="60" t="s">
        <v>301</v>
      </c>
      <c r="C70" t="s">
        <v>35</v>
      </c>
      <c r="D70" t="s">
        <v>104</v>
      </c>
      <c r="E70" s="66">
        <v>15</v>
      </c>
      <c r="F70" s="66">
        <v>15</v>
      </c>
    </row>
    <row r="71" spans="1:6" ht="18.75" x14ac:dyDescent="0.3">
      <c r="A71" s="58" t="s">
        <v>302</v>
      </c>
      <c r="B71" s="59" t="s">
        <v>303</v>
      </c>
      <c r="C71" t="s">
        <v>35</v>
      </c>
      <c r="D71" t="s">
        <v>104</v>
      </c>
      <c r="E71" s="66">
        <v>15</v>
      </c>
      <c r="F71" s="66">
        <v>15</v>
      </c>
    </row>
    <row r="72" spans="1:6" ht="18.75" x14ac:dyDescent="0.3">
      <c r="A72" s="58" t="s">
        <v>304</v>
      </c>
      <c r="B72" s="59" t="s">
        <v>305</v>
      </c>
      <c r="C72" t="s">
        <v>35</v>
      </c>
      <c r="D72" t="s">
        <v>105</v>
      </c>
      <c r="E72" s="66">
        <v>15</v>
      </c>
      <c r="F72" s="66">
        <v>15</v>
      </c>
    </row>
    <row r="73" spans="1:6" ht="18.75" x14ac:dyDescent="0.25">
      <c r="A73" s="58" t="s">
        <v>306</v>
      </c>
      <c r="B73" s="60" t="s">
        <v>307</v>
      </c>
      <c r="C73" t="s">
        <v>35</v>
      </c>
      <c r="D73" t="s">
        <v>105</v>
      </c>
      <c r="E73" s="66">
        <v>15</v>
      </c>
      <c r="F73" s="66">
        <v>15</v>
      </c>
    </row>
    <row r="74" spans="1:6" ht="18.75" x14ac:dyDescent="0.25">
      <c r="A74" s="58" t="s">
        <v>308</v>
      </c>
      <c r="B74" s="60" t="s">
        <v>309</v>
      </c>
      <c r="C74" t="s">
        <v>35</v>
      </c>
      <c r="D74" t="s">
        <v>105</v>
      </c>
      <c r="E74" s="66">
        <v>15</v>
      </c>
      <c r="F74" s="66">
        <v>15</v>
      </c>
    </row>
    <row r="75" spans="1:6" ht="18.75" x14ac:dyDescent="0.25">
      <c r="A75" s="58" t="s">
        <v>310</v>
      </c>
      <c r="B75" s="60" t="s">
        <v>311</v>
      </c>
      <c r="C75" t="s">
        <v>35</v>
      </c>
      <c r="D75" t="s">
        <v>105</v>
      </c>
      <c r="E75" s="66">
        <v>15</v>
      </c>
      <c r="F75" s="66">
        <v>15</v>
      </c>
    </row>
    <row r="76" spans="1:6" ht="37.5" x14ac:dyDescent="0.25">
      <c r="A76" s="58" t="s">
        <v>312</v>
      </c>
      <c r="B76" s="62" t="s">
        <v>313</v>
      </c>
      <c r="C76" t="s">
        <v>35</v>
      </c>
      <c r="D76" t="s">
        <v>106</v>
      </c>
      <c r="E76" s="66">
        <v>15</v>
      </c>
      <c r="F76" s="66">
        <v>15</v>
      </c>
    </row>
    <row r="77" spans="1:6" ht="18.75" x14ac:dyDescent="0.3">
      <c r="A77" s="58" t="s">
        <v>314</v>
      </c>
      <c r="B77" s="59" t="s">
        <v>315</v>
      </c>
      <c r="C77" t="s">
        <v>35</v>
      </c>
      <c r="D77" t="s">
        <v>106</v>
      </c>
      <c r="E77" s="66">
        <v>15</v>
      </c>
      <c r="F77" s="66">
        <v>15</v>
      </c>
    </row>
    <row r="78" spans="1:6" ht="18.75" x14ac:dyDescent="0.25">
      <c r="A78" s="58" t="s">
        <v>316</v>
      </c>
      <c r="B78" s="60" t="s">
        <v>317</v>
      </c>
      <c r="C78" t="s">
        <v>35</v>
      </c>
      <c r="D78" t="s">
        <v>106</v>
      </c>
      <c r="E78" s="66">
        <v>15</v>
      </c>
      <c r="F78" s="66">
        <v>15</v>
      </c>
    </row>
    <row r="79" spans="1:6" ht="18.75" x14ac:dyDescent="0.3">
      <c r="A79" s="58" t="s">
        <v>318</v>
      </c>
      <c r="B79" s="59" t="s">
        <v>319</v>
      </c>
      <c r="C79" t="s">
        <v>35</v>
      </c>
      <c r="D79" t="s">
        <v>106</v>
      </c>
      <c r="E79" s="66">
        <v>15</v>
      </c>
      <c r="F79" s="66">
        <v>15</v>
      </c>
    </row>
    <row r="80" spans="1:6" ht="18.75" x14ac:dyDescent="0.25">
      <c r="A80" s="58" t="s">
        <v>320</v>
      </c>
      <c r="B80" s="60" t="s">
        <v>321</v>
      </c>
      <c r="C80" t="s">
        <v>35</v>
      </c>
      <c r="D80" t="s">
        <v>106</v>
      </c>
      <c r="E80" s="66">
        <v>15</v>
      </c>
      <c r="F80" s="66">
        <v>15</v>
      </c>
    </row>
    <row r="81" spans="1:6" ht="18.75" x14ac:dyDescent="0.25">
      <c r="A81" s="58" t="s">
        <v>322</v>
      </c>
      <c r="B81" s="60" t="s">
        <v>323</v>
      </c>
      <c r="C81" t="s">
        <v>35</v>
      </c>
      <c r="D81" t="s">
        <v>107</v>
      </c>
      <c r="E81" s="66">
        <v>15</v>
      </c>
      <c r="F81" s="66">
        <v>15</v>
      </c>
    </row>
    <row r="82" spans="1:6" ht="18.75" x14ac:dyDescent="0.25">
      <c r="A82" s="58" t="s">
        <v>324</v>
      </c>
      <c r="B82" s="60" t="s">
        <v>325</v>
      </c>
      <c r="C82" t="s">
        <v>35</v>
      </c>
      <c r="D82" t="s">
        <v>107</v>
      </c>
      <c r="E82" s="66">
        <v>15</v>
      </c>
      <c r="F82" s="66">
        <v>15</v>
      </c>
    </row>
    <row r="83" spans="1:6" ht="18.75" x14ac:dyDescent="0.3">
      <c r="A83" s="58" t="s">
        <v>326</v>
      </c>
      <c r="B83" s="59" t="s">
        <v>327</v>
      </c>
      <c r="C83" t="s">
        <v>35</v>
      </c>
      <c r="D83" t="s">
        <v>107</v>
      </c>
      <c r="E83" s="66">
        <v>15</v>
      </c>
      <c r="F83" s="66">
        <v>15</v>
      </c>
    </row>
    <row r="84" spans="1:6" ht="18.75" x14ac:dyDescent="0.3">
      <c r="A84" s="58" t="s">
        <v>328</v>
      </c>
      <c r="B84" s="59" t="s">
        <v>329</v>
      </c>
      <c r="C84" t="s">
        <v>35</v>
      </c>
      <c r="D84" t="s">
        <v>107</v>
      </c>
      <c r="E84" s="66">
        <v>15</v>
      </c>
      <c r="F84" s="66">
        <v>15</v>
      </c>
    </row>
    <row r="85" spans="1:6" ht="18.75" x14ac:dyDescent="0.3">
      <c r="A85" s="58" t="s">
        <v>330</v>
      </c>
      <c r="B85" s="59" t="s">
        <v>329</v>
      </c>
      <c r="C85" t="s">
        <v>35</v>
      </c>
      <c r="D85" t="s">
        <v>107</v>
      </c>
      <c r="E85" s="66">
        <v>4</v>
      </c>
      <c r="F85" s="66">
        <v>5</v>
      </c>
    </row>
    <row r="86" spans="1:6" ht="18.75" x14ac:dyDescent="0.3">
      <c r="A86" s="58" t="s">
        <v>331</v>
      </c>
      <c r="B86" s="59" t="s">
        <v>332</v>
      </c>
      <c r="C86" t="s">
        <v>35</v>
      </c>
      <c r="D86" t="s">
        <v>108</v>
      </c>
      <c r="E86" s="66">
        <v>15</v>
      </c>
      <c r="F86" s="66">
        <v>15</v>
      </c>
    </row>
    <row r="87" spans="1:6" ht="18.75" x14ac:dyDescent="0.3">
      <c r="A87" s="58" t="s">
        <v>1015</v>
      </c>
      <c r="B87" s="59" t="s">
        <v>333</v>
      </c>
      <c r="C87" t="s">
        <v>35</v>
      </c>
      <c r="D87" t="s">
        <v>108</v>
      </c>
      <c r="E87" s="66">
        <v>80</v>
      </c>
      <c r="F87" s="66">
        <v>80</v>
      </c>
    </row>
    <row r="88" spans="1:6" ht="18.75" x14ac:dyDescent="0.25">
      <c r="A88" s="58" t="s">
        <v>334</v>
      </c>
      <c r="B88" s="60" t="s">
        <v>335</v>
      </c>
      <c r="C88" t="s">
        <v>35</v>
      </c>
      <c r="D88" t="s">
        <v>108</v>
      </c>
      <c r="E88" s="66">
        <v>1.56</v>
      </c>
      <c r="F88" s="66">
        <v>2.67</v>
      </c>
    </row>
    <row r="89" spans="1:6" ht="18.75" x14ac:dyDescent="0.25">
      <c r="A89" s="58" t="s">
        <v>336</v>
      </c>
      <c r="B89" s="60" t="s">
        <v>337</v>
      </c>
      <c r="C89" t="s">
        <v>35</v>
      </c>
      <c r="D89" t="s">
        <v>108</v>
      </c>
      <c r="E89" s="66">
        <v>1.81</v>
      </c>
      <c r="F89" s="66">
        <v>3.55</v>
      </c>
    </row>
    <row r="90" spans="1:6" ht="18.75" x14ac:dyDescent="0.25">
      <c r="A90" s="58" t="s">
        <v>338</v>
      </c>
      <c r="B90" s="60" t="s">
        <v>339</v>
      </c>
      <c r="C90" t="s">
        <v>35</v>
      </c>
      <c r="D90" t="s">
        <v>108</v>
      </c>
      <c r="E90" s="66">
        <v>1.96</v>
      </c>
      <c r="F90" s="66">
        <v>20</v>
      </c>
    </row>
    <row r="91" spans="1:6" ht="18.75" x14ac:dyDescent="0.25">
      <c r="A91" s="58" t="s">
        <v>340</v>
      </c>
      <c r="B91" s="60" t="s">
        <v>341</v>
      </c>
      <c r="C91" t="s">
        <v>35</v>
      </c>
      <c r="D91" t="s">
        <v>109</v>
      </c>
      <c r="E91" s="66">
        <v>30</v>
      </c>
      <c r="F91" s="66">
        <v>30</v>
      </c>
    </row>
    <row r="92" spans="1:6" ht="18.75" x14ac:dyDescent="0.25">
      <c r="A92" s="58" t="s">
        <v>342</v>
      </c>
      <c r="B92" s="60" t="s">
        <v>343</v>
      </c>
      <c r="C92" t="s">
        <v>35</v>
      </c>
      <c r="D92" t="s">
        <v>109</v>
      </c>
      <c r="E92" s="66">
        <v>25</v>
      </c>
      <c r="F92" s="66">
        <v>25</v>
      </c>
    </row>
    <row r="93" spans="1:6" ht="18.75" x14ac:dyDescent="0.25">
      <c r="A93" s="58" t="s">
        <v>344</v>
      </c>
      <c r="B93" s="60" t="s">
        <v>345</v>
      </c>
      <c r="C93" t="s">
        <v>35</v>
      </c>
      <c r="D93" t="s">
        <v>109</v>
      </c>
      <c r="E93" s="66">
        <v>25</v>
      </c>
      <c r="F93" s="66">
        <v>25</v>
      </c>
    </row>
    <row r="94" spans="1:6" ht="18.75" x14ac:dyDescent="0.25">
      <c r="A94" s="58" t="s">
        <v>346</v>
      </c>
      <c r="B94" s="60" t="s">
        <v>347</v>
      </c>
      <c r="C94" t="s">
        <v>35</v>
      </c>
      <c r="D94" t="s">
        <v>109</v>
      </c>
      <c r="E94" s="66">
        <v>25</v>
      </c>
      <c r="F94" s="66">
        <v>25</v>
      </c>
    </row>
    <row r="95" spans="1:6" ht="18.75" x14ac:dyDescent="0.25">
      <c r="A95" s="58" t="s">
        <v>348</v>
      </c>
      <c r="B95" s="60" t="s">
        <v>349</v>
      </c>
      <c r="C95" t="s">
        <v>35</v>
      </c>
      <c r="D95" t="s">
        <v>109</v>
      </c>
      <c r="E95" s="66">
        <v>5</v>
      </c>
      <c r="F95" s="66">
        <v>5</v>
      </c>
    </row>
    <row r="96" spans="1:6" ht="18.75" x14ac:dyDescent="0.25">
      <c r="A96" s="58" t="s">
        <v>350</v>
      </c>
      <c r="B96" s="60" t="s">
        <v>351</v>
      </c>
      <c r="C96" t="s">
        <v>35</v>
      </c>
      <c r="D96" t="s">
        <v>73</v>
      </c>
      <c r="E96" s="66">
        <v>37</v>
      </c>
      <c r="F96" s="66">
        <v>37</v>
      </c>
    </row>
    <row r="97" spans="1:6" ht="18.75" x14ac:dyDescent="0.3">
      <c r="A97" s="58" t="s">
        <v>352</v>
      </c>
      <c r="B97" s="59" t="s">
        <v>353</v>
      </c>
      <c r="C97" t="s">
        <v>35</v>
      </c>
      <c r="D97" t="s">
        <v>73</v>
      </c>
      <c r="E97" s="66">
        <v>120</v>
      </c>
      <c r="F97" s="66">
        <v>120</v>
      </c>
    </row>
    <row r="98" spans="1:6" ht="18.75" x14ac:dyDescent="0.25">
      <c r="A98" s="58" t="s">
        <v>354</v>
      </c>
      <c r="B98" s="60" t="s">
        <v>355</v>
      </c>
      <c r="C98" t="s">
        <v>35</v>
      </c>
      <c r="D98" t="s">
        <v>73</v>
      </c>
      <c r="E98" s="66">
        <v>120</v>
      </c>
      <c r="F98" s="66">
        <v>120</v>
      </c>
    </row>
    <row r="99" spans="1:6" ht="18.75" x14ac:dyDescent="0.3">
      <c r="A99" s="58" t="s">
        <v>356</v>
      </c>
      <c r="B99" s="59" t="s">
        <v>355</v>
      </c>
      <c r="C99" t="s">
        <v>35</v>
      </c>
      <c r="D99" t="s">
        <v>73</v>
      </c>
      <c r="E99" s="66">
        <v>120</v>
      </c>
      <c r="F99" s="66">
        <v>120</v>
      </c>
    </row>
    <row r="100" spans="1:6" ht="18.75" x14ac:dyDescent="0.3">
      <c r="A100" s="58" t="s">
        <v>1016</v>
      </c>
      <c r="B100" s="59" t="s">
        <v>357</v>
      </c>
      <c r="C100" t="s">
        <v>35</v>
      </c>
      <c r="D100" t="s">
        <v>73</v>
      </c>
      <c r="E100" s="66">
        <v>4.5</v>
      </c>
      <c r="F100" s="66">
        <v>4.5</v>
      </c>
    </row>
    <row r="101" spans="1:6" ht="18.75" x14ac:dyDescent="0.3">
      <c r="A101" s="58" t="s">
        <v>358</v>
      </c>
      <c r="B101" s="59" t="s">
        <v>359</v>
      </c>
      <c r="C101" t="s">
        <v>35</v>
      </c>
      <c r="D101" t="s">
        <v>74</v>
      </c>
      <c r="E101" s="66">
        <v>150</v>
      </c>
      <c r="F101" s="66">
        <v>150</v>
      </c>
    </row>
    <row r="102" spans="1:6" ht="18.75" x14ac:dyDescent="0.3">
      <c r="A102" s="58" t="s">
        <v>360</v>
      </c>
      <c r="B102" s="59" t="s">
        <v>361</v>
      </c>
      <c r="C102" t="s">
        <v>35</v>
      </c>
      <c r="D102" t="s">
        <v>74</v>
      </c>
      <c r="E102" s="66">
        <v>5</v>
      </c>
      <c r="F102" s="66">
        <v>5</v>
      </c>
    </row>
    <row r="103" spans="1:6" ht="18.75" x14ac:dyDescent="0.3">
      <c r="A103" s="58" t="s">
        <v>362</v>
      </c>
      <c r="B103" s="59" t="s">
        <v>363</v>
      </c>
      <c r="C103" t="s">
        <v>35</v>
      </c>
      <c r="D103" t="s">
        <v>74</v>
      </c>
      <c r="E103" s="66">
        <v>5</v>
      </c>
      <c r="F103" s="66">
        <v>5</v>
      </c>
    </row>
    <row r="104" spans="1:6" ht="18.75" x14ac:dyDescent="0.25">
      <c r="A104" s="58" t="s">
        <v>364</v>
      </c>
      <c r="B104" s="60" t="s">
        <v>365</v>
      </c>
      <c r="C104" t="s">
        <v>35</v>
      </c>
      <c r="D104" t="s">
        <v>74</v>
      </c>
      <c r="E104" s="66">
        <v>35</v>
      </c>
      <c r="F104" s="66">
        <v>40</v>
      </c>
    </row>
    <row r="105" spans="1:6" ht="18.75" x14ac:dyDescent="0.25">
      <c r="A105" s="58" t="s">
        <v>366</v>
      </c>
      <c r="B105" s="60" t="s">
        <v>367</v>
      </c>
      <c r="C105" t="s">
        <v>35</v>
      </c>
      <c r="D105" t="s">
        <v>74</v>
      </c>
      <c r="E105" s="66">
        <v>15</v>
      </c>
      <c r="F105" s="66">
        <v>15</v>
      </c>
    </row>
    <row r="106" spans="1:6" ht="18.75" x14ac:dyDescent="0.3">
      <c r="A106" s="58" t="s">
        <v>368</v>
      </c>
      <c r="B106" s="59" t="s">
        <v>369</v>
      </c>
      <c r="C106" t="s">
        <v>35</v>
      </c>
      <c r="D106" t="s">
        <v>110</v>
      </c>
      <c r="E106" s="66">
        <v>25</v>
      </c>
      <c r="F106" s="66">
        <v>25</v>
      </c>
    </row>
    <row r="107" spans="1:6" ht="18.75" x14ac:dyDescent="0.3">
      <c r="A107" s="58" t="s">
        <v>370</v>
      </c>
      <c r="B107" s="59" t="s">
        <v>371</v>
      </c>
      <c r="C107" t="s">
        <v>35</v>
      </c>
      <c r="D107" t="s">
        <v>110</v>
      </c>
      <c r="E107" s="66">
        <v>15</v>
      </c>
      <c r="F107" s="66">
        <v>15</v>
      </c>
    </row>
    <row r="108" spans="1:6" ht="18.75" x14ac:dyDescent="0.25">
      <c r="A108" s="58" t="s">
        <v>372</v>
      </c>
      <c r="B108" s="60" t="s">
        <v>373</v>
      </c>
      <c r="C108" t="s">
        <v>35</v>
      </c>
      <c r="D108" t="s">
        <v>110</v>
      </c>
      <c r="E108" s="66">
        <v>180</v>
      </c>
      <c r="F108" s="66">
        <v>180</v>
      </c>
    </row>
    <row r="109" spans="1:6" ht="18.75" x14ac:dyDescent="0.3">
      <c r="A109" s="58" t="s">
        <v>374</v>
      </c>
      <c r="B109" s="59" t="s">
        <v>375</v>
      </c>
      <c r="C109" t="s">
        <v>35</v>
      </c>
      <c r="D109" t="s">
        <v>110</v>
      </c>
      <c r="E109" s="66">
        <v>1.22</v>
      </c>
      <c r="F109" s="66">
        <v>3.16</v>
      </c>
    </row>
    <row r="110" spans="1:6" ht="18.75" x14ac:dyDescent="0.3">
      <c r="A110" s="58" t="s">
        <v>376</v>
      </c>
      <c r="B110" s="59" t="s">
        <v>377</v>
      </c>
      <c r="C110" t="s">
        <v>35</v>
      </c>
      <c r="D110" t="s">
        <v>111</v>
      </c>
      <c r="E110" s="66">
        <v>20</v>
      </c>
      <c r="F110" s="66">
        <v>20</v>
      </c>
    </row>
    <row r="111" spans="1:6" ht="18.75" x14ac:dyDescent="0.25">
      <c r="A111" s="58" t="s">
        <v>378</v>
      </c>
      <c r="B111" s="60" t="s">
        <v>379</v>
      </c>
      <c r="C111" t="s">
        <v>35</v>
      </c>
      <c r="D111" t="s">
        <v>111</v>
      </c>
      <c r="E111" s="66">
        <v>7</v>
      </c>
      <c r="F111" s="66">
        <v>7</v>
      </c>
    </row>
    <row r="112" spans="1:6" ht="18.75" x14ac:dyDescent="0.3">
      <c r="A112" s="58" t="s">
        <v>380</v>
      </c>
      <c r="B112" s="59" t="s">
        <v>381</v>
      </c>
      <c r="C112" t="s">
        <v>35</v>
      </c>
      <c r="D112" t="s">
        <v>111</v>
      </c>
      <c r="E112" s="66">
        <v>15</v>
      </c>
      <c r="F112" s="66">
        <v>15</v>
      </c>
    </row>
    <row r="113" spans="1:6" ht="18.75" x14ac:dyDescent="0.3">
      <c r="A113" s="58" t="s">
        <v>382</v>
      </c>
      <c r="B113" s="59" t="s">
        <v>383</v>
      </c>
      <c r="C113" t="s">
        <v>35</v>
      </c>
      <c r="D113" t="s">
        <v>111</v>
      </c>
      <c r="E113" s="66">
        <v>20</v>
      </c>
      <c r="F113" s="66">
        <v>20</v>
      </c>
    </row>
    <row r="114" spans="1:6" ht="18.75" x14ac:dyDescent="0.3">
      <c r="A114" s="58" t="s">
        <v>384</v>
      </c>
      <c r="B114" s="59" t="s">
        <v>385</v>
      </c>
      <c r="C114" t="s">
        <v>35</v>
      </c>
      <c r="D114" t="s">
        <v>111</v>
      </c>
      <c r="E114" s="66">
        <v>20</v>
      </c>
      <c r="F114" s="66">
        <v>20</v>
      </c>
    </row>
    <row r="115" spans="1:6" ht="18.75" x14ac:dyDescent="0.3">
      <c r="A115" s="58" t="s">
        <v>386</v>
      </c>
      <c r="B115" s="59" t="s">
        <v>387</v>
      </c>
      <c r="C115" t="s">
        <v>36</v>
      </c>
      <c r="D115" t="s">
        <v>112</v>
      </c>
      <c r="E115" s="66">
        <v>20</v>
      </c>
      <c r="F115" s="66">
        <v>20</v>
      </c>
    </row>
    <row r="116" spans="1:6" ht="18.75" x14ac:dyDescent="0.25">
      <c r="A116" s="58" t="s">
        <v>388</v>
      </c>
      <c r="B116" s="60" t="s">
        <v>389</v>
      </c>
      <c r="C116" t="s">
        <v>36</v>
      </c>
      <c r="D116" t="s">
        <v>112</v>
      </c>
      <c r="E116" s="66">
        <v>15</v>
      </c>
      <c r="F116" s="66">
        <v>15</v>
      </c>
    </row>
    <row r="117" spans="1:6" ht="18.75" x14ac:dyDescent="0.25">
      <c r="A117" s="61" t="s">
        <v>390</v>
      </c>
      <c r="B117" s="60" t="s">
        <v>391</v>
      </c>
      <c r="C117" t="s">
        <v>36</v>
      </c>
      <c r="D117" t="s">
        <v>112</v>
      </c>
      <c r="E117" s="66">
        <v>20</v>
      </c>
      <c r="F117" s="66">
        <v>20</v>
      </c>
    </row>
    <row r="118" spans="1:6" ht="18.75" x14ac:dyDescent="0.3">
      <c r="A118" s="58" t="s">
        <v>392</v>
      </c>
      <c r="B118" s="59" t="s">
        <v>393</v>
      </c>
      <c r="C118" t="s">
        <v>36</v>
      </c>
      <c r="D118" t="s">
        <v>112</v>
      </c>
      <c r="E118" s="66">
        <v>40</v>
      </c>
      <c r="F118" s="66">
        <v>45</v>
      </c>
    </row>
    <row r="119" spans="1:6" ht="18.75" x14ac:dyDescent="0.3">
      <c r="A119" s="58" t="s">
        <v>394</v>
      </c>
      <c r="B119" s="59" t="s">
        <v>395</v>
      </c>
      <c r="C119" t="s">
        <v>36</v>
      </c>
      <c r="D119" t="s">
        <v>112</v>
      </c>
      <c r="E119" s="66">
        <v>20</v>
      </c>
      <c r="F119" s="66">
        <v>20</v>
      </c>
    </row>
    <row r="120" spans="1:6" ht="18.75" x14ac:dyDescent="0.3">
      <c r="A120" s="58" t="s">
        <v>396</v>
      </c>
      <c r="B120" s="59" t="s">
        <v>397</v>
      </c>
      <c r="C120" t="s">
        <v>36</v>
      </c>
      <c r="D120" t="s">
        <v>49</v>
      </c>
      <c r="E120" s="66">
        <v>20</v>
      </c>
      <c r="F120" s="66">
        <v>20</v>
      </c>
    </row>
    <row r="121" spans="1:6" ht="18.75" x14ac:dyDescent="0.3">
      <c r="A121" s="58" t="s">
        <v>398</v>
      </c>
      <c r="B121" s="59" t="s">
        <v>399</v>
      </c>
      <c r="C121" t="s">
        <v>36</v>
      </c>
      <c r="D121" t="s">
        <v>49</v>
      </c>
      <c r="E121" s="66">
        <v>13.5</v>
      </c>
      <c r="F121" s="66">
        <v>16</v>
      </c>
    </row>
    <row r="122" spans="1:6" ht="18.75" x14ac:dyDescent="0.3">
      <c r="A122" s="58" t="s">
        <v>400</v>
      </c>
      <c r="B122" s="59" t="s">
        <v>401</v>
      </c>
      <c r="C122" t="s">
        <v>36</v>
      </c>
      <c r="D122" t="s">
        <v>49</v>
      </c>
      <c r="E122" s="66">
        <v>20</v>
      </c>
      <c r="F122" s="66">
        <v>20</v>
      </c>
    </row>
    <row r="123" spans="1:6" ht="18.75" x14ac:dyDescent="0.25">
      <c r="A123" s="58" t="s">
        <v>402</v>
      </c>
      <c r="B123" s="60" t="s">
        <v>403</v>
      </c>
      <c r="C123" t="s">
        <v>36</v>
      </c>
      <c r="D123" t="s">
        <v>49</v>
      </c>
      <c r="E123" s="66">
        <v>20</v>
      </c>
      <c r="F123" s="66">
        <v>20</v>
      </c>
    </row>
    <row r="124" spans="1:6" ht="18.75" x14ac:dyDescent="0.3">
      <c r="A124" s="58" t="s">
        <v>404</v>
      </c>
      <c r="B124" s="59" t="s">
        <v>405</v>
      </c>
      <c r="C124" t="s">
        <v>36</v>
      </c>
      <c r="D124" t="s">
        <v>49</v>
      </c>
      <c r="E124" s="66">
        <v>20</v>
      </c>
      <c r="F124" s="66">
        <v>20</v>
      </c>
    </row>
    <row r="125" spans="1:6" ht="18.75" x14ac:dyDescent="0.3">
      <c r="A125" s="58" t="s">
        <v>406</v>
      </c>
      <c r="B125" s="59" t="s">
        <v>405</v>
      </c>
      <c r="C125" t="s">
        <v>36</v>
      </c>
      <c r="D125" t="s">
        <v>47</v>
      </c>
      <c r="E125" s="66">
        <v>20</v>
      </c>
      <c r="F125" s="66">
        <v>20</v>
      </c>
    </row>
    <row r="126" spans="1:6" ht="18.75" x14ac:dyDescent="0.3">
      <c r="A126" s="58" t="s">
        <v>407</v>
      </c>
      <c r="B126" s="63" t="s">
        <v>408</v>
      </c>
      <c r="C126" t="s">
        <v>36</v>
      </c>
      <c r="D126" t="s">
        <v>47</v>
      </c>
      <c r="E126" s="66">
        <v>20</v>
      </c>
      <c r="F126" s="66">
        <v>20</v>
      </c>
    </row>
    <row r="127" spans="1:6" ht="18.75" x14ac:dyDescent="0.25">
      <c r="A127" s="58" t="s">
        <v>409</v>
      </c>
      <c r="B127" s="60" t="s">
        <v>410</v>
      </c>
      <c r="C127" t="s">
        <v>36</v>
      </c>
      <c r="D127" t="s">
        <v>47</v>
      </c>
      <c r="E127" s="66">
        <v>20</v>
      </c>
      <c r="F127" s="66">
        <v>20</v>
      </c>
    </row>
    <row r="128" spans="1:6" ht="18.75" x14ac:dyDescent="0.3">
      <c r="A128" s="58" t="s">
        <v>411</v>
      </c>
      <c r="B128" s="59" t="s">
        <v>412</v>
      </c>
      <c r="C128" t="s">
        <v>36</v>
      </c>
      <c r="D128" t="s">
        <v>47</v>
      </c>
      <c r="E128" s="66">
        <v>20</v>
      </c>
      <c r="F128" s="66">
        <v>20</v>
      </c>
    </row>
    <row r="129" spans="1:6" ht="18.75" x14ac:dyDescent="0.3">
      <c r="A129" s="58" t="s">
        <v>413</v>
      </c>
      <c r="B129" s="59" t="s">
        <v>414</v>
      </c>
      <c r="C129" t="s">
        <v>36</v>
      </c>
      <c r="D129" t="s">
        <v>89</v>
      </c>
      <c r="E129" s="66">
        <v>10</v>
      </c>
      <c r="F129" s="66">
        <v>10</v>
      </c>
    </row>
    <row r="130" spans="1:6" ht="18.75" x14ac:dyDescent="0.25">
      <c r="A130" s="58" t="s">
        <v>415</v>
      </c>
      <c r="B130" s="60" t="s">
        <v>416</v>
      </c>
      <c r="C130" t="s">
        <v>36</v>
      </c>
      <c r="D130" t="s">
        <v>89</v>
      </c>
      <c r="E130" s="66">
        <v>15</v>
      </c>
      <c r="F130" s="66">
        <v>15</v>
      </c>
    </row>
    <row r="131" spans="1:6" ht="18.75" x14ac:dyDescent="0.3">
      <c r="A131" s="58" t="s">
        <v>417</v>
      </c>
      <c r="B131" s="59" t="s">
        <v>416</v>
      </c>
      <c r="C131" t="s">
        <v>36</v>
      </c>
      <c r="D131" t="s">
        <v>89</v>
      </c>
      <c r="E131" s="66">
        <v>15</v>
      </c>
      <c r="F131" s="66">
        <v>15</v>
      </c>
    </row>
    <row r="132" spans="1:6" ht="18.75" x14ac:dyDescent="0.3">
      <c r="A132" s="58" t="s">
        <v>418</v>
      </c>
      <c r="B132" s="59" t="s">
        <v>419</v>
      </c>
      <c r="C132" t="s">
        <v>36</v>
      </c>
      <c r="D132" t="s">
        <v>89</v>
      </c>
      <c r="E132" s="66">
        <v>15</v>
      </c>
      <c r="F132" s="66">
        <v>15</v>
      </c>
    </row>
    <row r="133" spans="1:6" ht="18.75" x14ac:dyDescent="0.3">
      <c r="A133" s="58" t="s">
        <v>420</v>
      </c>
      <c r="B133" s="59" t="s">
        <v>419</v>
      </c>
      <c r="C133" t="s">
        <v>36</v>
      </c>
      <c r="D133" t="s">
        <v>69</v>
      </c>
      <c r="E133" s="66">
        <v>15</v>
      </c>
      <c r="F133" s="66">
        <v>15</v>
      </c>
    </row>
    <row r="134" spans="1:6" ht="18.75" x14ac:dyDescent="0.25">
      <c r="A134" s="58" t="s">
        <v>407</v>
      </c>
      <c r="B134" s="60" t="s">
        <v>421</v>
      </c>
      <c r="C134" t="s">
        <v>36</v>
      </c>
      <c r="D134" t="s">
        <v>69</v>
      </c>
      <c r="E134" s="66">
        <v>10</v>
      </c>
      <c r="F134" s="66">
        <v>10</v>
      </c>
    </row>
    <row r="135" spans="1:6" ht="18.75" x14ac:dyDescent="0.3">
      <c r="A135" s="58" t="s">
        <v>422</v>
      </c>
      <c r="B135" s="59" t="s">
        <v>423</v>
      </c>
      <c r="C135" t="s">
        <v>36</v>
      </c>
      <c r="D135" t="s">
        <v>69</v>
      </c>
      <c r="E135" s="66">
        <v>18</v>
      </c>
      <c r="F135" s="66">
        <v>18</v>
      </c>
    </row>
    <row r="136" spans="1:6" ht="18.75" x14ac:dyDescent="0.25">
      <c r="A136" s="58" t="s">
        <v>424</v>
      </c>
      <c r="B136" s="60" t="s">
        <v>425</v>
      </c>
      <c r="C136" t="s">
        <v>36</v>
      </c>
      <c r="D136" t="s">
        <v>69</v>
      </c>
      <c r="E136" s="66">
        <v>90</v>
      </c>
      <c r="F136" s="66">
        <v>90</v>
      </c>
    </row>
    <row r="137" spans="1:6" ht="18.75" x14ac:dyDescent="0.3">
      <c r="A137" s="58" t="s">
        <v>426</v>
      </c>
      <c r="B137" s="59" t="s">
        <v>427</v>
      </c>
      <c r="C137" t="s">
        <v>36</v>
      </c>
      <c r="D137" t="s">
        <v>113</v>
      </c>
      <c r="E137" s="66">
        <v>19</v>
      </c>
      <c r="F137" s="66">
        <v>19</v>
      </c>
    </row>
    <row r="138" spans="1:6" ht="18.75" x14ac:dyDescent="0.25">
      <c r="A138" s="58" t="s">
        <v>428</v>
      </c>
      <c r="B138" s="60" t="s">
        <v>429</v>
      </c>
      <c r="C138" t="s">
        <v>36</v>
      </c>
      <c r="D138" t="s">
        <v>113</v>
      </c>
      <c r="E138" s="66">
        <v>40</v>
      </c>
      <c r="F138" s="66">
        <v>40</v>
      </c>
    </row>
    <row r="139" spans="1:6" ht="18.75" x14ac:dyDescent="0.3">
      <c r="A139" s="58" t="s">
        <v>1017</v>
      </c>
      <c r="B139" s="59" t="s">
        <v>430</v>
      </c>
      <c r="C139" t="s">
        <v>36</v>
      </c>
      <c r="D139" t="s">
        <v>113</v>
      </c>
      <c r="E139" s="66">
        <v>150</v>
      </c>
      <c r="F139" s="66">
        <v>150</v>
      </c>
    </row>
    <row r="140" spans="1:6" ht="18.75" x14ac:dyDescent="0.3">
      <c r="A140" s="58" t="s">
        <v>431</v>
      </c>
      <c r="B140" s="59" t="s">
        <v>432</v>
      </c>
      <c r="C140" t="s">
        <v>36</v>
      </c>
      <c r="D140" t="s">
        <v>113</v>
      </c>
      <c r="E140" s="66">
        <v>30</v>
      </c>
      <c r="F140" s="66">
        <v>30</v>
      </c>
    </row>
    <row r="141" spans="1:6" ht="18.75" x14ac:dyDescent="0.25">
      <c r="A141" s="58" t="s">
        <v>433</v>
      </c>
      <c r="B141" s="60" t="s">
        <v>434</v>
      </c>
      <c r="C141" t="s">
        <v>36</v>
      </c>
      <c r="D141" t="s">
        <v>113</v>
      </c>
      <c r="E141" s="66">
        <v>25</v>
      </c>
      <c r="F141" s="66">
        <v>25</v>
      </c>
    </row>
    <row r="142" spans="1:6" ht="18.75" x14ac:dyDescent="0.25">
      <c r="A142" s="58" t="s">
        <v>435</v>
      </c>
      <c r="B142" s="60" t="s">
        <v>436</v>
      </c>
      <c r="C142" t="s">
        <v>36</v>
      </c>
      <c r="D142" t="s">
        <v>114</v>
      </c>
      <c r="E142" s="66">
        <v>6.5</v>
      </c>
      <c r="F142" s="66">
        <v>6.5</v>
      </c>
    </row>
    <row r="143" spans="1:6" ht="18.75" x14ac:dyDescent="0.25">
      <c r="A143" s="58" t="s">
        <v>437</v>
      </c>
      <c r="B143" s="60" t="s">
        <v>438</v>
      </c>
      <c r="C143" t="s">
        <v>36</v>
      </c>
      <c r="D143" t="s">
        <v>114</v>
      </c>
      <c r="E143" s="66">
        <v>6.5</v>
      </c>
      <c r="F143" s="66">
        <v>6.5</v>
      </c>
    </row>
    <row r="144" spans="1:6" ht="18.75" x14ac:dyDescent="0.25">
      <c r="A144" s="58" t="s">
        <v>439</v>
      </c>
      <c r="B144" s="60" t="s">
        <v>440</v>
      </c>
      <c r="C144" t="s">
        <v>36</v>
      </c>
      <c r="D144" t="s">
        <v>114</v>
      </c>
      <c r="E144" s="66">
        <v>6.5</v>
      </c>
      <c r="F144" s="66">
        <v>6.5</v>
      </c>
    </row>
    <row r="145" spans="1:6" ht="18.75" x14ac:dyDescent="0.3">
      <c r="A145" s="58" t="s">
        <v>441</v>
      </c>
      <c r="B145" s="59" t="s">
        <v>442</v>
      </c>
      <c r="C145" t="s">
        <v>36</v>
      </c>
      <c r="D145" t="s">
        <v>114</v>
      </c>
      <c r="E145" s="66">
        <v>1.96</v>
      </c>
      <c r="F145" s="66">
        <v>3.04</v>
      </c>
    </row>
    <row r="146" spans="1:6" ht="18.75" x14ac:dyDescent="0.3">
      <c r="A146" s="58" t="s">
        <v>443</v>
      </c>
      <c r="B146" s="59" t="s">
        <v>444</v>
      </c>
      <c r="C146" t="s">
        <v>36</v>
      </c>
      <c r="D146" t="s">
        <v>114</v>
      </c>
      <c r="E146" s="66">
        <v>1.66</v>
      </c>
      <c r="F146" s="66">
        <v>2.75</v>
      </c>
    </row>
    <row r="147" spans="1:6" ht="18.75" x14ac:dyDescent="0.3">
      <c r="A147" s="58" t="s">
        <v>445</v>
      </c>
      <c r="B147" s="59" t="s">
        <v>446</v>
      </c>
      <c r="C147" t="s">
        <v>36</v>
      </c>
      <c r="D147" t="s">
        <v>48</v>
      </c>
      <c r="E147" s="66">
        <v>20</v>
      </c>
      <c r="F147" s="66">
        <v>20</v>
      </c>
    </row>
    <row r="148" spans="1:6" ht="18.75" x14ac:dyDescent="0.3">
      <c r="A148" s="58" t="s">
        <v>447</v>
      </c>
      <c r="B148" s="59" t="s">
        <v>448</v>
      </c>
      <c r="C148" t="s">
        <v>36</v>
      </c>
      <c r="D148" t="s">
        <v>48</v>
      </c>
      <c r="E148" s="66">
        <v>20</v>
      </c>
      <c r="F148" s="66">
        <v>20</v>
      </c>
    </row>
    <row r="149" spans="1:6" ht="18.75" x14ac:dyDescent="0.3">
      <c r="A149" s="58" t="s">
        <v>449</v>
      </c>
      <c r="B149" s="59" t="s">
        <v>450</v>
      </c>
      <c r="C149" t="s">
        <v>36</v>
      </c>
      <c r="D149" t="s">
        <v>48</v>
      </c>
      <c r="E149" s="66">
        <v>20</v>
      </c>
      <c r="F149" s="66">
        <v>20</v>
      </c>
    </row>
    <row r="150" spans="1:6" ht="18.75" x14ac:dyDescent="0.3">
      <c r="A150" s="58" t="s">
        <v>451</v>
      </c>
      <c r="B150" s="59" t="s">
        <v>452</v>
      </c>
      <c r="C150" t="s">
        <v>36</v>
      </c>
      <c r="D150" t="s">
        <v>48</v>
      </c>
      <c r="E150" s="66">
        <v>20</v>
      </c>
      <c r="F150" s="66">
        <v>20</v>
      </c>
    </row>
    <row r="151" spans="1:6" ht="18.75" x14ac:dyDescent="0.3">
      <c r="A151" s="58" t="s">
        <v>453</v>
      </c>
      <c r="B151" s="59" t="s">
        <v>454</v>
      </c>
      <c r="C151" t="s">
        <v>36</v>
      </c>
      <c r="D151" t="s">
        <v>48</v>
      </c>
      <c r="E151" s="66">
        <v>40</v>
      </c>
      <c r="F151" s="66">
        <v>40</v>
      </c>
    </row>
    <row r="152" spans="1:6" ht="18.75" x14ac:dyDescent="0.3">
      <c r="A152" s="58" t="s">
        <v>455</v>
      </c>
      <c r="B152" s="59" t="s">
        <v>456</v>
      </c>
      <c r="C152" t="s">
        <v>36</v>
      </c>
      <c r="D152" t="s">
        <v>115</v>
      </c>
      <c r="E152" s="66">
        <v>40</v>
      </c>
      <c r="F152" s="66">
        <v>40</v>
      </c>
    </row>
    <row r="153" spans="1:6" ht="18.75" x14ac:dyDescent="0.3">
      <c r="A153" s="58" t="s">
        <v>457</v>
      </c>
      <c r="B153" s="59" t="s">
        <v>458</v>
      </c>
      <c r="C153" t="s">
        <v>36</v>
      </c>
      <c r="D153" t="s">
        <v>115</v>
      </c>
      <c r="E153" s="66">
        <v>35</v>
      </c>
      <c r="F153" s="66">
        <v>35</v>
      </c>
    </row>
    <row r="154" spans="1:6" ht="18.75" x14ac:dyDescent="0.25">
      <c r="A154" s="58" t="s">
        <v>459</v>
      </c>
      <c r="B154" s="60" t="s">
        <v>460</v>
      </c>
      <c r="C154" t="s">
        <v>36</v>
      </c>
      <c r="D154" t="s">
        <v>115</v>
      </c>
      <c r="E154" s="66">
        <v>20</v>
      </c>
      <c r="F154" s="66">
        <v>20</v>
      </c>
    </row>
    <row r="155" spans="1:6" ht="18.75" x14ac:dyDescent="0.3">
      <c r="A155" s="58" t="s">
        <v>461</v>
      </c>
      <c r="B155" s="59" t="s">
        <v>462</v>
      </c>
      <c r="C155" t="s">
        <v>36</v>
      </c>
      <c r="D155" t="s">
        <v>115</v>
      </c>
      <c r="E155" s="66">
        <v>35</v>
      </c>
      <c r="F155" s="66">
        <v>35</v>
      </c>
    </row>
    <row r="156" spans="1:6" ht="18.75" x14ac:dyDescent="0.3">
      <c r="A156" s="58" t="s">
        <v>463</v>
      </c>
      <c r="B156" s="59" t="s">
        <v>464</v>
      </c>
      <c r="C156" t="s">
        <v>36</v>
      </c>
      <c r="D156" t="s">
        <v>116</v>
      </c>
      <c r="E156" s="66">
        <v>35</v>
      </c>
      <c r="F156" s="66">
        <v>35</v>
      </c>
    </row>
    <row r="157" spans="1:6" ht="18.75" x14ac:dyDescent="0.25">
      <c r="A157" s="58" t="s">
        <v>465</v>
      </c>
      <c r="B157" s="60" t="s">
        <v>466</v>
      </c>
      <c r="C157" t="s">
        <v>36</v>
      </c>
      <c r="D157" t="s">
        <v>116</v>
      </c>
      <c r="E157" s="66">
        <v>35</v>
      </c>
      <c r="F157" s="66">
        <v>35</v>
      </c>
    </row>
    <row r="158" spans="1:6" ht="18.75" x14ac:dyDescent="0.25">
      <c r="A158" s="58" t="s">
        <v>467</v>
      </c>
      <c r="B158" s="60" t="s">
        <v>468</v>
      </c>
      <c r="C158" t="s">
        <v>36</v>
      </c>
      <c r="D158" t="s">
        <v>116</v>
      </c>
      <c r="E158" s="66">
        <v>30</v>
      </c>
      <c r="F158" s="66">
        <v>30</v>
      </c>
    </row>
    <row r="159" spans="1:6" ht="18.75" x14ac:dyDescent="0.3">
      <c r="A159" s="58" t="s">
        <v>469</v>
      </c>
      <c r="B159" s="59" t="s">
        <v>470</v>
      </c>
      <c r="C159" t="s">
        <v>36</v>
      </c>
      <c r="D159" t="s">
        <v>116</v>
      </c>
      <c r="E159" s="66">
        <v>30</v>
      </c>
      <c r="F159" s="66">
        <v>30</v>
      </c>
    </row>
    <row r="160" spans="1:6" ht="18.75" x14ac:dyDescent="0.25">
      <c r="A160" s="58" t="s">
        <v>471</v>
      </c>
      <c r="B160" s="60" t="s">
        <v>472</v>
      </c>
      <c r="C160" t="s">
        <v>36</v>
      </c>
      <c r="D160" t="s">
        <v>116</v>
      </c>
      <c r="E160" s="66">
        <v>30</v>
      </c>
      <c r="F160" s="66">
        <v>30</v>
      </c>
    </row>
    <row r="161" spans="1:6" ht="18.75" x14ac:dyDescent="0.25">
      <c r="A161" s="58" t="s">
        <v>473</v>
      </c>
      <c r="B161" s="60" t="s">
        <v>474</v>
      </c>
      <c r="C161" t="s">
        <v>36</v>
      </c>
      <c r="D161" t="s">
        <v>117</v>
      </c>
      <c r="E161" s="66">
        <v>30</v>
      </c>
      <c r="F161" s="66">
        <v>30</v>
      </c>
    </row>
    <row r="162" spans="1:6" ht="18.75" x14ac:dyDescent="0.25">
      <c r="A162" s="58" t="s">
        <v>475</v>
      </c>
      <c r="B162" s="60" t="s">
        <v>476</v>
      </c>
      <c r="C162" t="s">
        <v>36</v>
      </c>
      <c r="D162" t="s">
        <v>117</v>
      </c>
      <c r="E162" s="66">
        <v>30</v>
      </c>
      <c r="F162" s="66">
        <v>30</v>
      </c>
    </row>
    <row r="163" spans="1:6" ht="18.75" x14ac:dyDescent="0.25">
      <c r="A163" s="58" t="s">
        <v>477</v>
      </c>
      <c r="B163" s="60" t="s">
        <v>478</v>
      </c>
      <c r="C163" t="s">
        <v>36</v>
      </c>
      <c r="D163" t="s">
        <v>117</v>
      </c>
      <c r="E163" s="66">
        <v>30</v>
      </c>
      <c r="F163" s="66">
        <v>30</v>
      </c>
    </row>
    <row r="164" spans="1:6" ht="18.75" x14ac:dyDescent="0.3">
      <c r="A164" s="58" t="s">
        <v>479</v>
      </c>
      <c r="B164" s="59" t="s">
        <v>480</v>
      </c>
      <c r="C164" t="s">
        <v>36</v>
      </c>
      <c r="D164" t="s">
        <v>117</v>
      </c>
      <c r="E164" s="66">
        <v>20</v>
      </c>
      <c r="F164" s="66">
        <v>20</v>
      </c>
    </row>
    <row r="165" spans="1:6" ht="18.75" x14ac:dyDescent="0.25">
      <c r="A165" s="58" t="s">
        <v>481</v>
      </c>
      <c r="B165" s="60" t="s">
        <v>482</v>
      </c>
      <c r="C165" t="s">
        <v>36</v>
      </c>
      <c r="D165" t="s">
        <v>118</v>
      </c>
      <c r="E165" s="66">
        <v>20</v>
      </c>
      <c r="F165" s="66">
        <v>20</v>
      </c>
    </row>
    <row r="166" spans="1:6" ht="18.75" x14ac:dyDescent="0.25">
      <c r="A166" s="58" t="s">
        <v>483</v>
      </c>
      <c r="B166" s="60" t="s">
        <v>484</v>
      </c>
      <c r="C166" t="s">
        <v>36</v>
      </c>
      <c r="D166" t="s">
        <v>118</v>
      </c>
      <c r="E166" s="66">
        <v>30</v>
      </c>
      <c r="F166" s="66">
        <v>30</v>
      </c>
    </row>
    <row r="167" spans="1:6" ht="18.75" x14ac:dyDescent="0.3">
      <c r="A167" s="58" t="s">
        <v>1285</v>
      </c>
      <c r="B167" s="59" t="s">
        <v>485</v>
      </c>
      <c r="C167" t="s">
        <v>36</v>
      </c>
      <c r="D167" t="s">
        <v>118</v>
      </c>
      <c r="E167" s="66">
        <v>80</v>
      </c>
      <c r="F167" s="66">
        <v>80</v>
      </c>
    </row>
    <row r="168" spans="1:6" ht="18.75" x14ac:dyDescent="0.25">
      <c r="A168" s="58" t="s">
        <v>486</v>
      </c>
      <c r="B168" s="60" t="s">
        <v>487</v>
      </c>
      <c r="C168" t="s">
        <v>36</v>
      </c>
      <c r="D168" t="s">
        <v>118</v>
      </c>
      <c r="E168" s="66">
        <v>30</v>
      </c>
      <c r="F168" s="66">
        <v>30</v>
      </c>
    </row>
    <row r="169" spans="1:6" ht="18.75" x14ac:dyDescent="0.25">
      <c r="A169" s="58" t="s">
        <v>488</v>
      </c>
      <c r="B169" s="60" t="s">
        <v>489</v>
      </c>
      <c r="C169" t="s">
        <v>37</v>
      </c>
      <c r="D169" t="s">
        <v>119</v>
      </c>
      <c r="E169" s="66">
        <v>30</v>
      </c>
      <c r="F169" s="66">
        <v>30</v>
      </c>
    </row>
    <row r="170" spans="1:6" ht="18.75" x14ac:dyDescent="0.25">
      <c r="A170" s="58" t="s">
        <v>490</v>
      </c>
      <c r="B170" s="60" t="s">
        <v>491</v>
      </c>
      <c r="C170" t="s">
        <v>37</v>
      </c>
      <c r="D170" t="s">
        <v>119</v>
      </c>
      <c r="E170" s="66">
        <v>30</v>
      </c>
      <c r="F170" s="66">
        <v>30</v>
      </c>
    </row>
    <row r="171" spans="1:6" ht="18.75" x14ac:dyDescent="0.25">
      <c r="A171" s="58" t="s">
        <v>492</v>
      </c>
      <c r="B171" s="60" t="s">
        <v>493</v>
      </c>
      <c r="C171" t="s">
        <v>37</v>
      </c>
      <c r="D171" t="s">
        <v>119</v>
      </c>
      <c r="E171" s="66">
        <v>50</v>
      </c>
      <c r="F171" s="66">
        <v>50</v>
      </c>
    </row>
    <row r="172" spans="1:6" ht="18.75" x14ac:dyDescent="0.3">
      <c r="A172" s="58" t="s">
        <v>494</v>
      </c>
      <c r="B172" s="59" t="s">
        <v>495</v>
      </c>
      <c r="C172" t="s">
        <v>37</v>
      </c>
      <c r="D172" t="s">
        <v>119</v>
      </c>
      <c r="E172" s="66">
        <v>15</v>
      </c>
      <c r="F172" s="66">
        <v>15</v>
      </c>
    </row>
    <row r="173" spans="1:6" ht="18.75" x14ac:dyDescent="0.3">
      <c r="A173" s="58" t="s">
        <v>496</v>
      </c>
      <c r="B173" s="59" t="s">
        <v>497</v>
      </c>
      <c r="C173" t="s">
        <v>37</v>
      </c>
      <c r="D173" t="s">
        <v>45</v>
      </c>
      <c r="E173" s="66">
        <v>350</v>
      </c>
      <c r="F173" s="66">
        <v>350</v>
      </c>
    </row>
    <row r="174" spans="1:6" ht="18.75" x14ac:dyDescent="0.25">
      <c r="A174" s="58" t="s">
        <v>498</v>
      </c>
      <c r="B174" s="60" t="s">
        <v>499</v>
      </c>
      <c r="C174" t="s">
        <v>37</v>
      </c>
      <c r="D174" t="s">
        <v>45</v>
      </c>
      <c r="E174" s="66">
        <v>130</v>
      </c>
      <c r="F174" s="66">
        <v>130</v>
      </c>
    </row>
    <row r="175" spans="1:6" ht="18.75" x14ac:dyDescent="0.25">
      <c r="A175" s="58" t="s">
        <v>500</v>
      </c>
      <c r="B175" s="60" t="s">
        <v>501</v>
      </c>
      <c r="C175" t="s">
        <v>37</v>
      </c>
      <c r="D175" t="s">
        <v>45</v>
      </c>
      <c r="E175" s="66">
        <v>130</v>
      </c>
      <c r="F175" s="66">
        <v>130</v>
      </c>
    </row>
    <row r="176" spans="1:6" ht="18.75" x14ac:dyDescent="0.25">
      <c r="A176" s="58" t="s">
        <v>502</v>
      </c>
      <c r="B176" s="60" t="s">
        <v>503</v>
      </c>
      <c r="C176" t="s">
        <v>37</v>
      </c>
      <c r="D176" t="s">
        <v>45</v>
      </c>
      <c r="E176" s="66">
        <v>130</v>
      </c>
      <c r="F176" s="66">
        <v>130</v>
      </c>
    </row>
    <row r="177" spans="1:6" ht="18.75" x14ac:dyDescent="0.25">
      <c r="A177" s="58" t="s">
        <v>504</v>
      </c>
      <c r="B177" s="60" t="s">
        <v>505</v>
      </c>
      <c r="C177" t="s">
        <v>37</v>
      </c>
      <c r="D177" t="s">
        <v>45</v>
      </c>
      <c r="E177" s="66">
        <v>70</v>
      </c>
      <c r="F177" s="66">
        <v>70</v>
      </c>
    </row>
    <row r="178" spans="1:6" ht="18.75" x14ac:dyDescent="0.3">
      <c r="A178" s="58" t="s">
        <v>1284</v>
      </c>
      <c r="B178" s="59" t="s">
        <v>1283</v>
      </c>
      <c r="C178" t="s">
        <v>37</v>
      </c>
      <c r="D178" t="s">
        <v>66</v>
      </c>
      <c r="E178" s="66">
        <v>1.24</v>
      </c>
      <c r="F178" s="66">
        <v>3.22</v>
      </c>
    </row>
    <row r="179" spans="1:6" ht="18.75" x14ac:dyDescent="0.3">
      <c r="A179" s="58" t="s">
        <v>1282</v>
      </c>
      <c r="B179" s="59" t="s">
        <v>506</v>
      </c>
      <c r="C179" t="s">
        <v>37</v>
      </c>
      <c r="D179" t="s">
        <v>66</v>
      </c>
      <c r="E179" s="66">
        <v>300</v>
      </c>
      <c r="F179" s="66">
        <v>300</v>
      </c>
    </row>
    <row r="180" spans="1:6" ht="18.75" x14ac:dyDescent="0.3">
      <c r="A180" s="58" t="s">
        <v>507</v>
      </c>
      <c r="B180" s="59" t="s">
        <v>508</v>
      </c>
      <c r="C180" t="s">
        <v>37</v>
      </c>
      <c r="D180" t="s">
        <v>66</v>
      </c>
      <c r="E180" s="66">
        <v>180</v>
      </c>
      <c r="F180" s="66">
        <v>180</v>
      </c>
    </row>
    <row r="181" spans="1:6" ht="18.75" x14ac:dyDescent="0.3">
      <c r="A181" s="58" t="s">
        <v>509</v>
      </c>
      <c r="B181" s="59" t="s">
        <v>510</v>
      </c>
      <c r="C181" t="s">
        <v>37</v>
      </c>
      <c r="D181" t="s">
        <v>66</v>
      </c>
      <c r="E181" s="66">
        <v>1.03</v>
      </c>
      <c r="F181" s="66">
        <v>2.34</v>
      </c>
    </row>
    <row r="182" spans="1:6" ht="18.75" x14ac:dyDescent="0.3">
      <c r="A182" s="58" t="s">
        <v>511</v>
      </c>
      <c r="B182" s="59" t="s">
        <v>512</v>
      </c>
      <c r="C182" t="s">
        <v>37</v>
      </c>
      <c r="D182" t="s">
        <v>67</v>
      </c>
      <c r="E182" s="66">
        <v>10</v>
      </c>
      <c r="F182" s="66">
        <v>10</v>
      </c>
    </row>
    <row r="183" spans="1:6" ht="18.75" x14ac:dyDescent="0.25">
      <c r="A183" s="58" t="s">
        <v>513</v>
      </c>
      <c r="B183" s="60" t="s">
        <v>514</v>
      </c>
      <c r="C183" t="s">
        <v>37</v>
      </c>
      <c r="D183" t="s">
        <v>67</v>
      </c>
      <c r="E183" s="66">
        <v>15</v>
      </c>
      <c r="F183" s="66">
        <v>15</v>
      </c>
    </row>
    <row r="184" spans="1:6" ht="18.75" x14ac:dyDescent="0.25">
      <c r="A184" s="58" t="s">
        <v>515</v>
      </c>
      <c r="B184" s="60" t="s">
        <v>516</v>
      </c>
      <c r="C184" t="s">
        <v>37</v>
      </c>
      <c r="D184" t="s">
        <v>67</v>
      </c>
      <c r="E184" s="66">
        <v>15</v>
      </c>
      <c r="F184" s="66">
        <v>15</v>
      </c>
    </row>
    <row r="185" spans="1:6" ht="18.75" x14ac:dyDescent="0.25">
      <c r="A185" s="58" t="s">
        <v>517</v>
      </c>
      <c r="B185" s="60" t="s">
        <v>518</v>
      </c>
      <c r="C185" t="s">
        <v>37</v>
      </c>
      <c r="D185" t="s">
        <v>67</v>
      </c>
      <c r="E185" s="66">
        <v>35</v>
      </c>
      <c r="F185" s="66">
        <v>35</v>
      </c>
    </row>
    <row r="186" spans="1:6" ht="18.75" x14ac:dyDescent="0.25">
      <c r="A186" s="58" t="s">
        <v>519</v>
      </c>
      <c r="B186" s="60" t="s">
        <v>520</v>
      </c>
      <c r="C186" t="s">
        <v>37</v>
      </c>
      <c r="D186" t="s">
        <v>67</v>
      </c>
      <c r="E186" s="66">
        <v>35</v>
      </c>
      <c r="F186" s="66">
        <v>35</v>
      </c>
    </row>
    <row r="187" spans="1:6" ht="18.75" x14ac:dyDescent="0.3">
      <c r="A187" s="58" t="s">
        <v>521</v>
      </c>
      <c r="B187" s="59" t="s">
        <v>522</v>
      </c>
      <c r="C187" t="s">
        <v>37</v>
      </c>
      <c r="D187" t="s">
        <v>71</v>
      </c>
      <c r="E187" s="66">
        <v>5</v>
      </c>
      <c r="F187" s="66">
        <v>5</v>
      </c>
    </row>
    <row r="188" spans="1:6" ht="18.75" x14ac:dyDescent="0.3">
      <c r="A188" s="58" t="s">
        <v>523</v>
      </c>
      <c r="B188" s="59" t="s">
        <v>524</v>
      </c>
      <c r="C188" t="s">
        <v>37</v>
      </c>
      <c r="D188" t="s">
        <v>71</v>
      </c>
      <c r="E188" s="66">
        <v>35</v>
      </c>
      <c r="F188" s="66">
        <v>35</v>
      </c>
    </row>
    <row r="189" spans="1:6" ht="18.75" x14ac:dyDescent="0.3">
      <c r="A189" s="58" t="s">
        <v>525</v>
      </c>
      <c r="B189" s="59" t="s">
        <v>526</v>
      </c>
      <c r="C189" t="s">
        <v>37</v>
      </c>
      <c r="D189" t="s">
        <v>71</v>
      </c>
      <c r="E189" s="66">
        <v>15</v>
      </c>
      <c r="F189" s="66">
        <v>15</v>
      </c>
    </row>
    <row r="190" spans="1:6" ht="18.75" x14ac:dyDescent="0.3">
      <c r="A190" s="58" t="s">
        <v>527</v>
      </c>
      <c r="B190" s="59" t="s">
        <v>528</v>
      </c>
      <c r="C190" t="s">
        <v>37</v>
      </c>
      <c r="D190" t="s">
        <v>71</v>
      </c>
      <c r="E190" s="66">
        <v>1.93</v>
      </c>
      <c r="F190" s="66">
        <v>2.48</v>
      </c>
    </row>
    <row r="191" spans="1:6" ht="18.75" x14ac:dyDescent="0.3">
      <c r="A191" s="58" t="s">
        <v>529</v>
      </c>
      <c r="B191" s="59" t="s">
        <v>530</v>
      </c>
      <c r="C191" t="s">
        <v>37</v>
      </c>
      <c r="D191" t="s">
        <v>120</v>
      </c>
      <c r="E191" s="66">
        <v>15</v>
      </c>
      <c r="F191" s="66">
        <v>15</v>
      </c>
    </row>
    <row r="192" spans="1:6" ht="18.75" x14ac:dyDescent="0.3">
      <c r="A192" s="58" t="s">
        <v>531</v>
      </c>
      <c r="B192" s="59" t="s">
        <v>532</v>
      </c>
      <c r="C192" t="s">
        <v>37</v>
      </c>
      <c r="D192" t="s">
        <v>120</v>
      </c>
      <c r="E192" s="66">
        <v>1.36</v>
      </c>
      <c r="F192" s="66">
        <v>3.72</v>
      </c>
    </row>
    <row r="193" spans="1:6" ht="18.75" x14ac:dyDescent="0.3">
      <c r="A193" s="58" t="s">
        <v>1018</v>
      </c>
      <c r="B193" s="59" t="s">
        <v>533</v>
      </c>
      <c r="C193" t="s">
        <v>37</v>
      </c>
      <c r="D193" t="s">
        <v>120</v>
      </c>
      <c r="E193" s="66">
        <v>11</v>
      </c>
      <c r="F193" s="66">
        <v>11</v>
      </c>
    </row>
    <row r="194" spans="1:6" ht="18.75" x14ac:dyDescent="0.3">
      <c r="A194" s="58" t="s">
        <v>1019</v>
      </c>
      <c r="B194" s="59" t="s">
        <v>534</v>
      </c>
      <c r="C194" t="s">
        <v>37</v>
      </c>
      <c r="D194" t="s">
        <v>120</v>
      </c>
      <c r="E194" s="66">
        <v>2.5</v>
      </c>
      <c r="F194" s="66">
        <v>2.5</v>
      </c>
    </row>
    <row r="195" spans="1:6" ht="18.75" x14ac:dyDescent="0.3">
      <c r="A195" s="58" t="s">
        <v>1020</v>
      </c>
      <c r="B195" s="59" t="s">
        <v>535</v>
      </c>
      <c r="C195" t="s">
        <v>37</v>
      </c>
      <c r="D195" t="s">
        <v>121</v>
      </c>
      <c r="E195" s="66">
        <v>21</v>
      </c>
      <c r="F195" s="66">
        <v>21</v>
      </c>
    </row>
    <row r="196" spans="1:6" ht="18.75" x14ac:dyDescent="0.3">
      <c r="A196" s="58" t="s">
        <v>1021</v>
      </c>
      <c r="B196" s="59" t="s">
        <v>536</v>
      </c>
      <c r="C196" t="s">
        <v>37</v>
      </c>
      <c r="D196" t="s">
        <v>121</v>
      </c>
      <c r="E196" s="66">
        <v>5.5</v>
      </c>
      <c r="F196" s="66">
        <v>5.5</v>
      </c>
    </row>
    <row r="197" spans="1:6" ht="18.75" x14ac:dyDescent="0.25">
      <c r="A197" s="58" t="s">
        <v>537</v>
      </c>
      <c r="B197" s="60" t="s">
        <v>538</v>
      </c>
      <c r="C197" t="s">
        <v>37</v>
      </c>
      <c r="D197" t="s">
        <v>121</v>
      </c>
      <c r="E197" s="66">
        <v>30</v>
      </c>
      <c r="F197" s="66">
        <v>30</v>
      </c>
    </row>
    <row r="198" spans="1:6" ht="18.75" x14ac:dyDescent="0.25">
      <c r="A198" s="58" t="s">
        <v>539</v>
      </c>
      <c r="B198" s="60" t="s">
        <v>540</v>
      </c>
      <c r="C198" t="s">
        <v>37</v>
      </c>
      <c r="D198" t="s">
        <v>121</v>
      </c>
      <c r="E198" s="66">
        <v>50</v>
      </c>
      <c r="F198" s="66">
        <v>50</v>
      </c>
    </row>
    <row r="199" spans="1:6" ht="18.75" x14ac:dyDescent="0.25">
      <c r="A199" s="58" t="s">
        <v>541</v>
      </c>
      <c r="B199" s="60" t="s">
        <v>542</v>
      </c>
      <c r="C199" t="s">
        <v>37</v>
      </c>
      <c r="D199" t="s">
        <v>121</v>
      </c>
      <c r="E199" s="66">
        <v>12</v>
      </c>
      <c r="F199" s="66">
        <v>12</v>
      </c>
    </row>
    <row r="200" spans="1:6" ht="18.75" x14ac:dyDescent="0.25">
      <c r="A200" s="58" t="s">
        <v>543</v>
      </c>
      <c r="B200" s="60" t="s">
        <v>544</v>
      </c>
      <c r="C200" t="s">
        <v>37</v>
      </c>
      <c r="D200" t="s">
        <v>72</v>
      </c>
      <c r="E200" s="66">
        <v>12</v>
      </c>
      <c r="F200" s="66">
        <v>12</v>
      </c>
    </row>
    <row r="201" spans="1:6" ht="18.75" x14ac:dyDescent="0.25">
      <c r="A201" s="58" t="s">
        <v>545</v>
      </c>
      <c r="B201" s="60" t="s">
        <v>546</v>
      </c>
      <c r="C201" t="s">
        <v>37</v>
      </c>
      <c r="D201" t="s">
        <v>72</v>
      </c>
      <c r="E201" s="66">
        <v>30</v>
      </c>
      <c r="F201" s="66">
        <v>30</v>
      </c>
    </row>
    <row r="202" spans="1:6" ht="18.75" x14ac:dyDescent="0.3">
      <c r="A202" s="58" t="s">
        <v>1281</v>
      </c>
      <c r="B202" s="59" t="s">
        <v>547</v>
      </c>
      <c r="C202" t="s">
        <v>37</v>
      </c>
      <c r="D202" t="s">
        <v>72</v>
      </c>
      <c r="E202" s="66">
        <v>50</v>
      </c>
      <c r="F202" s="66">
        <v>50</v>
      </c>
    </row>
    <row r="203" spans="1:6" ht="18.75" x14ac:dyDescent="0.3">
      <c r="A203" s="58" t="s">
        <v>548</v>
      </c>
      <c r="B203" s="59" t="s">
        <v>549</v>
      </c>
      <c r="C203" t="s">
        <v>37</v>
      </c>
      <c r="D203" t="s">
        <v>72</v>
      </c>
      <c r="E203" s="66">
        <v>10</v>
      </c>
      <c r="F203" s="66">
        <v>10</v>
      </c>
    </row>
    <row r="204" spans="1:6" ht="18.75" x14ac:dyDescent="0.3">
      <c r="A204" s="58" t="s">
        <v>550</v>
      </c>
      <c r="B204" s="59" t="s">
        <v>551</v>
      </c>
      <c r="C204" t="s">
        <v>37</v>
      </c>
      <c r="D204" t="s">
        <v>72</v>
      </c>
      <c r="E204" s="66">
        <v>3.1</v>
      </c>
      <c r="F204" s="66">
        <v>4</v>
      </c>
    </row>
    <row r="205" spans="1:6" ht="18.75" x14ac:dyDescent="0.25">
      <c r="A205" s="58" t="s">
        <v>552</v>
      </c>
      <c r="B205" s="60" t="s">
        <v>553</v>
      </c>
      <c r="C205" t="s">
        <v>37</v>
      </c>
      <c r="D205" t="s">
        <v>122</v>
      </c>
      <c r="E205" s="66">
        <v>30</v>
      </c>
      <c r="F205" s="66">
        <v>30</v>
      </c>
    </row>
    <row r="206" spans="1:6" ht="18.75" x14ac:dyDescent="0.25">
      <c r="A206" s="58" t="s">
        <v>554</v>
      </c>
      <c r="B206" s="60" t="s">
        <v>555</v>
      </c>
      <c r="C206" t="s">
        <v>37</v>
      </c>
      <c r="D206" t="s">
        <v>122</v>
      </c>
      <c r="E206" s="66">
        <v>80</v>
      </c>
      <c r="F206" s="66">
        <v>80</v>
      </c>
    </row>
    <row r="207" spans="1:6" ht="18.75" x14ac:dyDescent="0.25">
      <c r="A207" s="58" t="s">
        <v>556</v>
      </c>
      <c r="B207" s="60" t="s">
        <v>557</v>
      </c>
      <c r="C207" t="s">
        <v>37</v>
      </c>
      <c r="D207" t="s">
        <v>122</v>
      </c>
      <c r="E207" s="66">
        <v>100</v>
      </c>
      <c r="F207" s="66">
        <v>100</v>
      </c>
    </row>
    <row r="208" spans="1:6" ht="18.75" x14ac:dyDescent="0.25">
      <c r="A208" s="58" t="s">
        <v>558</v>
      </c>
      <c r="B208" s="60" t="s">
        <v>559</v>
      </c>
      <c r="C208" t="s">
        <v>37</v>
      </c>
      <c r="D208" t="s">
        <v>122</v>
      </c>
      <c r="E208" s="66">
        <v>100</v>
      </c>
      <c r="F208" s="66">
        <v>100</v>
      </c>
    </row>
    <row r="209" spans="1:6" ht="18.75" x14ac:dyDescent="0.25">
      <c r="A209" s="58" t="s">
        <v>560</v>
      </c>
      <c r="B209" s="60" t="s">
        <v>561</v>
      </c>
      <c r="C209" t="s">
        <v>37</v>
      </c>
      <c r="D209" t="s">
        <v>79</v>
      </c>
      <c r="E209" s="66">
        <v>100</v>
      </c>
      <c r="F209" s="66">
        <v>100</v>
      </c>
    </row>
    <row r="210" spans="1:6" ht="18.75" x14ac:dyDescent="0.25">
      <c r="A210" s="58" t="s">
        <v>1280</v>
      </c>
      <c r="B210" s="60" t="s">
        <v>562</v>
      </c>
      <c r="C210" t="s">
        <v>37</v>
      </c>
      <c r="D210" t="s">
        <v>79</v>
      </c>
      <c r="E210" s="66">
        <v>17</v>
      </c>
      <c r="F210" s="66">
        <v>17</v>
      </c>
    </row>
    <row r="211" spans="1:6" ht="18.75" x14ac:dyDescent="0.3">
      <c r="A211" s="58" t="s">
        <v>563</v>
      </c>
      <c r="B211" s="59" t="s">
        <v>564</v>
      </c>
      <c r="C211" t="s">
        <v>37</v>
      </c>
      <c r="D211" t="s">
        <v>79</v>
      </c>
      <c r="E211" s="66">
        <v>80</v>
      </c>
      <c r="F211" s="66">
        <v>80</v>
      </c>
    </row>
    <row r="212" spans="1:6" ht="18.75" x14ac:dyDescent="0.3">
      <c r="A212" s="58" t="s">
        <v>565</v>
      </c>
      <c r="B212" s="59" t="s">
        <v>566</v>
      </c>
      <c r="C212" t="s">
        <v>37</v>
      </c>
      <c r="D212" t="s">
        <v>79</v>
      </c>
      <c r="E212" s="66">
        <v>1.22</v>
      </c>
      <c r="F212" s="66">
        <v>3.58</v>
      </c>
    </row>
    <row r="213" spans="1:6" ht="18.75" x14ac:dyDescent="0.3">
      <c r="A213" s="58" t="s">
        <v>567</v>
      </c>
      <c r="B213" s="59" t="s">
        <v>568</v>
      </c>
      <c r="C213" t="s">
        <v>37</v>
      </c>
      <c r="D213" t="s">
        <v>79</v>
      </c>
      <c r="E213" s="66">
        <v>10</v>
      </c>
      <c r="F213" s="66">
        <v>10</v>
      </c>
    </row>
    <row r="214" spans="1:6" ht="18.75" x14ac:dyDescent="0.3">
      <c r="A214" s="58" t="s">
        <v>569</v>
      </c>
      <c r="B214" s="59" t="s">
        <v>570</v>
      </c>
      <c r="C214" t="s">
        <v>37</v>
      </c>
      <c r="D214" t="s">
        <v>78</v>
      </c>
      <c r="E214" s="66">
        <v>8</v>
      </c>
      <c r="F214" s="66">
        <v>8</v>
      </c>
    </row>
    <row r="215" spans="1:6" ht="18.75" x14ac:dyDescent="0.3">
      <c r="A215" s="58" t="s">
        <v>571</v>
      </c>
      <c r="B215" s="59" t="s">
        <v>572</v>
      </c>
      <c r="C215" t="s">
        <v>37</v>
      </c>
      <c r="D215" t="s">
        <v>78</v>
      </c>
      <c r="E215" s="66">
        <v>1</v>
      </c>
      <c r="F215" s="66">
        <v>1</v>
      </c>
    </row>
    <row r="216" spans="1:6" ht="18.75" x14ac:dyDescent="0.3">
      <c r="A216" s="58" t="s">
        <v>573</v>
      </c>
      <c r="B216" s="59" t="s">
        <v>574</v>
      </c>
      <c r="C216" t="s">
        <v>37</v>
      </c>
      <c r="D216" t="s">
        <v>78</v>
      </c>
      <c r="E216" s="66">
        <v>150</v>
      </c>
      <c r="F216" s="66">
        <v>150</v>
      </c>
    </row>
    <row r="217" spans="1:6" ht="18.75" x14ac:dyDescent="0.3">
      <c r="A217" s="58" t="s">
        <v>575</v>
      </c>
      <c r="B217" s="59" t="s">
        <v>576</v>
      </c>
      <c r="C217" t="s">
        <v>37</v>
      </c>
      <c r="D217" t="s">
        <v>78</v>
      </c>
      <c r="E217" s="66">
        <v>60</v>
      </c>
      <c r="F217" s="66">
        <v>60</v>
      </c>
    </row>
    <row r="218" spans="1:6" ht="18.75" x14ac:dyDescent="0.25">
      <c r="A218" s="58" t="s">
        <v>577</v>
      </c>
      <c r="B218" s="60" t="s">
        <v>578</v>
      </c>
      <c r="C218" t="s">
        <v>37</v>
      </c>
      <c r="D218" t="s">
        <v>131</v>
      </c>
      <c r="E218" s="66">
        <v>8</v>
      </c>
      <c r="F218" s="66">
        <v>8</v>
      </c>
    </row>
    <row r="219" spans="1:6" ht="18.75" x14ac:dyDescent="0.3">
      <c r="A219" s="58" t="s">
        <v>579</v>
      </c>
      <c r="B219" s="59" t="s">
        <v>580</v>
      </c>
      <c r="C219" t="s">
        <v>37</v>
      </c>
      <c r="D219" t="s">
        <v>131</v>
      </c>
      <c r="E219" s="66">
        <v>8</v>
      </c>
      <c r="F219" s="66">
        <v>8</v>
      </c>
    </row>
    <row r="220" spans="1:6" ht="18.75" x14ac:dyDescent="0.25">
      <c r="A220" s="58" t="s">
        <v>581</v>
      </c>
      <c r="B220" s="60" t="s">
        <v>582</v>
      </c>
      <c r="C220" t="s">
        <v>37</v>
      </c>
      <c r="D220" t="s">
        <v>131</v>
      </c>
      <c r="E220" s="66">
        <v>8</v>
      </c>
      <c r="F220" s="66">
        <v>8</v>
      </c>
    </row>
    <row r="221" spans="1:6" ht="18.75" x14ac:dyDescent="0.25">
      <c r="A221" s="58" t="s">
        <v>583</v>
      </c>
      <c r="B221" s="60" t="s">
        <v>584</v>
      </c>
      <c r="C221" t="s">
        <v>37</v>
      </c>
      <c r="D221" t="s">
        <v>131</v>
      </c>
      <c r="E221" s="66">
        <v>8</v>
      </c>
      <c r="F221" s="66">
        <v>8</v>
      </c>
    </row>
    <row r="222" spans="1:6" ht="18.75" x14ac:dyDescent="0.3">
      <c r="A222" s="58" t="s">
        <v>585</v>
      </c>
      <c r="B222" s="59" t="s">
        <v>586</v>
      </c>
      <c r="C222" t="s">
        <v>38</v>
      </c>
      <c r="D222" t="s">
        <v>44</v>
      </c>
      <c r="E222" s="66">
        <v>5</v>
      </c>
      <c r="F222" s="66">
        <v>5</v>
      </c>
    </row>
    <row r="223" spans="1:6" ht="18.75" x14ac:dyDescent="0.25">
      <c r="A223" s="61" t="s">
        <v>587</v>
      </c>
      <c r="B223" s="64" t="s">
        <v>588</v>
      </c>
      <c r="C223" t="s">
        <v>38</v>
      </c>
      <c r="D223" t="s">
        <v>44</v>
      </c>
      <c r="E223" s="66">
        <v>10</v>
      </c>
      <c r="F223" s="66">
        <v>10</v>
      </c>
    </row>
    <row r="224" spans="1:6" ht="18.75" x14ac:dyDescent="0.3">
      <c r="A224" s="58" t="s">
        <v>589</v>
      </c>
      <c r="B224" s="59" t="s">
        <v>590</v>
      </c>
      <c r="C224" t="s">
        <v>38</v>
      </c>
      <c r="D224" t="s">
        <v>44</v>
      </c>
      <c r="E224" s="66">
        <v>1</v>
      </c>
      <c r="F224" s="66">
        <v>1</v>
      </c>
    </row>
    <row r="225" spans="1:6" ht="18.75" x14ac:dyDescent="0.3">
      <c r="A225" s="58" t="s">
        <v>591</v>
      </c>
      <c r="B225" s="59" t="s">
        <v>592</v>
      </c>
      <c r="C225" t="s">
        <v>38</v>
      </c>
      <c r="D225" t="s">
        <v>44</v>
      </c>
      <c r="E225" s="66">
        <v>4</v>
      </c>
      <c r="F225" s="66">
        <v>4</v>
      </c>
    </row>
    <row r="226" spans="1:6" ht="18.75" x14ac:dyDescent="0.3">
      <c r="A226" s="58" t="s">
        <v>593</v>
      </c>
      <c r="B226" s="59" t="s">
        <v>594</v>
      </c>
      <c r="C226" t="s">
        <v>38</v>
      </c>
      <c r="D226" t="s">
        <v>44</v>
      </c>
      <c r="E226" s="66">
        <v>4</v>
      </c>
      <c r="F226" s="66">
        <v>4</v>
      </c>
    </row>
    <row r="227" spans="1:6" ht="18.75" x14ac:dyDescent="0.3">
      <c r="A227" s="58" t="s">
        <v>595</v>
      </c>
      <c r="B227" s="59" t="s">
        <v>596</v>
      </c>
      <c r="C227" t="s">
        <v>38</v>
      </c>
      <c r="D227" t="s">
        <v>46</v>
      </c>
      <c r="E227" s="66">
        <v>18</v>
      </c>
      <c r="F227" s="66">
        <v>18</v>
      </c>
    </row>
    <row r="228" spans="1:6" ht="18.75" x14ac:dyDescent="0.3">
      <c r="A228" s="58" t="s">
        <v>597</v>
      </c>
      <c r="B228" s="59" t="s">
        <v>598</v>
      </c>
      <c r="C228" t="s">
        <v>38</v>
      </c>
      <c r="D228" t="s">
        <v>46</v>
      </c>
      <c r="E228" s="66">
        <v>15</v>
      </c>
      <c r="F228" s="66">
        <v>18</v>
      </c>
    </row>
    <row r="229" spans="1:6" ht="18.75" x14ac:dyDescent="0.3">
      <c r="A229" s="58" t="s">
        <v>599</v>
      </c>
      <c r="B229" s="59" t="s">
        <v>600</v>
      </c>
      <c r="C229" t="s">
        <v>38</v>
      </c>
      <c r="D229" t="s">
        <v>46</v>
      </c>
      <c r="E229" s="66">
        <v>12</v>
      </c>
      <c r="F229" s="66">
        <v>12</v>
      </c>
    </row>
    <row r="230" spans="1:6" ht="18.75" x14ac:dyDescent="0.3">
      <c r="A230" s="58" t="s">
        <v>601</v>
      </c>
      <c r="B230" s="59" t="s">
        <v>602</v>
      </c>
      <c r="C230" t="s">
        <v>38</v>
      </c>
      <c r="D230" t="s">
        <v>46</v>
      </c>
      <c r="E230" s="66">
        <v>12</v>
      </c>
      <c r="F230" s="66">
        <v>12</v>
      </c>
    </row>
    <row r="231" spans="1:6" ht="18.75" x14ac:dyDescent="0.3">
      <c r="A231" s="58" t="s">
        <v>603</v>
      </c>
      <c r="B231" s="59" t="s">
        <v>604</v>
      </c>
      <c r="C231" t="s">
        <v>38</v>
      </c>
      <c r="D231" t="s">
        <v>46</v>
      </c>
      <c r="E231" s="66">
        <v>15</v>
      </c>
      <c r="F231" s="66">
        <v>15</v>
      </c>
    </row>
    <row r="232" spans="1:6" ht="18.75" x14ac:dyDescent="0.3">
      <c r="A232" s="58" t="s">
        <v>605</v>
      </c>
      <c r="B232" s="59" t="s">
        <v>606</v>
      </c>
      <c r="C232" t="s">
        <v>38</v>
      </c>
      <c r="D232" t="s">
        <v>75</v>
      </c>
      <c r="E232" s="66">
        <v>15</v>
      </c>
      <c r="F232" s="66">
        <v>15</v>
      </c>
    </row>
    <row r="233" spans="1:6" ht="18.75" x14ac:dyDescent="0.3">
      <c r="A233" s="58" t="s">
        <v>607</v>
      </c>
      <c r="B233" s="59" t="s">
        <v>608</v>
      </c>
      <c r="C233" t="s">
        <v>38</v>
      </c>
      <c r="D233" t="s">
        <v>75</v>
      </c>
      <c r="E233" s="66">
        <v>7</v>
      </c>
      <c r="F233" s="66">
        <v>7</v>
      </c>
    </row>
    <row r="234" spans="1:6" ht="18.75" x14ac:dyDescent="0.3">
      <c r="A234" s="58" t="s">
        <v>569</v>
      </c>
      <c r="B234" s="59" t="s">
        <v>609</v>
      </c>
      <c r="C234" t="s">
        <v>38</v>
      </c>
      <c r="D234" t="s">
        <v>75</v>
      </c>
      <c r="E234" s="66">
        <v>1.87</v>
      </c>
      <c r="F234" s="66">
        <v>2.85</v>
      </c>
    </row>
    <row r="235" spans="1:6" ht="18.75" x14ac:dyDescent="0.3">
      <c r="A235" s="58" t="s">
        <v>610</v>
      </c>
      <c r="B235" s="59" t="s">
        <v>609</v>
      </c>
      <c r="C235" t="s">
        <v>38</v>
      </c>
      <c r="D235" t="s">
        <v>75</v>
      </c>
      <c r="E235" s="66">
        <v>1.06</v>
      </c>
      <c r="F235" s="66">
        <v>3.43</v>
      </c>
    </row>
    <row r="236" spans="1:6" ht="18.75" x14ac:dyDescent="0.3">
      <c r="A236" s="58" t="s">
        <v>611</v>
      </c>
      <c r="B236" s="59" t="s">
        <v>612</v>
      </c>
      <c r="C236" t="s">
        <v>38</v>
      </c>
      <c r="D236" t="s">
        <v>75</v>
      </c>
      <c r="E236" s="66">
        <v>10</v>
      </c>
      <c r="F236" s="66">
        <v>10</v>
      </c>
    </row>
    <row r="237" spans="1:6" ht="18.75" x14ac:dyDescent="0.25">
      <c r="A237" s="58" t="s">
        <v>613</v>
      </c>
      <c r="B237" s="60" t="s">
        <v>614</v>
      </c>
      <c r="C237" t="s">
        <v>38</v>
      </c>
      <c r="D237" t="s">
        <v>48</v>
      </c>
      <c r="E237" s="66">
        <v>10</v>
      </c>
      <c r="F237" s="66">
        <v>10</v>
      </c>
    </row>
    <row r="238" spans="1:6" ht="18.75" x14ac:dyDescent="0.3">
      <c r="A238" s="58" t="s">
        <v>1014</v>
      </c>
      <c r="B238" s="59" t="s">
        <v>615</v>
      </c>
      <c r="C238" t="s">
        <v>38</v>
      </c>
      <c r="D238" t="s">
        <v>48</v>
      </c>
      <c r="E238" s="66">
        <v>3</v>
      </c>
      <c r="F238" s="66">
        <v>3</v>
      </c>
    </row>
    <row r="239" spans="1:6" ht="18.75" x14ac:dyDescent="0.25">
      <c r="A239" s="58" t="s">
        <v>616</v>
      </c>
      <c r="B239" s="60" t="s">
        <v>617</v>
      </c>
      <c r="C239" t="s">
        <v>38</v>
      </c>
      <c r="D239" t="s">
        <v>48</v>
      </c>
      <c r="E239" s="66">
        <v>90</v>
      </c>
      <c r="F239" s="66">
        <v>90</v>
      </c>
    </row>
    <row r="240" spans="1:6" ht="18.75" x14ac:dyDescent="0.25">
      <c r="A240" s="58" t="s">
        <v>618</v>
      </c>
      <c r="B240" s="60" t="s">
        <v>619</v>
      </c>
      <c r="C240" t="s">
        <v>38</v>
      </c>
      <c r="D240" t="s">
        <v>48</v>
      </c>
      <c r="E240" s="66">
        <v>42.5</v>
      </c>
      <c r="F240" s="66">
        <v>42.5</v>
      </c>
    </row>
    <row r="241" spans="1:6" ht="18.75" x14ac:dyDescent="0.25">
      <c r="A241" s="58" t="s">
        <v>620</v>
      </c>
      <c r="B241" s="60" t="s">
        <v>621</v>
      </c>
      <c r="C241" t="s">
        <v>38</v>
      </c>
      <c r="D241" t="s">
        <v>47</v>
      </c>
      <c r="E241" s="66">
        <v>42.5</v>
      </c>
      <c r="F241" s="66">
        <v>42.5</v>
      </c>
    </row>
    <row r="242" spans="1:6" ht="18.75" x14ac:dyDescent="0.3">
      <c r="A242" s="58" t="s">
        <v>622</v>
      </c>
      <c r="B242" s="59" t="s">
        <v>623</v>
      </c>
      <c r="C242" t="s">
        <v>38</v>
      </c>
      <c r="D242" t="s">
        <v>47</v>
      </c>
      <c r="E242" s="66">
        <v>40</v>
      </c>
      <c r="F242" s="66">
        <v>40</v>
      </c>
    </row>
    <row r="243" spans="1:6" ht="18.75" x14ac:dyDescent="0.3">
      <c r="A243" s="58" t="s">
        <v>624</v>
      </c>
      <c r="B243" s="59" t="s">
        <v>625</v>
      </c>
      <c r="C243" t="s">
        <v>38</v>
      </c>
      <c r="D243" t="s">
        <v>47</v>
      </c>
      <c r="E243" s="66">
        <v>40</v>
      </c>
      <c r="F243" s="66">
        <v>40</v>
      </c>
    </row>
    <row r="244" spans="1:6" ht="18.75" x14ac:dyDescent="0.3">
      <c r="A244" s="58" t="s">
        <v>626</v>
      </c>
      <c r="B244" s="59" t="s">
        <v>627</v>
      </c>
      <c r="C244" t="s">
        <v>38</v>
      </c>
      <c r="D244" t="s">
        <v>47</v>
      </c>
      <c r="E244" s="66">
        <v>45</v>
      </c>
      <c r="F244" s="66">
        <v>45</v>
      </c>
    </row>
    <row r="245" spans="1:6" ht="18.75" x14ac:dyDescent="0.25">
      <c r="A245" s="58" t="s">
        <v>628</v>
      </c>
      <c r="B245" s="60" t="s">
        <v>629</v>
      </c>
      <c r="C245" t="s">
        <v>38</v>
      </c>
      <c r="D245" t="s">
        <v>49</v>
      </c>
      <c r="E245" s="66">
        <v>80</v>
      </c>
      <c r="F245" s="66">
        <v>80</v>
      </c>
    </row>
    <row r="246" spans="1:6" ht="18.75" x14ac:dyDescent="0.3">
      <c r="A246" s="58" t="s">
        <v>630</v>
      </c>
      <c r="B246" s="59" t="s">
        <v>631</v>
      </c>
      <c r="C246" t="s">
        <v>38</v>
      </c>
      <c r="D246" t="s">
        <v>49</v>
      </c>
      <c r="E246" s="66">
        <v>10</v>
      </c>
      <c r="F246" s="66">
        <v>10</v>
      </c>
    </row>
    <row r="247" spans="1:6" ht="18.75" x14ac:dyDescent="0.3">
      <c r="A247" s="58" t="s">
        <v>632</v>
      </c>
      <c r="B247" s="59" t="s">
        <v>633</v>
      </c>
      <c r="C247" t="s">
        <v>38</v>
      </c>
      <c r="D247" t="s">
        <v>49</v>
      </c>
      <c r="E247" s="66">
        <v>10</v>
      </c>
      <c r="F247" s="66">
        <v>10</v>
      </c>
    </row>
    <row r="248" spans="1:6" ht="18.75" x14ac:dyDescent="0.3">
      <c r="A248" s="58" t="s">
        <v>634</v>
      </c>
      <c r="B248" s="59" t="s">
        <v>635</v>
      </c>
      <c r="C248" t="s">
        <v>38</v>
      </c>
      <c r="D248" t="s">
        <v>49</v>
      </c>
      <c r="E248" s="66">
        <v>10</v>
      </c>
      <c r="F248" s="66">
        <v>10</v>
      </c>
    </row>
    <row r="249" spans="1:6" ht="56.25" x14ac:dyDescent="0.3">
      <c r="A249" s="58" t="s">
        <v>636</v>
      </c>
      <c r="B249" s="65" t="s">
        <v>637</v>
      </c>
      <c r="C249" t="s">
        <v>38</v>
      </c>
      <c r="D249" t="s">
        <v>50</v>
      </c>
      <c r="E249" s="66">
        <v>12</v>
      </c>
      <c r="F249" s="66">
        <v>12</v>
      </c>
    </row>
    <row r="250" spans="1:6" ht="18.75" x14ac:dyDescent="0.3">
      <c r="A250" s="58" t="s">
        <v>638</v>
      </c>
      <c r="B250" s="59" t="s">
        <v>639</v>
      </c>
      <c r="C250" t="s">
        <v>38</v>
      </c>
      <c r="D250" t="s">
        <v>50</v>
      </c>
      <c r="E250" s="66">
        <v>10</v>
      </c>
      <c r="F250" s="66">
        <v>10</v>
      </c>
    </row>
    <row r="251" spans="1:6" ht="18.75" x14ac:dyDescent="0.3">
      <c r="A251" s="58" t="s">
        <v>640</v>
      </c>
      <c r="B251" s="59" t="s">
        <v>641</v>
      </c>
      <c r="C251" t="s">
        <v>38</v>
      </c>
      <c r="D251" t="s">
        <v>50</v>
      </c>
      <c r="E251" s="66">
        <v>10</v>
      </c>
      <c r="F251" s="66">
        <v>10</v>
      </c>
    </row>
    <row r="252" spans="1:6" ht="18.75" x14ac:dyDescent="0.25">
      <c r="A252" s="58" t="s">
        <v>642</v>
      </c>
      <c r="B252" s="60" t="s">
        <v>643</v>
      </c>
      <c r="C252" t="s">
        <v>38</v>
      </c>
      <c r="D252" t="s">
        <v>50</v>
      </c>
      <c r="E252" s="66">
        <v>27</v>
      </c>
      <c r="F252" s="66">
        <v>27</v>
      </c>
    </row>
    <row r="253" spans="1:6" ht="18.75" x14ac:dyDescent="0.3">
      <c r="A253" s="58" t="s">
        <v>644</v>
      </c>
      <c r="B253" s="59" t="s">
        <v>645</v>
      </c>
      <c r="C253" t="s">
        <v>38</v>
      </c>
      <c r="D253" t="s">
        <v>71</v>
      </c>
      <c r="E253" s="66">
        <v>1.29</v>
      </c>
      <c r="F253" s="66">
        <v>3.48</v>
      </c>
    </row>
    <row r="254" spans="1:6" ht="18.75" x14ac:dyDescent="0.3">
      <c r="A254" s="58" t="s">
        <v>646</v>
      </c>
      <c r="B254" s="59" t="s">
        <v>647</v>
      </c>
      <c r="C254" t="s">
        <v>38</v>
      </c>
      <c r="D254" t="s">
        <v>71</v>
      </c>
      <c r="E254" s="66">
        <v>1.39</v>
      </c>
      <c r="F254" s="66">
        <v>2.71</v>
      </c>
    </row>
    <row r="255" spans="1:6" ht="18.75" x14ac:dyDescent="0.3">
      <c r="A255" s="58" t="s">
        <v>1278</v>
      </c>
      <c r="B255" s="59" t="s">
        <v>648</v>
      </c>
      <c r="C255" t="s">
        <v>38</v>
      </c>
      <c r="D255" t="s">
        <v>71</v>
      </c>
      <c r="E255" s="66">
        <v>20</v>
      </c>
      <c r="F255" s="66">
        <v>20</v>
      </c>
    </row>
    <row r="256" spans="1:6" ht="18.75" x14ac:dyDescent="0.25">
      <c r="A256" s="58" t="s">
        <v>649</v>
      </c>
      <c r="B256" s="60" t="s">
        <v>650</v>
      </c>
      <c r="C256" t="s">
        <v>38</v>
      </c>
      <c r="D256" t="s">
        <v>71</v>
      </c>
      <c r="E256" s="66">
        <v>18</v>
      </c>
      <c r="F256" s="66">
        <v>18</v>
      </c>
    </row>
    <row r="257" spans="1:6" ht="18.75" x14ac:dyDescent="0.3">
      <c r="A257" s="58" t="s">
        <v>651</v>
      </c>
      <c r="B257" s="59" t="s">
        <v>652</v>
      </c>
      <c r="C257" t="s">
        <v>38</v>
      </c>
      <c r="D257" t="s">
        <v>123</v>
      </c>
      <c r="E257" s="66">
        <v>150</v>
      </c>
      <c r="F257" s="66">
        <v>150</v>
      </c>
    </row>
    <row r="258" spans="1:6" ht="18.75" x14ac:dyDescent="0.3">
      <c r="A258" s="58" t="s">
        <v>653</v>
      </c>
      <c r="B258" s="59" t="s">
        <v>654</v>
      </c>
      <c r="C258" t="s">
        <v>38</v>
      </c>
      <c r="D258" t="s">
        <v>123</v>
      </c>
      <c r="E258" s="66">
        <v>2</v>
      </c>
      <c r="F258" s="66">
        <v>2</v>
      </c>
    </row>
    <row r="259" spans="1:6" ht="18.75" x14ac:dyDescent="0.3">
      <c r="A259" s="58" t="s">
        <v>655</v>
      </c>
      <c r="B259" s="59" t="s">
        <v>656</v>
      </c>
      <c r="C259" t="s">
        <v>38</v>
      </c>
      <c r="D259" t="s">
        <v>123</v>
      </c>
      <c r="E259" s="66">
        <v>2</v>
      </c>
      <c r="F259" s="66">
        <v>2</v>
      </c>
    </row>
    <row r="260" spans="1:6" ht="18.75" x14ac:dyDescent="0.25">
      <c r="A260" s="58" t="s">
        <v>657</v>
      </c>
      <c r="B260" s="60" t="s">
        <v>658</v>
      </c>
      <c r="C260" t="s">
        <v>38</v>
      </c>
      <c r="D260" t="s">
        <v>123</v>
      </c>
      <c r="E260" s="66">
        <v>2</v>
      </c>
      <c r="F260" s="66">
        <v>2</v>
      </c>
    </row>
    <row r="261" spans="1:6" ht="18.75" x14ac:dyDescent="0.3">
      <c r="A261" s="58" t="s">
        <v>659</v>
      </c>
      <c r="B261" s="59" t="s">
        <v>660</v>
      </c>
      <c r="C261" t="s">
        <v>38</v>
      </c>
      <c r="D261" t="s">
        <v>114</v>
      </c>
      <c r="E261" s="66">
        <v>2</v>
      </c>
      <c r="F261" s="66">
        <v>2</v>
      </c>
    </row>
    <row r="262" spans="1:6" ht="18.75" x14ac:dyDescent="0.3">
      <c r="A262" s="58" t="s">
        <v>661</v>
      </c>
      <c r="B262" s="59" t="s">
        <v>662</v>
      </c>
      <c r="C262" t="s">
        <v>38</v>
      </c>
      <c r="D262" t="s">
        <v>114</v>
      </c>
      <c r="E262" s="66">
        <v>1.62</v>
      </c>
      <c r="F262" s="66">
        <v>3.58</v>
      </c>
    </row>
    <row r="263" spans="1:6" ht="18.75" x14ac:dyDescent="0.3">
      <c r="A263" s="58" t="s">
        <v>663</v>
      </c>
      <c r="B263" s="59" t="s">
        <v>664</v>
      </c>
      <c r="C263" t="s">
        <v>38</v>
      </c>
      <c r="D263" t="s">
        <v>114</v>
      </c>
      <c r="E263" s="66">
        <v>2</v>
      </c>
      <c r="F263" s="66">
        <v>2</v>
      </c>
    </row>
    <row r="264" spans="1:6" ht="18.75" x14ac:dyDescent="0.3">
      <c r="A264" s="58" t="s">
        <v>665</v>
      </c>
      <c r="B264" s="59" t="s">
        <v>666</v>
      </c>
      <c r="C264" t="s">
        <v>38</v>
      </c>
      <c r="D264" t="s">
        <v>114</v>
      </c>
      <c r="E264" s="66">
        <v>2</v>
      </c>
      <c r="F264" s="66">
        <v>2</v>
      </c>
    </row>
    <row r="265" spans="1:6" ht="18.75" x14ac:dyDescent="0.3">
      <c r="A265" s="58" t="s">
        <v>667</v>
      </c>
      <c r="B265" s="59" t="s">
        <v>668</v>
      </c>
      <c r="C265" t="s">
        <v>38</v>
      </c>
      <c r="D265" t="s">
        <v>76</v>
      </c>
      <c r="E265" s="66">
        <v>2</v>
      </c>
      <c r="F265" s="66">
        <v>2</v>
      </c>
    </row>
    <row r="266" spans="1:6" ht="18.75" x14ac:dyDescent="0.3">
      <c r="A266" s="58" t="s">
        <v>669</v>
      </c>
      <c r="B266" s="59" t="s">
        <v>670</v>
      </c>
      <c r="C266" t="s">
        <v>38</v>
      </c>
      <c r="D266" t="s">
        <v>76</v>
      </c>
      <c r="E266" s="66">
        <v>150</v>
      </c>
      <c r="F266" s="66">
        <v>150</v>
      </c>
    </row>
    <row r="267" spans="1:6" ht="18.75" x14ac:dyDescent="0.25">
      <c r="A267" s="58" t="s">
        <v>671</v>
      </c>
      <c r="B267" s="60" t="s">
        <v>672</v>
      </c>
      <c r="C267" t="s">
        <v>38</v>
      </c>
      <c r="D267" t="s">
        <v>76</v>
      </c>
      <c r="E267" s="66">
        <v>15</v>
      </c>
      <c r="F267" s="66">
        <v>15</v>
      </c>
    </row>
    <row r="268" spans="1:6" ht="18.75" x14ac:dyDescent="0.25">
      <c r="A268" s="58" t="s">
        <v>673</v>
      </c>
      <c r="B268" s="60" t="s">
        <v>674</v>
      </c>
      <c r="C268" t="s">
        <v>38</v>
      </c>
      <c r="D268" t="s">
        <v>76</v>
      </c>
      <c r="E268" s="66">
        <v>15</v>
      </c>
      <c r="F268" s="66">
        <v>15</v>
      </c>
    </row>
    <row r="269" spans="1:6" ht="18.75" x14ac:dyDescent="0.3">
      <c r="A269" s="58" t="s">
        <v>675</v>
      </c>
      <c r="B269" s="59" t="s">
        <v>676</v>
      </c>
      <c r="C269" t="s">
        <v>38</v>
      </c>
      <c r="D269" t="s">
        <v>79</v>
      </c>
      <c r="E269" s="66">
        <v>1.5</v>
      </c>
      <c r="F269" s="66">
        <v>1.5</v>
      </c>
    </row>
    <row r="270" spans="1:6" ht="18.75" x14ac:dyDescent="0.25">
      <c r="A270" s="58" t="s">
        <v>677</v>
      </c>
      <c r="B270" s="60" t="s">
        <v>678</v>
      </c>
      <c r="C270" t="s">
        <v>38</v>
      </c>
      <c r="D270" t="s">
        <v>79</v>
      </c>
      <c r="E270" s="66">
        <v>20</v>
      </c>
      <c r="F270" s="66">
        <v>20</v>
      </c>
    </row>
    <row r="271" spans="1:6" ht="18.75" x14ac:dyDescent="0.25">
      <c r="A271" s="58" t="s">
        <v>679</v>
      </c>
      <c r="B271" s="60" t="s">
        <v>680</v>
      </c>
      <c r="C271" t="s">
        <v>38</v>
      </c>
      <c r="D271" t="s">
        <v>79</v>
      </c>
      <c r="E271" s="66">
        <v>30</v>
      </c>
      <c r="F271" s="66">
        <v>30</v>
      </c>
    </row>
    <row r="272" spans="1:6" ht="18.75" x14ac:dyDescent="0.25">
      <c r="A272" s="58" t="s">
        <v>681</v>
      </c>
      <c r="B272" s="60" t="s">
        <v>682</v>
      </c>
      <c r="C272" t="s">
        <v>38</v>
      </c>
      <c r="D272" t="s">
        <v>79</v>
      </c>
      <c r="E272" s="66">
        <v>20</v>
      </c>
      <c r="F272" s="66">
        <v>20</v>
      </c>
    </row>
    <row r="273" spans="1:6" ht="18.75" x14ac:dyDescent="0.25">
      <c r="A273" s="58" t="s">
        <v>683</v>
      </c>
      <c r="B273" s="60" t="s">
        <v>684</v>
      </c>
      <c r="C273" t="s">
        <v>39</v>
      </c>
      <c r="D273" t="s">
        <v>124</v>
      </c>
      <c r="E273" s="66">
        <v>45</v>
      </c>
      <c r="F273" s="66">
        <v>45</v>
      </c>
    </row>
    <row r="274" spans="1:6" ht="18.75" x14ac:dyDescent="0.25">
      <c r="A274" s="58" t="s">
        <v>685</v>
      </c>
      <c r="B274" s="60" t="s">
        <v>686</v>
      </c>
      <c r="C274" t="s">
        <v>39</v>
      </c>
      <c r="D274" t="s">
        <v>124</v>
      </c>
      <c r="E274" s="66">
        <v>45</v>
      </c>
      <c r="F274" s="66">
        <v>45</v>
      </c>
    </row>
    <row r="275" spans="1:6" ht="18.75" x14ac:dyDescent="0.25">
      <c r="A275" s="58" t="s">
        <v>687</v>
      </c>
      <c r="B275" s="60" t="s">
        <v>688</v>
      </c>
      <c r="C275" t="s">
        <v>39</v>
      </c>
      <c r="D275" t="s">
        <v>124</v>
      </c>
      <c r="E275" s="66">
        <v>10</v>
      </c>
      <c r="F275" s="66">
        <v>10</v>
      </c>
    </row>
    <row r="276" spans="1:6" ht="18.75" x14ac:dyDescent="0.25">
      <c r="A276" s="58" t="s">
        <v>689</v>
      </c>
      <c r="B276" s="60" t="s">
        <v>690</v>
      </c>
      <c r="C276" t="s">
        <v>39</v>
      </c>
      <c r="D276" t="s">
        <v>124</v>
      </c>
      <c r="E276" s="66">
        <v>10</v>
      </c>
      <c r="F276" s="66">
        <v>10</v>
      </c>
    </row>
    <row r="277" spans="1:6" ht="18.75" x14ac:dyDescent="0.25">
      <c r="A277" s="58" t="s">
        <v>691</v>
      </c>
      <c r="B277" s="60" t="s">
        <v>692</v>
      </c>
      <c r="C277" t="s">
        <v>39</v>
      </c>
      <c r="D277" t="s">
        <v>124</v>
      </c>
      <c r="E277" s="66">
        <v>25</v>
      </c>
      <c r="F277" s="66">
        <v>25</v>
      </c>
    </row>
    <row r="278" spans="1:6" ht="18.75" x14ac:dyDescent="0.25">
      <c r="A278" s="58" t="s">
        <v>693</v>
      </c>
      <c r="B278" s="60" t="s">
        <v>694</v>
      </c>
      <c r="C278" t="s">
        <v>39</v>
      </c>
      <c r="D278" t="s">
        <v>125</v>
      </c>
      <c r="E278" s="66">
        <v>25</v>
      </c>
      <c r="F278" s="66">
        <v>25</v>
      </c>
    </row>
    <row r="279" spans="1:6" ht="18.75" x14ac:dyDescent="0.25">
      <c r="A279" s="58" t="s">
        <v>695</v>
      </c>
      <c r="B279" s="60" t="s">
        <v>696</v>
      </c>
      <c r="C279" t="s">
        <v>39</v>
      </c>
      <c r="D279" t="s">
        <v>125</v>
      </c>
      <c r="E279" s="66">
        <v>35</v>
      </c>
      <c r="F279" s="66">
        <v>40</v>
      </c>
    </row>
    <row r="280" spans="1:6" ht="18.75" x14ac:dyDescent="0.3">
      <c r="A280" s="58" t="s">
        <v>697</v>
      </c>
      <c r="B280" s="59" t="s">
        <v>698</v>
      </c>
      <c r="C280" t="s">
        <v>39</v>
      </c>
      <c r="D280" t="s">
        <v>125</v>
      </c>
      <c r="E280" s="66">
        <v>15</v>
      </c>
      <c r="F280" s="66">
        <v>15</v>
      </c>
    </row>
    <row r="281" spans="1:6" ht="18.75" x14ac:dyDescent="0.25">
      <c r="A281" s="58" t="s">
        <v>699</v>
      </c>
      <c r="B281" s="60" t="s">
        <v>700</v>
      </c>
      <c r="C281" t="s">
        <v>39</v>
      </c>
      <c r="D281" t="s">
        <v>125</v>
      </c>
      <c r="E281" s="66">
        <v>30</v>
      </c>
      <c r="F281" s="66">
        <v>35</v>
      </c>
    </row>
    <row r="282" spans="1:6" ht="18.75" x14ac:dyDescent="0.25">
      <c r="A282" s="58" t="s">
        <v>701</v>
      </c>
      <c r="B282" s="60" t="s">
        <v>702</v>
      </c>
      <c r="C282" t="s">
        <v>39</v>
      </c>
      <c r="D282" t="s">
        <v>125</v>
      </c>
      <c r="E282" s="66">
        <v>25</v>
      </c>
      <c r="F282" s="66">
        <v>25</v>
      </c>
    </row>
    <row r="283" spans="1:6" ht="18.75" x14ac:dyDescent="0.25">
      <c r="A283" s="61" t="s">
        <v>703</v>
      </c>
      <c r="B283" s="60" t="s">
        <v>704</v>
      </c>
      <c r="C283" t="s">
        <v>39</v>
      </c>
      <c r="D283" t="s">
        <v>126</v>
      </c>
      <c r="E283" s="66">
        <v>17</v>
      </c>
      <c r="F283" s="66">
        <v>17</v>
      </c>
    </row>
    <row r="284" spans="1:6" ht="18.75" x14ac:dyDescent="0.25">
      <c r="A284" s="58" t="s">
        <v>705</v>
      </c>
      <c r="B284" s="60" t="s">
        <v>706</v>
      </c>
      <c r="C284" t="s">
        <v>39</v>
      </c>
      <c r="D284" t="s">
        <v>126</v>
      </c>
      <c r="E284" s="66">
        <v>17</v>
      </c>
      <c r="F284" s="66">
        <v>17</v>
      </c>
    </row>
    <row r="285" spans="1:6" ht="18.75" x14ac:dyDescent="0.25">
      <c r="A285" s="58" t="s">
        <v>707</v>
      </c>
      <c r="B285" s="60" t="s">
        <v>708</v>
      </c>
      <c r="C285" t="s">
        <v>39</v>
      </c>
      <c r="D285" t="s">
        <v>126</v>
      </c>
      <c r="E285" s="66">
        <v>17</v>
      </c>
      <c r="F285" s="66">
        <v>17</v>
      </c>
    </row>
    <row r="286" spans="1:6" ht="18.75" x14ac:dyDescent="0.25">
      <c r="A286" s="58" t="s">
        <v>709</v>
      </c>
      <c r="B286" s="60" t="s">
        <v>710</v>
      </c>
      <c r="C286" t="s">
        <v>39</v>
      </c>
      <c r="D286" t="s">
        <v>126</v>
      </c>
      <c r="E286" s="66">
        <v>20</v>
      </c>
      <c r="F286" s="66">
        <v>20</v>
      </c>
    </row>
    <row r="287" spans="1:6" ht="18.75" x14ac:dyDescent="0.25">
      <c r="A287" s="58" t="s">
        <v>711</v>
      </c>
      <c r="B287" s="60" t="s">
        <v>712</v>
      </c>
      <c r="C287" t="s">
        <v>39</v>
      </c>
      <c r="D287" t="s">
        <v>132</v>
      </c>
      <c r="E287" s="66">
        <v>20</v>
      </c>
      <c r="F287" s="66">
        <v>20</v>
      </c>
    </row>
    <row r="288" spans="1:6" ht="18.75" x14ac:dyDescent="0.3">
      <c r="A288" s="58" t="s">
        <v>713</v>
      </c>
      <c r="B288" s="59" t="s">
        <v>714</v>
      </c>
      <c r="C288" t="s">
        <v>39</v>
      </c>
      <c r="D288" t="s">
        <v>132</v>
      </c>
      <c r="E288" s="66">
        <v>1.31</v>
      </c>
      <c r="F288" s="66">
        <v>3.52</v>
      </c>
    </row>
    <row r="289" spans="1:6" ht="18.75" x14ac:dyDescent="0.3">
      <c r="A289" s="58" t="s">
        <v>715</v>
      </c>
      <c r="B289" s="59" t="s">
        <v>716</v>
      </c>
      <c r="C289" t="s">
        <v>39</v>
      </c>
      <c r="D289" t="s">
        <v>132</v>
      </c>
      <c r="E289" s="66">
        <v>1.18</v>
      </c>
      <c r="F289" s="66">
        <v>2.96</v>
      </c>
    </row>
    <row r="290" spans="1:6" ht="18.75" x14ac:dyDescent="0.3">
      <c r="A290" s="58" t="s">
        <v>717</v>
      </c>
      <c r="B290" s="59" t="s">
        <v>718</v>
      </c>
      <c r="C290" t="s">
        <v>39</v>
      </c>
      <c r="D290" t="s">
        <v>132</v>
      </c>
      <c r="E290" s="66">
        <v>90</v>
      </c>
      <c r="F290" s="66">
        <v>90</v>
      </c>
    </row>
    <row r="291" spans="1:6" ht="18.75" x14ac:dyDescent="0.25">
      <c r="A291" s="58" t="s">
        <v>719</v>
      </c>
      <c r="B291" s="60" t="s">
        <v>720</v>
      </c>
      <c r="C291" t="s">
        <v>39</v>
      </c>
      <c r="D291" t="s">
        <v>133</v>
      </c>
      <c r="E291" s="66">
        <v>8</v>
      </c>
      <c r="F291" s="66">
        <v>8</v>
      </c>
    </row>
    <row r="292" spans="1:6" ht="18.75" x14ac:dyDescent="0.3">
      <c r="A292" s="58" t="s">
        <v>721</v>
      </c>
      <c r="B292" s="59" t="s">
        <v>722</v>
      </c>
      <c r="C292" t="s">
        <v>39</v>
      </c>
      <c r="D292" t="s">
        <v>133</v>
      </c>
      <c r="E292" s="66">
        <v>70</v>
      </c>
      <c r="F292" s="66">
        <v>70</v>
      </c>
    </row>
    <row r="293" spans="1:6" ht="18.75" x14ac:dyDescent="0.25">
      <c r="A293" s="58" t="s">
        <v>723</v>
      </c>
      <c r="B293" s="60" t="s">
        <v>724</v>
      </c>
      <c r="C293" t="s">
        <v>39</v>
      </c>
      <c r="D293" t="s">
        <v>133</v>
      </c>
      <c r="E293" s="66">
        <v>25</v>
      </c>
      <c r="F293" s="66">
        <v>25</v>
      </c>
    </row>
    <row r="294" spans="1:6" ht="18.75" x14ac:dyDescent="0.3">
      <c r="A294" s="58" t="s">
        <v>725</v>
      </c>
      <c r="B294" s="59" t="s">
        <v>726</v>
      </c>
      <c r="C294" t="s">
        <v>39</v>
      </c>
      <c r="D294" t="s">
        <v>133</v>
      </c>
      <c r="E294" s="66">
        <v>5</v>
      </c>
      <c r="F294" s="66">
        <v>5</v>
      </c>
    </row>
    <row r="295" spans="1:6" ht="18.75" x14ac:dyDescent="0.3">
      <c r="A295" s="58" t="s">
        <v>727</v>
      </c>
      <c r="B295" s="59" t="s">
        <v>728</v>
      </c>
      <c r="C295" t="s">
        <v>39</v>
      </c>
      <c r="D295" t="s">
        <v>133</v>
      </c>
      <c r="E295" s="66">
        <v>35</v>
      </c>
      <c r="F295" s="66">
        <v>35</v>
      </c>
    </row>
    <row r="296" spans="1:6" ht="18.75" x14ac:dyDescent="0.3">
      <c r="A296" s="58" t="s">
        <v>729</v>
      </c>
      <c r="B296" s="59" t="s">
        <v>730</v>
      </c>
      <c r="C296" t="s">
        <v>39</v>
      </c>
      <c r="D296" t="s">
        <v>134</v>
      </c>
      <c r="E296" s="66">
        <v>10</v>
      </c>
      <c r="F296" s="66">
        <v>10</v>
      </c>
    </row>
    <row r="297" spans="1:6" ht="18.75" x14ac:dyDescent="0.3">
      <c r="A297" s="58" t="s">
        <v>731</v>
      </c>
      <c r="B297" s="59" t="s">
        <v>732</v>
      </c>
      <c r="C297" t="s">
        <v>39</v>
      </c>
      <c r="D297" t="s">
        <v>134</v>
      </c>
      <c r="E297" s="66">
        <v>30</v>
      </c>
      <c r="F297" s="66">
        <v>30</v>
      </c>
    </row>
    <row r="298" spans="1:6" ht="18.75" x14ac:dyDescent="0.3">
      <c r="A298" s="58" t="s">
        <v>733</v>
      </c>
      <c r="B298" s="59" t="s">
        <v>734</v>
      </c>
      <c r="C298" t="s">
        <v>39</v>
      </c>
      <c r="D298" t="s">
        <v>134</v>
      </c>
      <c r="E298" s="66">
        <v>30</v>
      </c>
      <c r="F298" s="66">
        <v>30</v>
      </c>
    </row>
    <row r="299" spans="1:6" ht="18.75" x14ac:dyDescent="0.3">
      <c r="A299" s="58" t="s">
        <v>735</v>
      </c>
      <c r="B299" s="59" t="s">
        <v>736</v>
      </c>
      <c r="C299" t="s">
        <v>39</v>
      </c>
      <c r="D299" t="s">
        <v>134</v>
      </c>
      <c r="E299" s="66">
        <v>35</v>
      </c>
      <c r="F299" s="66">
        <v>40</v>
      </c>
    </row>
    <row r="300" spans="1:6" ht="18.75" x14ac:dyDescent="0.3">
      <c r="A300" s="58" t="s">
        <v>737</v>
      </c>
      <c r="B300" s="59" t="s">
        <v>738</v>
      </c>
      <c r="C300" t="s">
        <v>39</v>
      </c>
      <c r="D300" t="s">
        <v>135</v>
      </c>
      <c r="E300" s="66">
        <v>15</v>
      </c>
      <c r="F300" s="66">
        <v>15</v>
      </c>
    </row>
    <row r="301" spans="1:6" ht="18.75" x14ac:dyDescent="0.3">
      <c r="A301" s="58" t="s">
        <v>739</v>
      </c>
      <c r="B301" s="59" t="s">
        <v>740</v>
      </c>
      <c r="C301" t="s">
        <v>39</v>
      </c>
      <c r="D301" t="s">
        <v>135</v>
      </c>
      <c r="E301" s="66">
        <v>30</v>
      </c>
      <c r="F301" s="66">
        <v>35</v>
      </c>
    </row>
    <row r="302" spans="1:6" ht="18.75" x14ac:dyDescent="0.25">
      <c r="A302" s="58" t="s">
        <v>741</v>
      </c>
      <c r="B302" s="60" t="s">
        <v>742</v>
      </c>
      <c r="C302" t="s">
        <v>39</v>
      </c>
      <c r="D302" t="s">
        <v>135</v>
      </c>
      <c r="E302" s="66">
        <v>20</v>
      </c>
      <c r="F302" s="66">
        <v>20</v>
      </c>
    </row>
    <row r="303" spans="1:6" ht="18.75" x14ac:dyDescent="0.25">
      <c r="A303" s="58" t="s">
        <v>743</v>
      </c>
      <c r="B303" s="60" t="s">
        <v>744</v>
      </c>
      <c r="C303" t="s">
        <v>39</v>
      </c>
      <c r="D303" t="s">
        <v>135</v>
      </c>
      <c r="E303" s="66">
        <v>20</v>
      </c>
      <c r="F303" s="66">
        <v>20</v>
      </c>
    </row>
    <row r="304" spans="1:6" ht="18.75" x14ac:dyDescent="0.3">
      <c r="A304" s="58" t="s">
        <v>745</v>
      </c>
      <c r="B304" s="59" t="s">
        <v>746</v>
      </c>
      <c r="C304" t="s">
        <v>39</v>
      </c>
      <c r="D304" t="s">
        <v>135</v>
      </c>
      <c r="E304" s="66">
        <v>35</v>
      </c>
      <c r="F304" s="66">
        <v>35</v>
      </c>
    </row>
    <row r="305" spans="1:6" ht="18.75" x14ac:dyDescent="0.25">
      <c r="A305" s="61" t="s">
        <v>747</v>
      </c>
      <c r="B305" s="60" t="s">
        <v>748</v>
      </c>
      <c r="C305" t="s">
        <v>39</v>
      </c>
      <c r="D305" t="s">
        <v>136</v>
      </c>
      <c r="E305" s="66">
        <v>30</v>
      </c>
      <c r="F305" s="66">
        <v>30</v>
      </c>
    </row>
    <row r="306" spans="1:6" ht="18.75" x14ac:dyDescent="0.25">
      <c r="A306" s="61" t="s">
        <v>749</v>
      </c>
      <c r="B306" s="60" t="s">
        <v>750</v>
      </c>
      <c r="C306" t="s">
        <v>39</v>
      </c>
      <c r="D306" t="s">
        <v>136</v>
      </c>
      <c r="E306" s="66">
        <v>30</v>
      </c>
      <c r="F306" s="66">
        <v>30</v>
      </c>
    </row>
    <row r="307" spans="1:6" ht="18.75" x14ac:dyDescent="0.25">
      <c r="A307" s="58" t="s">
        <v>751</v>
      </c>
      <c r="B307" s="60" t="s">
        <v>752</v>
      </c>
      <c r="C307" t="s">
        <v>39</v>
      </c>
      <c r="D307" t="s">
        <v>136</v>
      </c>
      <c r="E307" s="66">
        <v>45</v>
      </c>
      <c r="F307" s="66">
        <v>45</v>
      </c>
    </row>
    <row r="308" spans="1:6" ht="18.75" x14ac:dyDescent="0.3">
      <c r="A308" s="58" t="s">
        <v>753</v>
      </c>
      <c r="B308" s="59" t="s">
        <v>754</v>
      </c>
      <c r="C308" t="s">
        <v>39</v>
      </c>
      <c r="D308" t="s">
        <v>136</v>
      </c>
      <c r="E308" s="66">
        <v>45</v>
      </c>
      <c r="F308" s="66">
        <v>50</v>
      </c>
    </row>
    <row r="309" spans="1:6" ht="18.75" x14ac:dyDescent="0.3">
      <c r="A309" s="58" t="s">
        <v>755</v>
      </c>
      <c r="B309" s="59" t="s">
        <v>756</v>
      </c>
      <c r="C309" t="s">
        <v>39</v>
      </c>
      <c r="D309" t="s">
        <v>137</v>
      </c>
      <c r="E309" s="66">
        <v>15</v>
      </c>
      <c r="F309" s="66">
        <v>15</v>
      </c>
    </row>
    <row r="310" spans="1:6" ht="18.75" x14ac:dyDescent="0.3">
      <c r="A310" s="58" t="s">
        <v>757</v>
      </c>
      <c r="B310" s="59" t="s">
        <v>758</v>
      </c>
      <c r="C310" t="s">
        <v>39</v>
      </c>
      <c r="D310" t="s">
        <v>137</v>
      </c>
      <c r="E310" s="66">
        <v>2</v>
      </c>
      <c r="F310" s="66">
        <v>2</v>
      </c>
    </row>
    <row r="311" spans="1:6" ht="18.75" x14ac:dyDescent="0.25">
      <c r="A311" s="58" t="s">
        <v>759</v>
      </c>
      <c r="B311" s="60" t="s">
        <v>760</v>
      </c>
      <c r="C311" t="s">
        <v>39</v>
      </c>
      <c r="D311" t="s">
        <v>137</v>
      </c>
      <c r="E311" s="66">
        <v>12</v>
      </c>
      <c r="F311" s="66">
        <v>12</v>
      </c>
    </row>
    <row r="312" spans="1:6" ht="18.75" x14ac:dyDescent="0.25">
      <c r="A312" s="58" t="s">
        <v>761</v>
      </c>
      <c r="B312" s="60" t="s">
        <v>762</v>
      </c>
      <c r="C312" t="s">
        <v>39</v>
      </c>
      <c r="D312" t="s">
        <v>137</v>
      </c>
      <c r="E312" s="66">
        <v>10</v>
      </c>
      <c r="F312" s="66">
        <v>10</v>
      </c>
    </row>
    <row r="313" spans="1:6" ht="18.75" x14ac:dyDescent="0.3">
      <c r="A313" s="58" t="s">
        <v>763</v>
      </c>
      <c r="B313" s="59" t="s">
        <v>764</v>
      </c>
      <c r="C313" t="s">
        <v>39</v>
      </c>
      <c r="D313" t="s">
        <v>137</v>
      </c>
      <c r="E313" s="66">
        <v>6</v>
      </c>
      <c r="F313" s="66">
        <v>6</v>
      </c>
    </row>
    <row r="314" spans="1:6" ht="18.75" x14ac:dyDescent="0.25">
      <c r="A314" s="58" t="s">
        <v>765</v>
      </c>
      <c r="B314" s="60" t="s">
        <v>766</v>
      </c>
      <c r="C314" t="s">
        <v>39</v>
      </c>
      <c r="D314" t="s">
        <v>139</v>
      </c>
      <c r="E314" s="66">
        <v>6</v>
      </c>
      <c r="F314" s="66">
        <v>6</v>
      </c>
    </row>
    <row r="315" spans="1:6" ht="18.75" x14ac:dyDescent="0.3">
      <c r="A315" s="58" t="s">
        <v>767</v>
      </c>
      <c r="B315" s="59" t="s">
        <v>768</v>
      </c>
      <c r="C315" t="s">
        <v>39</v>
      </c>
      <c r="D315" t="s">
        <v>139</v>
      </c>
      <c r="E315" s="66">
        <v>8</v>
      </c>
      <c r="F315" s="66">
        <v>8</v>
      </c>
    </row>
    <row r="316" spans="1:6" ht="18.75" x14ac:dyDescent="0.3">
      <c r="A316" s="58" t="s">
        <v>769</v>
      </c>
      <c r="B316" s="59" t="s">
        <v>770</v>
      </c>
      <c r="C316" t="s">
        <v>39</v>
      </c>
      <c r="D316" t="s">
        <v>139</v>
      </c>
      <c r="E316" s="66">
        <v>8</v>
      </c>
      <c r="F316" s="66">
        <v>8</v>
      </c>
    </row>
    <row r="317" spans="1:6" ht="18.75" x14ac:dyDescent="0.3">
      <c r="A317" s="58" t="s">
        <v>771</v>
      </c>
      <c r="B317" s="59" t="s">
        <v>772</v>
      </c>
      <c r="C317" t="s">
        <v>39</v>
      </c>
      <c r="D317" t="s">
        <v>139</v>
      </c>
      <c r="E317" s="66">
        <v>100</v>
      </c>
      <c r="F317" s="66">
        <v>100</v>
      </c>
    </row>
    <row r="318" spans="1:6" ht="18.75" x14ac:dyDescent="0.3">
      <c r="A318" s="58" t="s">
        <v>773</v>
      </c>
      <c r="B318" s="59" t="s">
        <v>774</v>
      </c>
      <c r="C318" t="s">
        <v>39</v>
      </c>
      <c r="D318" t="s">
        <v>140</v>
      </c>
      <c r="E318" s="66">
        <v>8</v>
      </c>
      <c r="F318" s="66">
        <v>8</v>
      </c>
    </row>
    <row r="319" spans="1:6" ht="18.75" x14ac:dyDescent="0.3">
      <c r="A319" s="58" t="s">
        <v>775</v>
      </c>
      <c r="B319" s="59" t="s">
        <v>776</v>
      </c>
      <c r="C319" t="s">
        <v>39</v>
      </c>
      <c r="D319" t="s">
        <v>140</v>
      </c>
      <c r="E319" s="66">
        <v>8</v>
      </c>
      <c r="F319" s="66">
        <v>8</v>
      </c>
    </row>
    <row r="320" spans="1:6" ht="18.75" x14ac:dyDescent="0.3">
      <c r="A320" s="58" t="s">
        <v>777</v>
      </c>
      <c r="B320" s="59" t="s">
        <v>778</v>
      </c>
      <c r="C320" t="s">
        <v>39</v>
      </c>
      <c r="D320" t="s">
        <v>140</v>
      </c>
      <c r="E320" s="66">
        <v>80</v>
      </c>
      <c r="F320" s="66">
        <v>80</v>
      </c>
    </row>
    <row r="321" spans="1:6" ht="18.75" x14ac:dyDescent="0.3">
      <c r="A321" s="58" t="s">
        <v>779</v>
      </c>
      <c r="B321" s="59" t="s">
        <v>780</v>
      </c>
      <c r="C321" t="s">
        <v>39</v>
      </c>
      <c r="D321" t="s">
        <v>140</v>
      </c>
      <c r="E321" s="66">
        <v>30</v>
      </c>
      <c r="F321" s="66">
        <v>30</v>
      </c>
    </row>
    <row r="322" spans="1:6" ht="18.75" x14ac:dyDescent="0.3">
      <c r="A322" s="58" t="s">
        <v>781</v>
      </c>
      <c r="B322" s="59" t="s">
        <v>782</v>
      </c>
      <c r="C322" t="s">
        <v>39</v>
      </c>
      <c r="D322" t="s">
        <v>141</v>
      </c>
      <c r="E322" s="66">
        <v>20</v>
      </c>
      <c r="F322" s="66">
        <v>20</v>
      </c>
    </row>
    <row r="323" spans="1:6" ht="18.75" x14ac:dyDescent="0.3">
      <c r="A323" s="58" t="s">
        <v>783</v>
      </c>
      <c r="B323" s="59" t="s">
        <v>784</v>
      </c>
      <c r="C323" t="s">
        <v>39</v>
      </c>
      <c r="D323" t="s">
        <v>141</v>
      </c>
      <c r="E323" s="66">
        <v>10</v>
      </c>
      <c r="F323" s="66">
        <v>10</v>
      </c>
    </row>
    <row r="324" spans="1:6" ht="18.75" x14ac:dyDescent="0.3">
      <c r="A324" s="58" t="s">
        <v>785</v>
      </c>
      <c r="B324" s="59" t="s">
        <v>786</v>
      </c>
      <c r="C324" t="s">
        <v>39</v>
      </c>
      <c r="D324" t="s">
        <v>141</v>
      </c>
      <c r="E324" s="66">
        <v>10</v>
      </c>
      <c r="F324" s="66">
        <v>10</v>
      </c>
    </row>
    <row r="325" spans="1:6" ht="18.75" x14ac:dyDescent="0.3">
      <c r="A325" s="58" t="s">
        <v>787</v>
      </c>
      <c r="B325" s="59" t="s">
        <v>788</v>
      </c>
      <c r="C325" t="s">
        <v>39</v>
      </c>
      <c r="D325" t="s">
        <v>141</v>
      </c>
      <c r="E325" s="66">
        <v>20</v>
      </c>
      <c r="F325" s="66">
        <v>20</v>
      </c>
    </row>
    <row r="326" spans="1:6" ht="18.75" x14ac:dyDescent="0.3">
      <c r="A326" s="58" t="s">
        <v>789</v>
      </c>
      <c r="B326" s="59" t="s">
        <v>790</v>
      </c>
      <c r="C326" t="s">
        <v>34</v>
      </c>
      <c r="D326" t="s">
        <v>40</v>
      </c>
      <c r="E326" s="66">
        <v>45</v>
      </c>
      <c r="F326" s="66">
        <v>45</v>
      </c>
    </row>
    <row r="327" spans="1:6" ht="18.75" x14ac:dyDescent="0.3">
      <c r="A327" s="58" t="s">
        <v>791</v>
      </c>
      <c r="B327" s="59" t="s">
        <v>790</v>
      </c>
      <c r="C327" t="s">
        <v>34</v>
      </c>
      <c r="D327" t="s">
        <v>40</v>
      </c>
      <c r="E327" s="66">
        <v>45</v>
      </c>
      <c r="F327" s="66">
        <v>45</v>
      </c>
    </row>
    <row r="328" spans="1:6" ht="18.75" x14ac:dyDescent="0.3">
      <c r="A328" s="58" t="s">
        <v>792</v>
      </c>
      <c r="B328" s="59" t="s">
        <v>793</v>
      </c>
      <c r="C328" t="s">
        <v>34</v>
      </c>
      <c r="D328" t="s">
        <v>40</v>
      </c>
      <c r="E328" s="66">
        <v>10</v>
      </c>
      <c r="F328" s="66">
        <v>10</v>
      </c>
    </row>
    <row r="329" spans="1:6" ht="18.75" x14ac:dyDescent="0.3">
      <c r="A329" s="58" t="s">
        <v>794</v>
      </c>
      <c r="B329" s="59" t="s">
        <v>795</v>
      </c>
      <c r="C329" t="s">
        <v>34</v>
      </c>
      <c r="D329" t="s">
        <v>40</v>
      </c>
      <c r="E329" s="66">
        <v>10</v>
      </c>
      <c r="F329" s="66">
        <v>10</v>
      </c>
    </row>
    <row r="330" spans="1:6" ht="18.75" x14ac:dyDescent="0.3">
      <c r="A330" s="58" t="s">
        <v>796</v>
      </c>
      <c r="B330" s="59" t="s">
        <v>795</v>
      </c>
      <c r="C330" t="s">
        <v>34</v>
      </c>
      <c r="D330" t="s">
        <v>41</v>
      </c>
      <c r="E330" s="66">
        <v>10</v>
      </c>
      <c r="F330" s="66">
        <v>10</v>
      </c>
    </row>
    <row r="331" spans="1:6" ht="18.75" x14ac:dyDescent="0.3">
      <c r="A331" s="58" t="s">
        <v>797</v>
      </c>
      <c r="B331" s="59" t="s">
        <v>798</v>
      </c>
      <c r="C331" t="s">
        <v>34</v>
      </c>
      <c r="D331" t="s">
        <v>41</v>
      </c>
      <c r="E331" s="66">
        <v>5</v>
      </c>
      <c r="F331" s="66">
        <v>5</v>
      </c>
    </row>
    <row r="332" spans="1:6" ht="18.75" x14ac:dyDescent="0.3">
      <c r="A332" s="58" t="s">
        <v>799</v>
      </c>
      <c r="B332" s="59" t="s">
        <v>1277</v>
      </c>
      <c r="C332" t="s">
        <v>34</v>
      </c>
      <c r="D332" t="s">
        <v>41</v>
      </c>
      <c r="E332" s="66">
        <v>35</v>
      </c>
      <c r="F332" s="66">
        <v>35</v>
      </c>
    </row>
    <row r="333" spans="1:6" ht="18.75" x14ac:dyDescent="0.3">
      <c r="A333" s="58" t="s">
        <v>1016</v>
      </c>
      <c r="B333" s="59" t="s">
        <v>357</v>
      </c>
      <c r="C333" t="s">
        <v>34</v>
      </c>
      <c r="D333" t="s">
        <v>41</v>
      </c>
      <c r="E333" s="66">
        <v>4.5</v>
      </c>
      <c r="F333" s="66">
        <v>4.5</v>
      </c>
    </row>
    <row r="334" spans="1:6" ht="18.75" x14ac:dyDescent="0.3">
      <c r="A334" s="58" t="s">
        <v>800</v>
      </c>
      <c r="B334" s="59" t="s">
        <v>801</v>
      </c>
      <c r="C334" t="s">
        <v>34</v>
      </c>
      <c r="D334" t="s">
        <v>42</v>
      </c>
      <c r="E334" s="66">
        <v>20</v>
      </c>
      <c r="F334" s="66">
        <v>20</v>
      </c>
    </row>
    <row r="335" spans="1:6" ht="18.75" x14ac:dyDescent="0.3">
      <c r="A335" s="58" t="s">
        <v>802</v>
      </c>
      <c r="B335" s="59" t="s">
        <v>803</v>
      </c>
      <c r="C335" t="s">
        <v>34</v>
      </c>
      <c r="D335" t="s">
        <v>42</v>
      </c>
      <c r="E335" s="66">
        <v>6.5</v>
      </c>
      <c r="F335" s="66">
        <v>6.5</v>
      </c>
    </row>
    <row r="336" spans="1:6" ht="18.75" x14ac:dyDescent="0.3">
      <c r="A336" s="58" t="s">
        <v>804</v>
      </c>
      <c r="B336" s="59" t="s">
        <v>1189</v>
      </c>
      <c r="C336" t="s">
        <v>34</v>
      </c>
      <c r="D336" t="s">
        <v>42</v>
      </c>
      <c r="E336" s="66">
        <v>16</v>
      </c>
      <c r="F336" s="66">
        <v>20</v>
      </c>
    </row>
    <row r="337" spans="1:6" ht="18.75" x14ac:dyDescent="0.3">
      <c r="A337" s="58" t="s">
        <v>806</v>
      </c>
      <c r="B337" s="59" t="s">
        <v>807</v>
      </c>
      <c r="C337" t="s">
        <v>34</v>
      </c>
      <c r="D337" t="s">
        <v>42</v>
      </c>
      <c r="E337" s="66">
        <v>45</v>
      </c>
      <c r="F337" s="66">
        <v>45</v>
      </c>
    </row>
    <row r="338" spans="1:6" ht="18.75" x14ac:dyDescent="0.3">
      <c r="A338" s="58" t="s">
        <v>808</v>
      </c>
      <c r="B338" s="59" t="s">
        <v>809</v>
      </c>
      <c r="C338" t="s">
        <v>34</v>
      </c>
      <c r="D338" t="s">
        <v>43</v>
      </c>
      <c r="E338" s="66">
        <v>13</v>
      </c>
      <c r="F338" s="66">
        <v>130</v>
      </c>
    </row>
    <row r="339" spans="1:6" ht="18.75" x14ac:dyDescent="0.3">
      <c r="A339" s="58" t="s">
        <v>810</v>
      </c>
      <c r="B339" s="59" t="s">
        <v>807</v>
      </c>
      <c r="C339" t="s">
        <v>34</v>
      </c>
      <c r="D339" t="s">
        <v>43</v>
      </c>
      <c r="E339" s="66">
        <v>45</v>
      </c>
      <c r="F339" s="66">
        <v>45</v>
      </c>
    </row>
    <row r="340" spans="1:6" ht="18.75" x14ac:dyDescent="0.3">
      <c r="A340" s="58" t="s">
        <v>811</v>
      </c>
      <c r="B340" s="59" t="s">
        <v>812</v>
      </c>
      <c r="C340" t="s">
        <v>34</v>
      </c>
      <c r="D340" t="s">
        <v>43</v>
      </c>
      <c r="E340" s="66">
        <v>19</v>
      </c>
      <c r="F340" s="66">
        <v>19</v>
      </c>
    </row>
    <row r="341" spans="1:6" ht="18.75" x14ac:dyDescent="0.3">
      <c r="A341" s="58" t="s">
        <v>813</v>
      </c>
      <c r="B341" s="59" t="s">
        <v>814</v>
      </c>
      <c r="C341" t="s">
        <v>34</v>
      </c>
      <c r="D341" t="s">
        <v>43</v>
      </c>
      <c r="E341" s="66">
        <v>20</v>
      </c>
      <c r="F341" s="66">
        <v>21</v>
      </c>
    </row>
    <row r="342" spans="1:6" ht="18.75" x14ac:dyDescent="0.3">
      <c r="A342" s="58" t="s">
        <v>815</v>
      </c>
      <c r="B342" s="59" t="s">
        <v>816</v>
      </c>
      <c r="C342" t="s">
        <v>34</v>
      </c>
      <c r="D342" t="s">
        <v>68</v>
      </c>
      <c r="E342" s="66">
        <v>36</v>
      </c>
      <c r="F342" s="66">
        <v>38</v>
      </c>
    </row>
    <row r="343" spans="1:6" ht="18.75" x14ac:dyDescent="0.3">
      <c r="A343" s="58" t="s">
        <v>817</v>
      </c>
      <c r="B343" s="59" t="s">
        <v>818</v>
      </c>
      <c r="C343" t="s">
        <v>34</v>
      </c>
      <c r="D343" t="s">
        <v>68</v>
      </c>
      <c r="E343" s="66">
        <v>53</v>
      </c>
      <c r="F343" s="66">
        <v>55</v>
      </c>
    </row>
    <row r="344" spans="1:6" ht="18.75" x14ac:dyDescent="0.3">
      <c r="A344" s="58" t="s">
        <v>819</v>
      </c>
      <c r="B344" s="59" t="s">
        <v>820</v>
      </c>
      <c r="C344" t="s">
        <v>34</v>
      </c>
      <c r="D344" t="s">
        <v>68</v>
      </c>
      <c r="E344" s="66">
        <v>19</v>
      </c>
      <c r="F344" s="66">
        <v>21</v>
      </c>
    </row>
    <row r="345" spans="1:6" ht="18.75" x14ac:dyDescent="0.3">
      <c r="A345" s="58" t="s">
        <v>821</v>
      </c>
      <c r="B345" s="59" t="s">
        <v>822</v>
      </c>
      <c r="C345" t="s">
        <v>34</v>
      </c>
      <c r="D345" t="s">
        <v>68</v>
      </c>
      <c r="E345" s="66">
        <v>15</v>
      </c>
      <c r="F345" s="66">
        <v>15</v>
      </c>
    </row>
    <row r="346" spans="1:6" ht="18.75" x14ac:dyDescent="0.3">
      <c r="A346" s="58" t="s">
        <v>823</v>
      </c>
      <c r="B346" s="59" t="s">
        <v>824</v>
      </c>
      <c r="C346" t="s">
        <v>34</v>
      </c>
      <c r="D346" t="s">
        <v>99</v>
      </c>
      <c r="E346" s="66">
        <v>10</v>
      </c>
      <c r="F346" s="66">
        <v>10</v>
      </c>
    </row>
    <row r="347" spans="1:6" ht="18.75" x14ac:dyDescent="0.3">
      <c r="A347" s="58" t="s">
        <v>825</v>
      </c>
      <c r="B347" s="59" t="s">
        <v>826</v>
      </c>
      <c r="C347" t="s">
        <v>34</v>
      </c>
      <c r="D347" t="s">
        <v>99</v>
      </c>
      <c r="E347" s="66">
        <v>15</v>
      </c>
      <c r="F347" s="66">
        <v>15</v>
      </c>
    </row>
    <row r="348" spans="1:6" ht="18.75" x14ac:dyDescent="0.3">
      <c r="A348" s="58" t="s">
        <v>827</v>
      </c>
      <c r="B348" s="59" t="s">
        <v>726</v>
      </c>
      <c r="C348" t="s">
        <v>34</v>
      </c>
      <c r="D348" t="s">
        <v>99</v>
      </c>
      <c r="E348" s="66">
        <v>5</v>
      </c>
      <c r="F348" s="66">
        <v>5</v>
      </c>
    </row>
    <row r="349" spans="1:6" ht="18.75" x14ac:dyDescent="0.3">
      <c r="A349" s="58" t="s">
        <v>828</v>
      </c>
      <c r="B349" s="59" t="s">
        <v>829</v>
      </c>
      <c r="C349" t="s">
        <v>34</v>
      </c>
      <c r="D349" t="s">
        <v>99</v>
      </c>
      <c r="E349" s="66">
        <v>10</v>
      </c>
      <c r="F349" s="66">
        <v>10</v>
      </c>
    </row>
    <row r="350" spans="1:6" ht="18.75" x14ac:dyDescent="0.3">
      <c r="A350" s="58" t="s">
        <v>830</v>
      </c>
      <c r="B350" s="59" t="s">
        <v>831</v>
      </c>
      <c r="C350" t="s">
        <v>34</v>
      </c>
      <c r="D350" t="s">
        <v>70</v>
      </c>
      <c r="E350" s="66">
        <v>15</v>
      </c>
      <c r="F350" s="66">
        <v>15</v>
      </c>
    </row>
    <row r="351" spans="1:6" ht="18.75" x14ac:dyDescent="0.3">
      <c r="A351" s="58" t="s">
        <v>832</v>
      </c>
      <c r="B351" s="59" t="s">
        <v>833</v>
      </c>
      <c r="C351" t="s">
        <v>34</v>
      </c>
      <c r="D351" t="s">
        <v>70</v>
      </c>
      <c r="E351" s="66">
        <v>10</v>
      </c>
      <c r="F351" s="66">
        <v>10</v>
      </c>
    </row>
    <row r="352" spans="1:6" ht="18.75" x14ac:dyDescent="0.3">
      <c r="A352" s="58" t="s">
        <v>834</v>
      </c>
      <c r="B352" s="59" t="s">
        <v>835</v>
      </c>
      <c r="C352" t="s">
        <v>34</v>
      </c>
      <c r="D352" t="s">
        <v>70</v>
      </c>
      <c r="E352" s="66">
        <v>10</v>
      </c>
      <c r="F352" s="66">
        <v>10</v>
      </c>
    </row>
    <row r="353" spans="1:6" ht="18.75" x14ac:dyDescent="0.3">
      <c r="A353" s="58" t="s">
        <v>837</v>
      </c>
      <c r="B353" s="59" t="s">
        <v>836</v>
      </c>
      <c r="C353" t="s">
        <v>34</v>
      </c>
      <c r="D353" t="s">
        <v>70</v>
      </c>
      <c r="E353" s="66">
        <v>10</v>
      </c>
      <c r="F353" s="66">
        <v>10</v>
      </c>
    </row>
    <row r="354" spans="1:6" ht="18.75" x14ac:dyDescent="0.3">
      <c r="A354" s="58" t="s">
        <v>838</v>
      </c>
      <c r="B354" s="59" t="s">
        <v>839</v>
      </c>
      <c r="C354" t="s">
        <v>34</v>
      </c>
      <c r="D354" t="s">
        <v>100</v>
      </c>
      <c r="E354" s="66">
        <v>14</v>
      </c>
      <c r="F354" s="66">
        <v>14</v>
      </c>
    </row>
    <row r="355" spans="1:6" ht="18.75" x14ac:dyDescent="0.3">
      <c r="A355" s="58" t="s">
        <v>840</v>
      </c>
      <c r="B355" s="59" t="s">
        <v>1220</v>
      </c>
      <c r="C355" t="s">
        <v>34</v>
      </c>
      <c r="D355" t="s">
        <v>100</v>
      </c>
      <c r="E355" s="66">
        <v>18</v>
      </c>
      <c r="F355" s="66">
        <v>19</v>
      </c>
    </row>
    <row r="356" spans="1:6" ht="18.75" x14ac:dyDescent="0.3">
      <c r="A356" s="58" t="s">
        <v>841</v>
      </c>
      <c r="B356" s="59" t="s">
        <v>708</v>
      </c>
      <c r="C356" t="s">
        <v>34</v>
      </c>
      <c r="D356" t="s">
        <v>100</v>
      </c>
      <c r="E356" s="66">
        <v>17</v>
      </c>
      <c r="F356" s="66">
        <v>18</v>
      </c>
    </row>
    <row r="357" spans="1:6" ht="18.75" x14ac:dyDescent="0.3">
      <c r="A357" s="58" t="s">
        <v>842</v>
      </c>
      <c r="B357" s="59" t="s">
        <v>843</v>
      </c>
      <c r="C357" t="s">
        <v>34</v>
      </c>
      <c r="D357" t="s">
        <v>100</v>
      </c>
      <c r="E357" s="66">
        <v>17</v>
      </c>
      <c r="F357" s="66">
        <v>20</v>
      </c>
    </row>
    <row r="358" spans="1:6" ht="18.75" x14ac:dyDescent="0.3">
      <c r="A358" s="58" t="s">
        <v>844</v>
      </c>
      <c r="B358" s="59" t="s">
        <v>845</v>
      </c>
      <c r="C358" t="s">
        <v>34</v>
      </c>
      <c r="D358" t="s">
        <v>101</v>
      </c>
      <c r="E358" s="66">
        <v>30</v>
      </c>
      <c r="F358" s="66">
        <v>30</v>
      </c>
    </row>
    <row r="359" spans="1:6" ht="18.75" x14ac:dyDescent="0.3">
      <c r="A359" s="58" t="s">
        <v>846</v>
      </c>
      <c r="B359" s="59" t="s">
        <v>847</v>
      </c>
      <c r="C359" t="s">
        <v>34</v>
      </c>
      <c r="D359" t="s">
        <v>101</v>
      </c>
      <c r="E359" s="66">
        <v>30</v>
      </c>
      <c r="F359" s="66">
        <v>30</v>
      </c>
    </row>
    <row r="360" spans="1:6" ht="18.75" x14ac:dyDescent="0.3">
      <c r="A360" s="58" t="s">
        <v>848</v>
      </c>
      <c r="B360" s="59" t="s">
        <v>736</v>
      </c>
      <c r="C360" t="s">
        <v>34</v>
      </c>
      <c r="D360" t="s">
        <v>101</v>
      </c>
      <c r="E360" s="66">
        <v>35</v>
      </c>
      <c r="F360" s="66">
        <v>35</v>
      </c>
    </row>
    <row r="361" spans="1:6" ht="18.75" x14ac:dyDescent="0.3">
      <c r="A361" s="58" t="s">
        <v>849</v>
      </c>
      <c r="B361" s="59" t="s">
        <v>850</v>
      </c>
      <c r="C361" t="s">
        <v>34</v>
      </c>
      <c r="D361" t="s">
        <v>101</v>
      </c>
      <c r="E361" s="66">
        <v>10</v>
      </c>
      <c r="F361" s="66">
        <v>10</v>
      </c>
    </row>
    <row r="362" spans="1:6" ht="18.75" x14ac:dyDescent="0.3">
      <c r="A362" s="58" t="s">
        <v>851</v>
      </c>
      <c r="B362" s="59" t="s">
        <v>852</v>
      </c>
      <c r="C362" t="s">
        <v>34</v>
      </c>
      <c r="D362" t="s">
        <v>102</v>
      </c>
      <c r="E362" s="66">
        <v>10</v>
      </c>
      <c r="F362" s="66">
        <v>12</v>
      </c>
    </row>
    <row r="363" spans="1:6" ht="18.75" x14ac:dyDescent="0.3">
      <c r="A363" s="58" t="s">
        <v>853</v>
      </c>
      <c r="B363" s="59" t="s">
        <v>856</v>
      </c>
      <c r="C363" t="s">
        <v>34</v>
      </c>
      <c r="D363" t="s">
        <v>102</v>
      </c>
      <c r="E363" s="66">
        <v>50</v>
      </c>
      <c r="F363" s="66">
        <v>50</v>
      </c>
    </row>
    <row r="364" spans="1:6" ht="18.75" x14ac:dyDescent="0.3">
      <c r="A364" s="58" t="s">
        <v>854</v>
      </c>
      <c r="B364" s="59" t="s">
        <v>855</v>
      </c>
      <c r="C364" t="s">
        <v>34</v>
      </c>
      <c r="D364" t="s">
        <v>102</v>
      </c>
      <c r="E364" s="66">
        <v>60</v>
      </c>
      <c r="F364" s="66">
        <v>60</v>
      </c>
    </row>
    <row r="365" spans="1:6" ht="18.75" x14ac:dyDescent="0.3">
      <c r="A365" s="58" t="s">
        <v>857</v>
      </c>
      <c r="B365" s="59" t="s">
        <v>858</v>
      </c>
      <c r="C365" t="s">
        <v>34</v>
      </c>
      <c r="D365" t="s">
        <v>102</v>
      </c>
      <c r="E365" s="66">
        <v>18</v>
      </c>
      <c r="F365" s="66">
        <v>20</v>
      </c>
    </row>
    <row r="366" spans="1:6" ht="18.75" x14ac:dyDescent="0.3">
      <c r="A366" s="58" t="s">
        <v>859</v>
      </c>
      <c r="B366" s="59" t="s">
        <v>776</v>
      </c>
      <c r="C366" t="s">
        <v>34</v>
      </c>
      <c r="D366" t="s">
        <v>103</v>
      </c>
      <c r="E366" s="66">
        <v>8</v>
      </c>
      <c r="F366" s="66">
        <v>8</v>
      </c>
    </row>
    <row r="367" spans="1:6" ht="18.75" x14ac:dyDescent="0.3">
      <c r="A367" s="58" t="s">
        <v>775</v>
      </c>
      <c r="B367" s="59" t="s">
        <v>776</v>
      </c>
      <c r="C367" t="s">
        <v>34</v>
      </c>
      <c r="D367" t="s">
        <v>103</v>
      </c>
      <c r="E367" s="66">
        <v>6</v>
      </c>
      <c r="F367" s="66">
        <v>6</v>
      </c>
    </row>
    <row r="368" spans="1:6" ht="18.75" x14ac:dyDescent="0.3">
      <c r="A368" s="58" t="s">
        <v>860</v>
      </c>
      <c r="B368" s="59" t="s">
        <v>861</v>
      </c>
      <c r="C368" t="s">
        <v>34</v>
      </c>
      <c r="D368" t="s">
        <v>103</v>
      </c>
      <c r="E368" s="66">
        <v>6</v>
      </c>
      <c r="F368" s="66">
        <v>6</v>
      </c>
    </row>
    <row r="369" spans="1:6" ht="18.75" x14ac:dyDescent="0.3">
      <c r="A369" s="58" t="s">
        <v>763</v>
      </c>
      <c r="B369" s="59" t="s">
        <v>862</v>
      </c>
      <c r="C369" t="s">
        <v>34</v>
      </c>
      <c r="D369" t="s">
        <v>103</v>
      </c>
      <c r="E369" s="66">
        <v>6</v>
      </c>
      <c r="F369" s="66">
        <v>6</v>
      </c>
    </row>
    <row r="370" spans="1:6" ht="18.75" x14ac:dyDescent="0.3">
      <c r="A370" s="58" t="s">
        <v>863</v>
      </c>
      <c r="B370" s="59" t="s">
        <v>864</v>
      </c>
      <c r="C370" t="s">
        <v>34</v>
      </c>
      <c r="D370" t="s">
        <v>77</v>
      </c>
      <c r="E370" s="66">
        <v>6</v>
      </c>
      <c r="F370" s="66">
        <v>6</v>
      </c>
    </row>
    <row r="371" spans="1:6" ht="18.75" x14ac:dyDescent="0.3">
      <c r="A371" s="58" t="s">
        <v>865</v>
      </c>
      <c r="B371" s="59" t="s">
        <v>866</v>
      </c>
      <c r="C371" t="s">
        <v>34</v>
      </c>
      <c r="D371" t="s">
        <v>77</v>
      </c>
      <c r="E371" s="66">
        <v>10</v>
      </c>
      <c r="F371" s="66">
        <v>10</v>
      </c>
    </row>
    <row r="372" spans="1:6" ht="18.75" x14ac:dyDescent="0.3">
      <c r="A372" s="58" t="s">
        <v>867</v>
      </c>
      <c r="B372" s="59" t="s">
        <v>868</v>
      </c>
      <c r="C372" t="s">
        <v>34</v>
      </c>
      <c r="D372" t="s">
        <v>77</v>
      </c>
      <c r="E372" s="66">
        <v>45</v>
      </c>
      <c r="F372" s="66">
        <v>45</v>
      </c>
    </row>
    <row r="373" spans="1:6" ht="18.75" x14ac:dyDescent="0.3">
      <c r="A373" s="58" t="s">
        <v>869</v>
      </c>
      <c r="B373" s="59" t="s">
        <v>564</v>
      </c>
      <c r="C373" t="s">
        <v>34</v>
      </c>
      <c r="D373" t="s">
        <v>77</v>
      </c>
      <c r="E373" s="66">
        <v>80</v>
      </c>
      <c r="F373" s="66">
        <v>80</v>
      </c>
    </row>
    <row r="374" spans="1:6" ht="18.75" x14ac:dyDescent="0.3">
      <c r="A374" s="58" t="s">
        <v>554</v>
      </c>
      <c r="B374" s="59" t="s">
        <v>870</v>
      </c>
      <c r="C374" t="s">
        <v>35</v>
      </c>
      <c r="D374" t="s">
        <v>2</v>
      </c>
      <c r="E374" s="66">
        <v>80</v>
      </c>
      <c r="F374" s="66">
        <v>80</v>
      </c>
    </row>
    <row r="375" spans="1:6" ht="18.75" x14ac:dyDescent="0.3">
      <c r="A375" s="58" t="s">
        <v>871</v>
      </c>
      <c r="B375" s="59" t="s">
        <v>874</v>
      </c>
      <c r="C375" t="s">
        <v>35</v>
      </c>
      <c r="D375" t="s">
        <v>2</v>
      </c>
      <c r="E375" s="66">
        <v>55</v>
      </c>
      <c r="F375" s="66">
        <v>55</v>
      </c>
    </row>
    <row r="376" spans="1:6" ht="18.75" x14ac:dyDescent="0.3">
      <c r="A376" s="58" t="s">
        <v>872</v>
      </c>
      <c r="B376" s="59" t="s">
        <v>873</v>
      </c>
      <c r="C376" t="s">
        <v>35</v>
      </c>
      <c r="D376" t="s">
        <v>2</v>
      </c>
      <c r="E376" s="66">
        <v>15</v>
      </c>
      <c r="F376" s="66">
        <v>15</v>
      </c>
    </row>
    <row r="377" spans="1:6" ht="18.75" x14ac:dyDescent="0.3">
      <c r="A377" s="58" t="s">
        <v>875</v>
      </c>
      <c r="B377" s="59" t="s">
        <v>884</v>
      </c>
      <c r="C377" t="s">
        <v>35</v>
      </c>
      <c r="D377" t="s">
        <v>2</v>
      </c>
      <c r="E377" s="66">
        <v>30</v>
      </c>
      <c r="F377" s="66">
        <v>30</v>
      </c>
    </row>
    <row r="378" spans="1:6" ht="18.75" x14ac:dyDescent="0.3">
      <c r="A378" s="58" t="s">
        <v>876</v>
      </c>
      <c r="B378" s="59" t="s">
        <v>883</v>
      </c>
      <c r="C378" t="s">
        <v>35</v>
      </c>
      <c r="D378" t="s">
        <v>2</v>
      </c>
      <c r="E378" s="66">
        <v>30</v>
      </c>
      <c r="F378" s="66">
        <v>30</v>
      </c>
    </row>
    <row r="379" spans="1:6" ht="18.75" x14ac:dyDescent="0.3">
      <c r="A379" s="58" t="s">
        <v>877</v>
      </c>
      <c r="B379" s="59" t="s">
        <v>882</v>
      </c>
      <c r="C379" t="s">
        <v>35</v>
      </c>
      <c r="D379" t="s">
        <v>104</v>
      </c>
      <c r="E379" s="66">
        <v>30</v>
      </c>
      <c r="F379" s="66">
        <v>30</v>
      </c>
    </row>
    <row r="380" spans="1:6" ht="18.75" x14ac:dyDescent="0.3">
      <c r="A380" s="58" t="s">
        <v>878</v>
      </c>
      <c r="B380" s="59" t="s">
        <v>881</v>
      </c>
      <c r="C380" t="s">
        <v>35</v>
      </c>
      <c r="D380" t="s">
        <v>104</v>
      </c>
      <c r="E380" s="66">
        <v>30</v>
      </c>
      <c r="F380" s="66">
        <v>30</v>
      </c>
    </row>
    <row r="381" spans="1:6" ht="18.75" x14ac:dyDescent="0.3">
      <c r="A381" s="58" t="s">
        <v>879</v>
      </c>
      <c r="B381" s="59" t="s">
        <v>880</v>
      </c>
      <c r="C381" t="s">
        <v>35</v>
      </c>
      <c r="D381" t="s">
        <v>104</v>
      </c>
      <c r="E381" s="66">
        <v>30</v>
      </c>
      <c r="F381" s="66">
        <v>30</v>
      </c>
    </row>
    <row r="382" spans="1:6" ht="18.75" x14ac:dyDescent="0.3">
      <c r="A382" s="58" t="s">
        <v>885</v>
      </c>
      <c r="B382" s="59" t="s">
        <v>886</v>
      </c>
      <c r="C382" t="s">
        <v>35</v>
      </c>
      <c r="D382" t="s">
        <v>105</v>
      </c>
      <c r="E382" s="66">
        <v>10</v>
      </c>
      <c r="F382" s="66">
        <v>10</v>
      </c>
    </row>
    <row r="383" spans="1:6" ht="18.75" x14ac:dyDescent="0.3">
      <c r="A383" s="58" t="s">
        <v>887</v>
      </c>
      <c r="B383" s="59" t="s">
        <v>888</v>
      </c>
      <c r="C383" t="s">
        <v>35</v>
      </c>
      <c r="D383" t="s">
        <v>105</v>
      </c>
      <c r="E383" s="66">
        <v>12</v>
      </c>
      <c r="F383" s="66">
        <v>12</v>
      </c>
    </row>
    <row r="384" spans="1:6" ht="18.75" x14ac:dyDescent="0.3">
      <c r="A384" s="58" t="s">
        <v>889</v>
      </c>
      <c r="B384" s="59" t="s">
        <v>890</v>
      </c>
      <c r="C384" t="s">
        <v>35</v>
      </c>
      <c r="D384" t="s">
        <v>105</v>
      </c>
      <c r="E384" s="66">
        <v>15</v>
      </c>
      <c r="F384" s="66">
        <v>15</v>
      </c>
    </row>
    <row r="385" spans="1:6" ht="18.75" x14ac:dyDescent="0.3">
      <c r="A385" s="58" t="s">
        <v>891</v>
      </c>
      <c r="B385" s="59" t="s">
        <v>893</v>
      </c>
      <c r="C385" t="s">
        <v>35</v>
      </c>
      <c r="D385" t="s">
        <v>105</v>
      </c>
      <c r="E385" s="66">
        <v>25</v>
      </c>
      <c r="F385" s="66">
        <v>25</v>
      </c>
    </row>
    <row r="386" spans="1:6" ht="18.75" x14ac:dyDescent="0.3">
      <c r="A386" s="58" t="s">
        <v>892</v>
      </c>
      <c r="B386" s="59" t="s">
        <v>893</v>
      </c>
      <c r="C386" t="s">
        <v>35</v>
      </c>
      <c r="D386" t="s">
        <v>106</v>
      </c>
      <c r="E386" s="66">
        <v>25</v>
      </c>
      <c r="F386" s="66">
        <v>25</v>
      </c>
    </row>
    <row r="387" spans="1:6" ht="18.75" x14ac:dyDescent="0.3">
      <c r="A387" s="58" t="s">
        <v>894</v>
      </c>
      <c r="B387" s="59" t="s">
        <v>895</v>
      </c>
      <c r="C387" t="s">
        <v>35</v>
      </c>
      <c r="D387" t="s">
        <v>106</v>
      </c>
      <c r="E387" s="66">
        <v>5</v>
      </c>
      <c r="F387" s="66">
        <v>5</v>
      </c>
    </row>
    <row r="388" spans="1:6" ht="18.75" x14ac:dyDescent="0.3">
      <c r="A388" s="58" t="s">
        <v>348</v>
      </c>
      <c r="B388" s="59" t="s">
        <v>895</v>
      </c>
      <c r="C388" t="s">
        <v>35</v>
      </c>
      <c r="D388" t="s">
        <v>106</v>
      </c>
      <c r="E388" s="66">
        <v>5</v>
      </c>
      <c r="F388" s="66">
        <v>5</v>
      </c>
    </row>
    <row r="389" spans="1:6" ht="18.75" x14ac:dyDescent="0.3">
      <c r="A389" s="58" t="s">
        <v>896</v>
      </c>
      <c r="B389" s="59" t="s">
        <v>897</v>
      </c>
      <c r="C389" t="s">
        <v>35</v>
      </c>
      <c r="D389" t="s">
        <v>106</v>
      </c>
      <c r="E389" s="66">
        <v>10</v>
      </c>
      <c r="F389" s="66">
        <v>10</v>
      </c>
    </row>
    <row r="390" spans="1:6" ht="18.75" x14ac:dyDescent="0.3">
      <c r="A390" s="58" t="s">
        <v>334</v>
      </c>
      <c r="B390" s="59" t="s">
        <v>897</v>
      </c>
      <c r="C390" t="s">
        <v>35</v>
      </c>
      <c r="D390" t="s">
        <v>107</v>
      </c>
      <c r="E390" s="66">
        <v>10</v>
      </c>
      <c r="F390" s="66">
        <v>10</v>
      </c>
    </row>
    <row r="391" spans="1:6" ht="18.75" x14ac:dyDescent="0.3">
      <c r="A391" s="58" t="s">
        <v>898</v>
      </c>
      <c r="B391" s="59" t="s">
        <v>899</v>
      </c>
      <c r="C391" t="s">
        <v>35</v>
      </c>
      <c r="D391" t="s">
        <v>107</v>
      </c>
      <c r="E391" s="66">
        <v>20</v>
      </c>
      <c r="F391" s="66">
        <v>20</v>
      </c>
    </row>
    <row r="392" spans="1:6" ht="18.75" x14ac:dyDescent="0.3">
      <c r="A392" s="58" t="s">
        <v>900</v>
      </c>
      <c r="B392" s="59" t="s">
        <v>901</v>
      </c>
      <c r="C392" t="s">
        <v>35</v>
      </c>
      <c r="D392" t="s">
        <v>107</v>
      </c>
      <c r="E392" s="66">
        <v>30</v>
      </c>
      <c r="F392" s="66">
        <v>30</v>
      </c>
    </row>
    <row r="393" spans="1:6" ht="18.75" x14ac:dyDescent="0.3">
      <c r="A393" s="58" t="s">
        <v>900</v>
      </c>
      <c r="B393" s="59" t="s">
        <v>901</v>
      </c>
      <c r="C393" t="s">
        <v>35</v>
      </c>
      <c r="D393" t="s">
        <v>107</v>
      </c>
      <c r="E393" s="66">
        <v>30</v>
      </c>
      <c r="F393" s="66">
        <v>30</v>
      </c>
    </row>
    <row r="394" spans="1:6" ht="18.75" x14ac:dyDescent="0.3">
      <c r="A394" s="58" t="s">
        <v>902</v>
      </c>
      <c r="B394" s="59" t="s">
        <v>903</v>
      </c>
      <c r="C394" t="s">
        <v>35</v>
      </c>
      <c r="D394" t="s">
        <v>108</v>
      </c>
      <c r="E394" s="66">
        <v>25</v>
      </c>
      <c r="F394" s="66">
        <v>25</v>
      </c>
    </row>
    <row r="395" spans="1:6" ht="18.75" x14ac:dyDescent="0.3">
      <c r="A395" s="58" t="s">
        <v>904</v>
      </c>
      <c r="B395" s="59" t="s">
        <v>905</v>
      </c>
      <c r="C395" t="s">
        <v>35</v>
      </c>
      <c r="D395" t="s">
        <v>108</v>
      </c>
      <c r="E395" s="66">
        <v>25</v>
      </c>
      <c r="F395" s="66">
        <v>25</v>
      </c>
    </row>
    <row r="396" spans="1:6" ht="18.75" x14ac:dyDescent="0.3">
      <c r="A396" s="58" t="s">
        <v>906</v>
      </c>
      <c r="B396" s="59" t="s">
        <v>1226</v>
      </c>
      <c r="C396" t="s">
        <v>35</v>
      </c>
      <c r="D396" t="s">
        <v>108</v>
      </c>
      <c r="E396" s="66">
        <v>35</v>
      </c>
      <c r="F396" s="66">
        <v>37.5</v>
      </c>
    </row>
    <row r="397" spans="1:6" ht="18.75" x14ac:dyDescent="0.3">
      <c r="A397" s="58" t="s">
        <v>907</v>
      </c>
      <c r="B397" s="59" t="s">
        <v>908</v>
      </c>
      <c r="C397" t="s">
        <v>35</v>
      </c>
      <c r="D397" t="s">
        <v>108</v>
      </c>
      <c r="E397" s="66">
        <v>10</v>
      </c>
      <c r="F397" s="66">
        <v>10</v>
      </c>
    </row>
    <row r="398" spans="1:6" ht="18.75" x14ac:dyDescent="0.3">
      <c r="A398" s="58" t="s">
        <v>909</v>
      </c>
      <c r="B398" s="59" t="s">
        <v>910</v>
      </c>
      <c r="C398" t="s">
        <v>35</v>
      </c>
      <c r="D398" t="s">
        <v>108</v>
      </c>
      <c r="E398" s="66">
        <v>14</v>
      </c>
      <c r="F398" s="66">
        <v>17</v>
      </c>
    </row>
    <row r="399" spans="1:6" ht="18.75" x14ac:dyDescent="0.3">
      <c r="A399" s="58" t="s">
        <v>911</v>
      </c>
      <c r="B399" s="59" t="s">
        <v>912</v>
      </c>
      <c r="C399" t="s">
        <v>35</v>
      </c>
      <c r="D399" t="s">
        <v>156</v>
      </c>
      <c r="E399" s="66">
        <v>17</v>
      </c>
      <c r="F399" s="66">
        <v>17</v>
      </c>
    </row>
    <row r="400" spans="1:6" ht="18.75" x14ac:dyDescent="0.3">
      <c r="A400" s="58" t="s">
        <v>913</v>
      </c>
      <c r="B400" s="59" t="s">
        <v>915</v>
      </c>
      <c r="C400" t="s">
        <v>35</v>
      </c>
      <c r="D400" t="s">
        <v>156</v>
      </c>
      <c r="E400" s="66">
        <v>35</v>
      </c>
      <c r="F400" s="66">
        <v>35</v>
      </c>
    </row>
    <row r="401" spans="1:6" ht="18.75" x14ac:dyDescent="0.3">
      <c r="A401" s="58" t="s">
        <v>914</v>
      </c>
      <c r="B401" s="59" t="s">
        <v>916</v>
      </c>
      <c r="C401" t="s">
        <v>35</v>
      </c>
      <c r="D401" t="s">
        <v>156</v>
      </c>
      <c r="E401" s="66">
        <v>35</v>
      </c>
      <c r="F401" s="66">
        <v>35</v>
      </c>
    </row>
    <row r="402" spans="1:6" ht="18.75" x14ac:dyDescent="0.3">
      <c r="A402" s="58" t="s">
        <v>917</v>
      </c>
      <c r="B402" s="59" t="s">
        <v>921</v>
      </c>
      <c r="C402" t="s">
        <v>35</v>
      </c>
      <c r="D402" t="s">
        <v>156</v>
      </c>
      <c r="E402" s="66">
        <v>10</v>
      </c>
      <c r="F402" s="66">
        <v>10</v>
      </c>
    </row>
    <row r="403" spans="1:6" ht="18.75" x14ac:dyDescent="0.3">
      <c r="A403" s="58" t="s">
        <v>918</v>
      </c>
      <c r="B403" s="59" t="s">
        <v>921</v>
      </c>
      <c r="C403" t="s">
        <v>35</v>
      </c>
      <c r="D403" t="s">
        <v>156</v>
      </c>
      <c r="E403" s="66">
        <v>10</v>
      </c>
      <c r="F403" s="66">
        <v>10</v>
      </c>
    </row>
    <row r="404" spans="1:6" ht="18.75" x14ac:dyDescent="0.3">
      <c r="A404" s="58" t="s">
        <v>193</v>
      </c>
      <c r="B404" s="59" t="s">
        <v>919</v>
      </c>
      <c r="C404" t="s">
        <v>35</v>
      </c>
      <c r="D404" t="s">
        <v>109</v>
      </c>
      <c r="E404" s="66">
        <v>10</v>
      </c>
      <c r="F404" s="66">
        <v>10</v>
      </c>
    </row>
    <row r="405" spans="1:6" ht="18.75" x14ac:dyDescent="0.3">
      <c r="A405" s="58" t="s">
        <v>191</v>
      </c>
      <c r="B405" s="59" t="s">
        <v>919</v>
      </c>
      <c r="C405" t="s">
        <v>35</v>
      </c>
      <c r="D405" t="s">
        <v>109</v>
      </c>
      <c r="E405" s="66">
        <v>10</v>
      </c>
      <c r="F405" s="66">
        <v>10</v>
      </c>
    </row>
    <row r="406" spans="1:6" ht="18.75" x14ac:dyDescent="0.3">
      <c r="A406" s="58" t="s">
        <v>194</v>
      </c>
      <c r="B406" s="59" t="s">
        <v>920</v>
      </c>
      <c r="C406" t="s">
        <v>35</v>
      </c>
      <c r="D406" t="s">
        <v>109</v>
      </c>
      <c r="E406" s="66">
        <v>10</v>
      </c>
      <c r="F406" s="66">
        <v>10</v>
      </c>
    </row>
    <row r="407" spans="1:6" ht="18.75" x14ac:dyDescent="0.3">
      <c r="A407" s="58" t="s">
        <v>196</v>
      </c>
      <c r="B407" s="59" t="s">
        <v>920</v>
      </c>
      <c r="C407" t="s">
        <v>35</v>
      </c>
      <c r="D407" t="s">
        <v>109</v>
      </c>
      <c r="E407" s="66">
        <v>10</v>
      </c>
      <c r="F407" s="66">
        <v>10</v>
      </c>
    </row>
    <row r="408" spans="1:6" ht="18.75" x14ac:dyDescent="0.3">
      <c r="A408" s="58" t="s">
        <v>922</v>
      </c>
      <c r="B408" s="59" t="s">
        <v>924</v>
      </c>
      <c r="C408" t="s">
        <v>35</v>
      </c>
      <c r="D408" t="s">
        <v>109</v>
      </c>
      <c r="E408" s="66">
        <v>17</v>
      </c>
      <c r="F408" s="66">
        <v>17</v>
      </c>
    </row>
    <row r="409" spans="1:6" ht="18.75" x14ac:dyDescent="0.3">
      <c r="A409" s="58" t="s">
        <v>923</v>
      </c>
      <c r="B409" s="59" t="s">
        <v>925</v>
      </c>
      <c r="C409" t="s">
        <v>35</v>
      </c>
      <c r="D409" t="s">
        <v>73</v>
      </c>
      <c r="E409" s="66">
        <v>50</v>
      </c>
      <c r="F409" s="66">
        <v>60</v>
      </c>
    </row>
    <row r="410" spans="1:6" ht="18.75" x14ac:dyDescent="0.3">
      <c r="A410" s="58" t="s">
        <v>926</v>
      </c>
      <c r="B410" s="59" t="s">
        <v>927</v>
      </c>
      <c r="C410" t="s">
        <v>35</v>
      </c>
      <c r="D410" t="s">
        <v>73</v>
      </c>
      <c r="E410" s="66">
        <v>40</v>
      </c>
      <c r="F410" s="66">
        <v>40</v>
      </c>
    </row>
    <row r="411" spans="1:6" ht="18.75" x14ac:dyDescent="0.3">
      <c r="A411" s="58" t="s">
        <v>928</v>
      </c>
      <c r="B411" s="59" t="s">
        <v>929</v>
      </c>
      <c r="C411" t="s">
        <v>35</v>
      </c>
      <c r="D411" t="s">
        <v>73</v>
      </c>
      <c r="E411" s="66">
        <v>50</v>
      </c>
      <c r="F411" s="66">
        <v>50</v>
      </c>
    </row>
    <row r="412" spans="1:6" ht="18.75" x14ac:dyDescent="0.3">
      <c r="A412" s="58" t="s">
        <v>930</v>
      </c>
      <c r="B412" s="59" t="s">
        <v>933</v>
      </c>
      <c r="C412" t="s">
        <v>35</v>
      </c>
      <c r="D412" t="s">
        <v>73</v>
      </c>
      <c r="E412" s="66">
        <v>42.5</v>
      </c>
      <c r="F412" s="66">
        <v>42.5</v>
      </c>
    </row>
    <row r="413" spans="1:6" ht="18.75" x14ac:dyDescent="0.3">
      <c r="A413" s="58" t="s">
        <v>931</v>
      </c>
      <c r="B413" s="59" t="s">
        <v>933</v>
      </c>
      <c r="C413" t="s">
        <v>35</v>
      </c>
      <c r="D413" t="s">
        <v>74</v>
      </c>
      <c r="E413" s="66">
        <v>42.5</v>
      </c>
      <c r="F413" s="66">
        <v>42.5</v>
      </c>
    </row>
    <row r="414" spans="1:6" ht="18.75" x14ac:dyDescent="0.3">
      <c r="A414" s="58" t="s">
        <v>932</v>
      </c>
      <c r="B414" s="59" t="s">
        <v>934</v>
      </c>
      <c r="C414" t="s">
        <v>35</v>
      </c>
      <c r="D414" t="s">
        <v>74</v>
      </c>
      <c r="E414" s="66">
        <v>42.5</v>
      </c>
      <c r="F414" s="66">
        <v>42.5</v>
      </c>
    </row>
    <row r="415" spans="1:6" ht="18.75" x14ac:dyDescent="0.3">
      <c r="A415" s="58" t="s">
        <v>935</v>
      </c>
      <c r="B415" s="59" t="s">
        <v>936</v>
      </c>
      <c r="C415" t="s">
        <v>35</v>
      </c>
      <c r="D415" t="s">
        <v>74</v>
      </c>
      <c r="E415" s="66">
        <v>45</v>
      </c>
      <c r="F415" s="66">
        <v>45</v>
      </c>
    </row>
    <row r="416" spans="1:6" ht="18.75" x14ac:dyDescent="0.3">
      <c r="A416" s="58" t="s">
        <v>937</v>
      </c>
      <c r="B416" s="59" t="s">
        <v>939</v>
      </c>
      <c r="C416" t="s">
        <v>35</v>
      </c>
      <c r="D416" t="s">
        <v>74</v>
      </c>
      <c r="E416" s="66">
        <v>70</v>
      </c>
      <c r="F416" s="66">
        <v>70</v>
      </c>
    </row>
    <row r="417" spans="1:6" ht="18.75" x14ac:dyDescent="0.3">
      <c r="A417" s="58" t="s">
        <v>938</v>
      </c>
      <c r="B417" s="59" t="s">
        <v>939</v>
      </c>
      <c r="C417" t="s">
        <v>35</v>
      </c>
      <c r="D417" t="s">
        <v>110</v>
      </c>
      <c r="E417" s="66">
        <v>70</v>
      </c>
      <c r="F417" s="66">
        <v>70</v>
      </c>
    </row>
    <row r="418" spans="1:6" ht="18.75" x14ac:dyDescent="0.3">
      <c r="A418" s="58" t="s">
        <v>940</v>
      </c>
      <c r="B418" s="59" t="s">
        <v>941</v>
      </c>
      <c r="C418" t="s">
        <v>35</v>
      </c>
      <c r="D418" t="s">
        <v>110</v>
      </c>
      <c r="E418" s="66">
        <v>80</v>
      </c>
      <c r="F418" s="66">
        <v>80</v>
      </c>
    </row>
    <row r="419" spans="1:6" ht="18.75" x14ac:dyDescent="0.3">
      <c r="A419" s="58" t="s">
        <v>628</v>
      </c>
      <c r="B419" s="59" t="s">
        <v>942</v>
      </c>
      <c r="C419" t="s">
        <v>35</v>
      </c>
      <c r="D419" t="s">
        <v>110</v>
      </c>
      <c r="E419" s="66">
        <v>80</v>
      </c>
      <c r="F419" s="66">
        <v>80</v>
      </c>
    </row>
    <row r="420" spans="1:6" ht="18.75" x14ac:dyDescent="0.3">
      <c r="A420" s="58" t="s">
        <v>943</v>
      </c>
      <c r="B420" s="59" t="s">
        <v>944</v>
      </c>
      <c r="C420" t="s">
        <v>35</v>
      </c>
      <c r="D420" t="s">
        <v>110</v>
      </c>
      <c r="E420" s="66">
        <v>70</v>
      </c>
      <c r="F420" s="66">
        <v>70</v>
      </c>
    </row>
    <row r="421" spans="1:6" ht="18.75" x14ac:dyDescent="0.3">
      <c r="A421" s="58" t="s">
        <v>945</v>
      </c>
      <c r="B421" s="59" t="s">
        <v>946</v>
      </c>
      <c r="C421" t="s">
        <v>35</v>
      </c>
      <c r="D421" t="s">
        <v>111</v>
      </c>
      <c r="E421" s="66">
        <v>35</v>
      </c>
      <c r="F421" s="66">
        <v>35</v>
      </c>
    </row>
    <row r="422" spans="1:6" ht="18.75" x14ac:dyDescent="0.3">
      <c r="A422" s="58" t="s">
        <v>947</v>
      </c>
      <c r="B422" s="59" t="s">
        <v>948</v>
      </c>
      <c r="C422" t="s">
        <v>35</v>
      </c>
      <c r="D422" t="s">
        <v>111</v>
      </c>
      <c r="E422" s="66">
        <v>55</v>
      </c>
      <c r="F422" s="66">
        <v>60</v>
      </c>
    </row>
    <row r="423" spans="1:6" ht="18.75" x14ac:dyDescent="0.3">
      <c r="A423" s="58" t="s">
        <v>949</v>
      </c>
      <c r="B423" s="59" t="s">
        <v>950</v>
      </c>
      <c r="C423" t="s">
        <v>35</v>
      </c>
      <c r="D423" t="s">
        <v>111</v>
      </c>
      <c r="E423" s="66">
        <v>50</v>
      </c>
      <c r="F423" s="66">
        <v>50</v>
      </c>
    </row>
    <row r="424" spans="1:6" ht="18.75" x14ac:dyDescent="0.3">
      <c r="A424" s="58" t="s">
        <v>951</v>
      </c>
      <c r="B424" s="59" t="s">
        <v>952</v>
      </c>
      <c r="C424" t="s">
        <v>35</v>
      </c>
      <c r="D424" t="s">
        <v>111</v>
      </c>
      <c r="E424" s="66">
        <v>25</v>
      </c>
      <c r="F424" s="66">
        <v>25</v>
      </c>
    </row>
    <row r="425" spans="1:6" ht="18.75" x14ac:dyDescent="0.3">
      <c r="A425" s="58" t="s">
        <v>953</v>
      </c>
      <c r="B425" s="59" t="s">
        <v>955</v>
      </c>
      <c r="C425" t="s">
        <v>36</v>
      </c>
      <c r="D425" t="s">
        <v>112</v>
      </c>
      <c r="E425" s="66">
        <v>26.25</v>
      </c>
      <c r="F425" s="66">
        <v>30</v>
      </c>
    </row>
    <row r="426" spans="1:6" ht="18.75" x14ac:dyDescent="0.3">
      <c r="A426" s="58" t="s">
        <v>954</v>
      </c>
      <c r="B426" s="59" t="s">
        <v>956</v>
      </c>
      <c r="C426" t="s">
        <v>36</v>
      </c>
      <c r="D426" t="s">
        <v>112</v>
      </c>
      <c r="E426" s="66">
        <v>30</v>
      </c>
      <c r="F426" s="66">
        <v>30</v>
      </c>
    </row>
    <row r="427" spans="1:6" ht="18.75" x14ac:dyDescent="0.3">
      <c r="A427" s="58" t="s">
        <v>957</v>
      </c>
      <c r="B427" s="59" t="s">
        <v>958</v>
      </c>
      <c r="C427" t="s">
        <v>36</v>
      </c>
      <c r="D427" t="s">
        <v>112</v>
      </c>
      <c r="E427" s="66">
        <v>40</v>
      </c>
      <c r="F427" s="66">
        <v>40</v>
      </c>
    </row>
    <row r="428" spans="1:6" ht="18.75" x14ac:dyDescent="0.3">
      <c r="A428" s="58" t="s">
        <v>959</v>
      </c>
      <c r="B428" s="59" t="s">
        <v>960</v>
      </c>
      <c r="C428" t="s">
        <v>36</v>
      </c>
      <c r="D428" t="s">
        <v>112</v>
      </c>
      <c r="E428" s="66">
        <v>180</v>
      </c>
      <c r="F428" s="66">
        <v>180</v>
      </c>
    </row>
    <row r="429" spans="1:6" ht="18.75" x14ac:dyDescent="0.3">
      <c r="A429" s="58" t="s">
        <v>961</v>
      </c>
      <c r="B429" s="59" t="s">
        <v>963</v>
      </c>
      <c r="C429" t="s">
        <v>36</v>
      </c>
      <c r="D429" t="s">
        <v>49</v>
      </c>
      <c r="E429" s="66">
        <v>35</v>
      </c>
      <c r="F429" s="66">
        <v>35</v>
      </c>
    </row>
    <row r="430" spans="1:6" ht="18.75" x14ac:dyDescent="0.3">
      <c r="A430" s="58" t="s">
        <v>457</v>
      </c>
      <c r="B430" s="59" t="s">
        <v>963</v>
      </c>
      <c r="C430" t="s">
        <v>36</v>
      </c>
      <c r="D430" t="s">
        <v>49</v>
      </c>
      <c r="E430" s="66">
        <v>35</v>
      </c>
      <c r="F430" s="66">
        <v>35</v>
      </c>
    </row>
    <row r="431" spans="1:6" ht="18.75" x14ac:dyDescent="0.3">
      <c r="A431" s="58" t="s">
        <v>962</v>
      </c>
      <c r="B431" s="59" t="s">
        <v>963</v>
      </c>
      <c r="C431" t="s">
        <v>36</v>
      </c>
      <c r="D431" t="s">
        <v>49</v>
      </c>
      <c r="E431" s="66">
        <v>35</v>
      </c>
      <c r="F431" s="66">
        <v>35</v>
      </c>
    </row>
    <row r="432" spans="1:6" ht="18.75" x14ac:dyDescent="0.3">
      <c r="A432" s="58" t="s">
        <v>964</v>
      </c>
      <c r="B432" s="59" t="s">
        <v>965</v>
      </c>
      <c r="C432" t="s">
        <v>36</v>
      </c>
      <c r="D432" t="s">
        <v>49</v>
      </c>
      <c r="E432" s="66">
        <v>350</v>
      </c>
      <c r="F432" s="66">
        <v>350</v>
      </c>
    </row>
    <row r="433" spans="1:6" ht="18.75" x14ac:dyDescent="0.3">
      <c r="A433" s="58" t="s">
        <v>966</v>
      </c>
      <c r="B433" s="59" t="s">
        <v>967</v>
      </c>
      <c r="C433" t="s">
        <v>36</v>
      </c>
      <c r="D433" t="s">
        <v>47</v>
      </c>
      <c r="E433" s="66">
        <v>380</v>
      </c>
      <c r="F433" s="66">
        <v>380</v>
      </c>
    </row>
    <row r="434" spans="1:6" ht="18.75" x14ac:dyDescent="0.3">
      <c r="A434" s="58" t="s">
        <v>968</v>
      </c>
      <c r="B434" s="59" t="s">
        <v>969</v>
      </c>
      <c r="C434" t="s">
        <v>36</v>
      </c>
      <c r="D434" t="s">
        <v>47</v>
      </c>
      <c r="E434" s="66">
        <v>130</v>
      </c>
      <c r="F434" s="66">
        <v>130</v>
      </c>
    </row>
    <row r="435" spans="1:6" ht="18.75" x14ac:dyDescent="0.3">
      <c r="A435" s="58" t="s">
        <v>970</v>
      </c>
      <c r="B435" s="59" t="s">
        <v>972</v>
      </c>
      <c r="C435" t="s">
        <v>36</v>
      </c>
      <c r="D435" t="s">
        <v>47</v>
      </c>
      <c r="E435" s="66">
        <v>350</v>
      </c>
      <c r="F435" s="66">
        <v>350</v>
      </c>
    </row>
    <row r="436" spans="1:6" ht="18.75" x14ac:dyDescent="0.3">
      <c r="A436" s="58" t="s">
        <v>971</v>
      </c>
      <c r="B436" s="59" t="s">
        <v>972</v>
      </c>
      <c r="C436" t="s">
        <v>36</v>
      </c>
      <c r="D436" t="s">
        <v>47</v>
      </c>
      <c r="E436" s="66">
        <v>350</v>
      </c>
      <c r="F436" s="66">
        <v>350</v>
      </c>
    </row>
    <row r="437" spans="1:6" ht="18.75" x14ac:dyDescent="0.3">
      <c r="A437" s="58" t="s">
        <v>973</v>
      </c>
      <c r="B437" s="59" t="s">
        <v>974</v>
      </c>
      <c r="C437" t="s">
        <v>36</v>
      </c>
      <c r="D437" t="s">
        <v>89</v>
      </c>
      <c r="E437" s="66">
        <v>130</v>
      </c>
      <c r="F437" s="66">
        <v>130</v>
      </c>
    </row>
    <row r="438" spans="1:6" ht="18.75" x14ac:dyDescent="0.3">
      <c r="A438" s="58" t="s">
        <v>975</v>
      </c>
      <c r="B438" s="59" t="s">
        <v>976</v>
      </c>
      <c r="C438" t="s">
        <v>36</v>
      </c>
      <c r="D438" t="s">
        <v>89</v>
      </c>
      <c r="E438" s="66">
        <v>130</v>
      </c>
      <c r="F438" s="66">
        <v>130</v>
      </c>
    </row>
    <row r="439" spans="1:6" ht="18.75" x14ac:dyDescent="0.3">
      <c r="A439" s="58" t="s">
        <v>977</v>
      </c>
      <c r="B439" s="59" t="s">
        <v>969</v>
      </c>
      <c r="C439" t="s">
        <v>36</v>
      </c>
      <c r="D439" t="s">
        <v>89</v>
      </c>
      <c r="E439" s="66">
        <v>130</v>
      </c>
      <c r="F439" s="66">
        <v>130</v>
      </c>
    </row>
    <row r="440" spans="1:6" ht="18.75" x14ac:dyDescent="0.3">
      <c r="A440" s="58" t="s">
        <v>978</v>
      </c>
      <c r="B440" s="59" t="s">
        <v>980</v>
      </c>
      <c r="C440" t="s">
        <v>36</v>
      </c>
      <c r="D440" t="s">
        <v>89</v>
      </c>
      <c r="E440" s="66">
        <v>70</v>
      </c>
      <c r="F440" s="66">
        <v>70</v>
      </c>
    </row>
    <row r="441" spans="1:6" ht="18.75" x14ac:dyDescent="0.3">
      <c r="A441" s="58" t="s">
        <v>979</v>
      </c>
      <c r="B441" s="59" t="s">
        <v>980</v>
      </c>
      <c r="C441" t="s">
        <v>36</v>
      </c>
      <c r="D441" t="s">
        <v>69</v>
      </c>
      <c r="E441" s="66">
        <v>70</v>
      </c>
      <c r="F441" s="66">
        <v>70</v>
      </c>
    </row>
    <row r="442" spans="1:6" ht="18.75" x14ac:dyDescent="0.3">
      <c r="A442" s="58" t="s">
        <v>981</v>
      </c>
      <c r="B442" s="59" t="s">
        <v>339</v>
      </c>
      <c r="C442" t="s">
        <v>36</v>
      </c>
      <c r="D442" t="s">
        <v>69</v>
      </c>
      <c r="E442" s="66">
        <v>25</v>
      </c>
      <c r="F442" s="66">
        <v>25</v>
      </c>
    </row>
    <row r="443" spans="1:6" ht="18.75" x14ac:dyDescent="0.3">
      <c r="A443" s="58" t="s">
        <v>983</v>
      </c>
      <c r="B443" s="59" t="s">
        <v>984</v>
      </c>
      <c r="C443" t="s">
        <v>36</v>
      </c>
      <c r="D443" t="s">
        <v>69</v>
      </c>
      <c r="E443" s="66">
        <v>25</v>
      </c>
      <c r="F443" s="66">
        <v>25</v>
      </c>
    </row>
    <row r="444" spans="1:6" ht="18.75" x14ac:dyDescent="0.3">
      <c r="A444" s="58" t="s">
        <v>982</v>
      </c>
      <c r="B444" s="59" t="s">
        <v>985</v>
      </c>
      <c r="C444" t="s">
        <v>36</v>
      </c>
      <c r="D444" t="s">
        <v>69</v>
      </c>
      <c r="E444" s="66">
        <v>25</v>
      </c>
      <c r="F444" s="66">
        <v>25</v>
      </c>
    </row>
    <row r="445" spans="1:6" ht="18.75" x14ac:dyDescent="0.3">
      <c r="A445" s="58" t="s">
        <v>986</v>
      </c>
      <c r="B445" s="59" t="s">
        <v>987</v>
      </c>
      <c r="C445" t="s">
        <v>36</v>
      </c>
      <c r="D445" t="s">
        <v>113</v>
      </c>
      <c r="E445" s="66">
        <v>30</v>
      </c>
      <c r="F445" s="66">
        <v>30</v>
      </c>
    </row>
    <row r="446" spans="1:6" ht="18.75" x14ac:dyDescent="0.3">
      <c r="A446" s="58" t="s">
        <v>988</v>
      </c>
      <c r="B446" s="59" t="s">
        <v>989</v>
      </c>
      <c r="C446" t="s">
        <v>36</v>
      </c>
      <c r="D446" t="s">
        <v>113</v>
      </c>
      <c r="E446" s="66">
        <v>30</v>
      </c>
      <c r="F446" s="66">
        <v>30</v>
      </c>
    </row>
    <row r="447" spans="1:6" ht="18.75" x14ac:dyDescent="0.3">
      <c r="A447" s="58" t="s">
        <v>990</v>
      </c>
      <c r="B447" s="59" t="s">
        <v>991</v>
      </c>
      <c r="C447" t="s">
        <v>36</v>
      </c>
      <c r="D447" t="s">
        <v>113</v>
      </c>
      <c r="E447" s="66">
        <v>90</v>
      </c>
      <c r="F447" s="66">
        <v>90</v>
      </c>
    </row>
    <row r="448" spans="1:6" ht="18.75" x14ac:dyDescent="0.3">
      <c r="A448" s="58" t="s">
        <v>992</v>
      </c>
      <c r="B448" s="59" t="s">
        <v>993</v>
      </c>
      <c r="C448" t="s">
        <v>36</v>
      </c>
      <c r="D448" t="s">
        <v>113</v>
      </c>
      <c r="E448" s="66">
        <v>50</v>
      </c>
      <c r="F448" s="66">
        <v>50</v>
      </c>
    </row>
    <row r="449" spans="1:6" ht="18.75" x14ac:dyDescent="0.3">
      <c r="A449" s="58" t="s">
        <v>994</v>
      </c>
      <c r="B449" s="59" t="s">
        <v>996</v>
      </c>
      <c r="C449" t="s">
        <v>36</v>
      </c>
      <c r="D449" t="s">
        <v>114</v>
      </c>
      <c r="E449" s="66">
        <v>15</v>
      </c>
      <c r="F449" s="66">
        <v>15</v>
      </c>
    </row>
    <row r="450" spans="1:6" ht="18.75" x14ac:dyDescent="0.3">
      <c r="A450" s="58" t="s">
        <v>995</v>
      </c>
      <c r="B450" s="59" t="s">
        <v>996</v>
      </c>
      <c r="C450" t="s">
        <v>36</v>
      </c>
      <c r="D450" t="s">
        <v>114</v>
      </c>
      <c r="E450" s="66">
        <v>15</v>
      </c>
      <c r="F450" s="66">
        <v>15</v>
      </c>
    </row>
    <row r="451" spans="1:6" ht="18.75" x14ac:dyDescent="0.3">
      <c r="A451" s="58" t="s">
        <v>997</v>
      </c>
      <c r="B451" s="59" t="s">
        <v>999</v>
      </c>
      <c r="C451" t="s">
        <v>36</v>
      </c>
      <c r="D451" t="s">
        <v>114</v>
      </c>
      <c r="E451" s="66">
        <v>35</v>
      </c>
      <c r="F451" s="66">
        <v>35</v>
      </c>
    </row>
    <row r="452" spans="1:6" ht="18.75" x14ac:dyDescent="0.3">
      <c r="A452" s="58" t="s">
        <v>998</v>
      </c>
      <c r="B452" s="59" t="s">
        <v>999</v>
      </c>
      <c r="C452" t="s">
        <v>36</v>
      </c>
      <c r="D452" t="s">
        <v>114</v>
      </c>
      <c r="E452" s="66">
        <v>35</v>
      </c>
      <c r="F452" s="66">
        <v>35</v>
      </c>
    </row>
    <row r="453" spans="1:6" ht="18.75" x14ac:dyDescent="0.3">
      <c r="A453" s="58" t="s">
        <v>994</v>
      </c>
      <c r="B453" s="59" t="s">
        <v>1000</v>
      </c>
      <c r="C453" t="s">
        <v>36</v>
      </c>
      <c r="D453" t="s">
        <v>114</v>
      </c>
      <c r="E453" s="66">
        <v>7</v>
      </c>
      <c r="F453" s="66">
        <v>7</v>
      </c>
    </row>
    <row r="454" spans="1:6" ht="18.75" x14ac:dyDescent="0.3">
      <c r="A454" s="58" t="s">
        <v>995</v>
      </c>
      <c r="B454" s="59" t="s">
        <v>1000</v>
      </c>
      <c r="C454" t="s">
        <v>36</v>
      </c>
      <c r="D454" t="s">
        <v>48</v>
      </c>
      <c r="E454" s="66">
        <v>7</v>
      </c>
      <c r="F454" s="66">
        <v>7</v>
      </c>
    </row>
    <row r="455" spans="1:6" ht="18.75" x14ac:dyDescent="0.3">
      <c r="A455" s="58" t="s">
        <v>1001</v>
      </c>
      <c r="B455" s="59" t="s">
        <v>1003</v>
      </c>
      <c r="C455" t="s">
        <v>36</v>
      </c>
      <c r="D455" t="s">
        <v>48</v>
      </c>
      <c r="E455" s="66">
        <v>25</v>
      </c>
      <c r="F455" s="66">
        <v>25</v>
      </c>
    </row>
    <row r="456" spans="1:6" ht="18.75" x14ac:dyDescent="0.3">
      <c r="A456" s="58" t="s">
        <v>1002</v>
      </c>
      <c r="B456" s="59" t="s">
        <v>1003</v>
      </c>
      <c r="C456" t="s">
        <v>36</v>
      </c>
      <c r="D456" t="s">
        <v>48</v>
      </c>
      <c r="E456" s="66">
        <v>25</v>
      </c>
      <c r="F456" s="66">
        <v>25</v>
      </c>
    </row>
    <row r="457" spans="1:6" ht="18.75" x14ac:dyDescent="0.3">
      <c r="A457" s="58" t="s">
        <v>1004</v>
      </c>
      <c r="B457" s="59" t="s">
        <v>1005</v>
      </c>
      <c r="C457" t="s">
        <v>36</v>
      </c>
      <c r="D457" t="s">
        <v>48</v>
      </c>
      <c r="E457" s="66">
        <v>35</v>
      </c>
      <c r="F457" s="66">
        <v>35</v>
      </c>
    </row>
    <row r="458" spans="1:6" ht="18.75" x14ac:dyDescent="0.3">
      <c r="A458" s="58" t="s">
        <v>1006</v>
      </c>
      <c r="B458" s="59" t="s">
        <v>462</v>
      </c>
      <c r="C458" t="s">
        <v>36</v>
      </c>
      <c r="D458" t="s">
        <v>48</v>
      </c>
      <c r="E458" s="66">
        <v>15</v>
      </c>
      <c r="F458" s="66">
        <v>15</v>
      </c>
    </row>
    <row r="459" spans="1:6" ht="18.75" x14ac:dyDescent="0.3">
      <c r="A459" s="58" t="s">
        <v>1007</v>
      </c>
      <c r="B459" s="59" t="s">
        <v>1008</v>
      </c>
      <c r="C459" t="s">
        <v>36</v>
      </c>
      <c r="D459" t="s">
        <v>116</v>
      </c>
      <c r="E459" s="66">
        <v>7</v>
      </c>
      <c r="F459" s="66">
        <v>7</v>
      </c>
    </row>
    <row r="460" spans="1:6" ht="18.75" x14ac:dyDescent="0.3">
      <c r="A460" s="58" t="s">
        <v>1023</v>
      </c>
      <c r="B460" s="59" t="s">
        <v>1022</v>
      </c>
      <c r="C460" t="s">
        <v>36</v>
      </c>
      <c r="D460" t="s">
        <v>116</v>
      </c>
      <c r="E460" s="66">
        <v>150</v>
      </c>
      <c r="F460" s="66">
        <v>150</v>
      </c>
    </row>
    <row r="461" spans="1:6" ht="18.75" x14ac:dyDescent="0.3">
      <c r="A461" s="58" t="s">
        <v>1026</v>
      </c>
      <c r="B461" s="59" t="s">
        <v>1024</v>
      </c>
      <c r="C461" t="s">
        <v>36</v>
      </c>
      <c r="D461" t="s">
        <v>116</v>
      </c>
      <c r="E461" s="66">
        <v>100</v>
      </c>
      <c r="F461" s="66">
        <v>100</v>
      </c>
    </row>
    <row r="462" spans="1:6" ht="18.75" x14ac:dyDescent="0.3">
      <c r="A462" s="58" t="s">
        <v>1027</v>
      </c>
      <c r="B462" s="59" t="s">
        <v>1025</v>
      </c>
      <c r="C462" t="s">
        <v>36</v>
      </c>
      <c r="D462" t="s">
        <v>116</v>
      </c>
      <c r="E462" s="66">
        <v>120</v>
      </c>
      <c r="F462" s="66">
        <v>120</v>
      </c>
    </row>
    <row r="463" spans="1:6" ht="18.75" x14ac:dyDescent="0.3">
      <c r="A463" s="58" t="s">
        <v>1028</v>
      </c>
      <c r="B463" s="59" t="s">
        <v>1225</v>
      </c>
      <c r="C463" t="s">
        <v>36</v>
      </c>
      <c r="D463" t="s">
        <v>116</v>
      </c>
      <c r="E463" s="66">
        <v>60</v>
      </c>
      <c r="F463" s="66">
        <v>70</v>
      </c>
    </row>
    <row r="464" spans="1:6" ht="18.75" x14ac:dyDescent="0.3">
      <c r="A464" s="58" t="s">
        <v>1030</v>
      </c>
      <c r="B464" s="59" t="s">
        <v>1029</v>
      </c>
      <c r="C464" t="s">
        <v>36</v>
      </c>
      <c r="D464" t="s">
        <v>117</v>
      </c>
      <c r="E464" s="66">
        <v>20</v>
      </c>
      <c r="F464" s="66">
        <v>25</v>
      </c>
    </row>
    <row r="465" spans="1:6" ht="18.75" x14ac:dyDescent="0.3">
      <c r="A465" s="58" t="s">
        <v>1031</v>
      </c>
      <c r="B465" s="59" t="s">
        <v>714</v>
      </c>
      <c r="C465" t="s">
        <v>36</v>
      </c>
      <c r="D465" t="s">
        <v>117</v>
      </c>
      <c r="E465" s="66">
        <v>70</v>
      </c>
      <c r="F465" s="66">
        <v>70</v>
      </c>
    </row>
    <row r="466" spans="1:6" ht="18.75" x14ac:dyDescent="0.3">
      <c r="A466" s="58" t="s">
        <v>1032</v>
      </c>
      <c r="B466" s="59" t="s">
        <v>1033</v>
      </c>
      <c r="C466" t="s">
        <v>36</v>
      </c>
      <c r="D466" t="s">
        <v>117</v>
      </c>
      <c r="E466" s="66">
        <v>80</v>
      </c>
      <c r="F466" s="66">
        <v>80</v>
      </c>
    </row>
    <row r="467" spans="1:6" ht="18.75" x14ac:dyDescent="0.3">
      <c r="A467" s="58" t="s">
        <v>1040</v>
      </c>
      <c r="B467" s="59" t="s">
        <v>1034</v>
      </c>
      <c r="C467" t="s">
        <v>36</v>
      </c>
      <c r="D467" t="s">
        <v>117</v>
      </c>
      <c r="E467" s="66">
        <v>100</v>
      </c>
      <c r="F467" s="66">
        <v>110</v>
      </c>
    </row>
    <row r="468" spans="1:6" ht="18.75" x14ac:dyDescent="0.3">
      <c r="A468" s="58" t="s">
        <v>1035</v>
      </c>
      <c r="B468" s="59" t="s">
        <v>1036</v>
      </c>
      <c r="C468" t="s">
        <v>36</v>
      </c>
      <c r="D468" t="s">
        <v>118</v>
      </c>
      <c r="E468" s="66">
        <v>100</v>
      </c>
      <c r="F468" s="66">
        <v>100</v>
      </c>
    </row>
    <row r="469" spans="1:6" ht="18.75" x14ac:dyDescent="0.3">
      <c r="A469" s="58" t="s">
        <v>1037</v>
      </c>
      <c r="B469" s="59" t="s">
        <v>1038</v>
      </c>
      <c r="C469" t="s">
        <v>36</v>
      </c>
      <c r="D469" t="s">
        <v>118</v>
      </c>
      <c r="E469" s="66">
        <v>70</v>
      </c>
      <c r="F469" s="66">
        <v>70</v>
      </c>
    </row>
    <row r="470" spans="1:6" ht="18.75" x14ac:dyDescent="0.3">
      <c r="A470" s="58" t="s">
        <v>1039</v>
      </c>
      <c r="B470" s="59" t="s">
        <v>1041</v>
      </c>
      <c r="C470" t="s">
        <v>36</v>
      </c>
      <c r="D470" t="s">
        <v>118</v>
      </c>
      <c r="E470" s="66">
        <v>180</v>
      </c>
      <c r="F470" s="66">
        <v>180</v>
      </c>
    </row>
    <row r="471" spans="1:6" ht="18.75" x14ac:dyDescent="0.3">
      <c r="A471" s="58" t="s">
        <v>1042</v>
      </c>
      <c r="B471" s="59" t="s">
        <v>1222</v>
      </c>
      <c r="C471" t="s">
        <v>36</v>
      </c>
      <c r="D471" t="s">
        <v>118</v>
      </c>
      <c r="E471" s="66">
        <v>700</v>
      </c>
      <c r="F471" s="66">
        <v>700</v>
      </c>
    </row>
    <row r="472" spans="1:6" ht="18.75" x14ac:dyDescent="0.3">
      <c r="A472" s="58" t="s">
        <v>1043</v>
      </c>
      <c r="B472" s="59" t="s">
        <v>718</v>
      </c>
      <c r="C472" t="s">
        <v>37</v>
      </c>
      <c r="D472" t="s">
        <v>45</v>
      </c>
      <c r="E472" s="66">
        <v>90</v>
      </c>
      <c r="F472" s="66">
        <v>90</v>
      </c>
    </row>
    <row r="473" spans="1:6" ht="18.75" x14ac:dyDescent="0.3">
      <c r="A473" s="58" t="s">
        <v>1044</v>
      </c>
      <c r="B473" s="59" t="s">
        <v>566</v>
      </c>
      <c r="C473" t="s">
        <v>37</v>
      </c>
      <c r="D473" t="s">
        <v>45</v>
      </c>
      <c r="E473" s="66">
        <v>150</v>
      </c>
      <c r="F473" s="66">
        <v>150</v>
      </c>
    </row>
    <row r="474" spans="1:6" ht="18.75" x14ac:dyDescent="0.3">
      <c r="A474" s="58" t="s">
        <v>1045</v>
      </c>
      <c r="B474" s="59" t="s">
        <v>652</v>
      </c>
      <c r="C474" t="s">
        <v>37</v>
      </c>
      <c r="D474" t="s">
        <v>45</v>
      </c>
      <c r="E474" s="66">
        <v>150</v>
      </c>
      <c r="F474" s="66">
        <v>150</v>
      </c>
    </row>
    <row r="475" spans="1:6" ht="18.75" x14ac:dyDescent="0.3">
      <c r="A475" s="58" t="s">
        <v>1046</v>
      </c>
      <c r="B475" s="59" t="s">
        <v>1048</v>
      </c>
      <c r="C475" t="s">
        <v>37</v>
      </c>
      <c r="D475" t="s">
        <v>45</v>
      </c>
      <c r="E475" s="66">
        <v>20</v>
      </c>
      <c r="F475" s="66">
        <v>20</v>
      </c>
    </row>
    <row r="476" spans="1:6" ht="18.75" x14ac:dyDescent="0.3">
      <c r="A476" s="58" t="s">
        <v>1047</v>
      </c>
      <c r="B476" s="59" t="s">
        <v>1049</v>
      </c>
      <c r="C476" t="s">
        <v>37</v>
      </c>
      <c r="D476" t="s">
        <v>66</v>
      </c>
      <c r="E476" s="66">
        <v>40</v>
      </c>
      <c r="F476" s="66">
        <v>40</v>
      </c>
    </row>
    <row r="477" spans="1:6" ht="18.75" x14ac:dyDescent="0.3">
      <c r="A477" s="58" t="s">
        <v>1051</v>
      </c>
      <c r="B477" s="59" t="s">
        <v>1050</v>
      </c>
      <c r="C477" t="s">
        <v>37</v>
      </c>
      <c r="D477" t="s">
        <v>66</v>
      </c>
      <c r="E477" s="66">
        <v>5</v>
      </c>
      <c r="F477" s="66">
        <v>5</v>
      </c>
    </row>
    <row r="478" spans="1:6" ht="18.75" x14ac:dyDescent="0.3">
      <c r="A478" s="58" t="s">
        <v>1052</v>
      </c>
      <c r="B478" s="59" t="s">
        <v>1224</v>
      </c>
      <c r="C478" t="s">
        <v>37</v>
      </c>
      <c r="D478" t="s">
        <v>66</v>
      </c>
      <c r="E478" s="66">
        <v>150</v>
      </c>
      <c r="F478" s="66">
        <v>150</v>
      </c>
    </row>
    <row r="479" spans="1:6" ht="18.75" x14ac:dyDescent="0.3">
      <c r="A479" s="58" t="s">
        <v>1054</v>
      </c>
      <c r="B479" s="59" t="s">
        <v>1053</v>
      </c>
      <c r="C479" t="s">
        <v>37</v>
      </c>
      <c r="D479" t="s">
        <v>66</v>
      </c>
      <c r="E479" s="66">
        <v>150</v>
      </c>
      <c r="F479" s="66">
        <v>150</v>
      </c>
    </row>
    <row r="480" spans="1:6" ht="18.75" x14ac:dyDescent="0.3">
      <c r="A480" s="58" t="s">
        <v>1055</v>
      </c>
      <c r="B480" s="59" t="s">
        <v>235</v>
      </c>
      <c r="C480" t="s">
        <v>37</v>
      </c>
      <c r="D480" t="s">
        <v>67</v>
      </c>
      <c r="E480" s="66">
        <v>150</v>
      </c>
      <c r="F480" s="66">
        <v>150</v>
      </c>
    </row>
    <row r="481" spans="1:6" ht="18.75" x14ac:dyDescent="0.3">
      <c r="A481" s="58" t="s">
        <v>1056</v>
      </c>
      <c r="B481" s="59" t="s">
        <v>722</v>
      </c>
      <c r="C481" t="s">
        <v>37</v>
      </c>
      <c r="D481" t="s">
        <v>67</v>
      </c>
      <c r="E481" s="66">
        <v>70</v>
      </c>
      <c r="F481" s="66">
        <v>70</v>
      </c>
    </row>
    <row r="482" spans="1:6" ht="18.75" x14ac:dyDescent="0.3">
      <c r="A482" s="58" t="s">
        <v>1058</v>
      </c>
      <c r="B482" s="59" t="s">
        <v>1057</v>
      </c>
      <c r="C482" t="s">
        <v>37</v>
      </c>
      <c r="D482" t="s">
        <v>67</v>
      </c>
      <c r="E482" s="66">
        <v>120</v>
      </c>
      <c r="F482" s="66">
        <v>120</v>
      </c>
    </row>
    <row r="483" spans="1:6" ht="18.75" x14ac:dyDescent="0.3">
      <c r="A483" s="58" t="s">
        <v>1059</v>
      </c>
      <c r="B483" s="59" t="s">
        <v>1060</v>
      </c>
      <c r="C483" t="s">
        <v>37</v>
      </c>
      <c r="D483" t="s">
        <v>67</v>
      </c>
      <c r="E483" s="66">
        <v>35</v>
      </c>
      <c r="F483" s="66">
        <v>35</v>
      </c>
    </row>
    <row r="484" spans="1:6" ht="18.75" x14ac:dyDescent="0.3">
      <c r="A484" s="58" t="s">
        <v>1061</v>
      </c>
      <c r="B484" s="59" t="s">
        <v>1062</v>
      </c>
      <c r="C484" t="s">
        <v>37</v>
      </c>
      <c r="D484" t="s">
        <v>67</v>
      </c>
      <c r="E484" s="66">
        <v>35</v>
      </c>
      <c r="F484" s="66">
        <v>35</v>
      </c>
    </row>
    <row r="485" spans="1:6" ht="18.75" x14ac:dyDescent="0.3">
      <c r="A485" s="58" t="s">
        <v>1063</v>
      </c>
      <c r="B485" s="59" t="s">
        <v>1068</v>
      </c>
      <c r="C485" t="s">
        <v>37</v>
      </c>
      <c r="D485" t="s">
        <v>71</v>
      </c>
      <c r="E485" s="66">
        <v>1</v>
      </c>
      <c r="F485" s="66">
        <v>1</v>
      </c>
    </row>
    <row r="486" spans="1:6" ht="18.75" x14ac:dyDescent="0.3">
      <c r="A486" s="58" t="s">
        <v>1064</v>
      </c>
      <c r="B486" s="59" t="s">
        <v>1069</v>
      </c>
      <c r="C486" t="s">
        <v>37</v>
      </c>
      <c r="D486" t="s">
        <v>71</v>
      </c>
      <c r="E486" s="66">
        <v>1</v>
      </c>
      <c r="F486" s="66">
        <v>1</v>
      </c>
    </row>
    <row r="487" spans="1:6" ht="18.75" x14ac:dyDescent="0.3">
      <c r="A487" s="58" t="s">
        <v>1065</v>
      </c>
      <c r="B487" s="59" t="s">
        <v>1070</v>
      </c>
      <c r="C487" t="s">
        <v>37</v>
      </c>
      <c r="D487" t="s">
        <v>71</v>
      </c>
      <c r="E487" s="66">
        <v>1</v>
      </c>
      <c r="F487" s="66">
        <v>1</v>
      </c>
    </row>
    <row r="488" spans="1:6" ht="18.75" x14ac:dyDescent="0.3">
      <c r="A488" s="58" t="s">
        <v>1066</v>
      </c>
      <c r="B488" s="59" t="s">
        <v>1071</v>
      </c>
      <c r="C488" t="s">
        <v>37</v>
      </c>
      <c r="D488" t="s">
        <v>71</v>
      </c>
      <c r="E488" s="66">
        <v>1</v>
      </c>
      <c r="F488" s="66">
        <v>1</v>
      </c>
    </row>
    <row r="489" spans="1:6" ht="18.75" x14ac:dyDescent="0.3">
      <c r="A489" s="58" t="s">
        <v>1067</v>
      </c>
      <c r="B489" s="59" t="s">
        <v>1073</v>
      </c>
      <c r="C489" t="s">
        <v>37</v>
      </c>
      <c r="D489" t="s">
        <v>71</v>
      </c>
      <c r="E489" s="66">
        <v>1</v>
      </c>
      <c r="F489" s="66">
        <v>1</v>
      </c>
    </row>
    <row r="490" spans="1:6" ht="18.75" x14ac:dyDescent="0.3">
      <c r="A490" s="58" t="s">
        <v>1074</v>
      </c>
      <c r="B490" s="59" t="s">
        <v>1072</v>
      </c>
      <c r="C490" t="s">
        <v>37</v>
      </c>
      <c r="D490" t="s">
        <v>120</v>
      </c>
      <c r="E490" s="66">
        <v>1</v>
      </c>
      <c r="F490" s="66">
        <v>1</v>
      </c>
    </row>
    <row r="491" spans="1:6" ht="18.75" x14ac:dyDescent="0.3">
      <c r="A491" s="58" t="s">
        <v>1075</v>
      </c>
      <c r="B491" s="59" t="s">
        <v>1076</v>
      </c>
      <c r="C491" t="s">
        <v>37</v>
      </c>
      <c r="D491" t="s">
        <v>120</v>
      </c>
      <c r="E491" s="66">
        <v>42.5</v>
      </c>
      <c r="F491" s="66">
        <v>42.5</v>
      </c>
    </row>
    <row r="492" spans="1:6" ht="18.75" x14ac:dyDescent="0.3">
      <c r="A492" s="58" t="s">
        <v>1077</v>
      </c>
      <c r="B492" s="59" t="s">
        <v>1076</v>
      </c>
      <c r="C492" t="s">
        <v>37</v>
      </c>
      <c r="D492" t="s">
        <v>120</v>
      </c>
      <c r="E492" s="66">
        <v>42.5</v>
      </c>
      <c r="F492" s="66">
        <v>42.5</v>
      </c>
    </row>
    <row r="493" spans="1:6" ht="18.75" x14ac:dyDescent="0.3">
      <c r="A493" s="58" t="s">
        <v>1078</v>
      </c>
      <c r="B493" s="59" t="s">
        <v>1079</v>
      </c>
      <c r="C493" t="s">
        <v>37</v>
      </c>
      <c r="D493" t="s">
        <v>120</v>
      </c>
      <c r="E493" s="66">
        <v>40</v>
      </c>
      <c r="F493" s="66">
        <v>40</v>
      </c>
    </row>
    <row r="494" spans="1:6" ht="18.75" x14ac:dyDescent="0.3">
      <c r="A494" s="58" t="s">
        <v>1080</v>
      </c>
      <c r="B494" s="59" t="s">
        <v>1082</v>
      </c>
      <c r="C494" t="s">
        <v>37</v>
      </c>
      <c r="D494" t="s">
        <v>121</v>
      </c>
      <c r="E494" s="66">
        <v>15</v>
      </c>
      <c r="F494" s="66">
        <v>15</v>
      </c>
    </row>
    <row r="495" spans="1:6" ht="18.75" x14ac:dyDescent="0.3">
      <c r="A495" s="58" t="s">
        <v>1081</v>
      </c>
      <c r="B495" s="59" t="s">
        <v>1082</v>
      </c>
      <c r="C495" t="s">
        <v>37</v>
      </c>
      <c r="D495" t="s">
        <v>121</v>
      </c>
      <c r="E495" s="66">
        <v>15</v>
      </c>
      <c r="F495" s="66">
        <v>15</v>
      </c>
    </row>
    <row r="496" spans="1:6" ht="18.75" x14ac:dyDescent="0.3">
      <c r="A496" s="58" t="s">
        <v>1083</v>
      </c>
      <c r="B496" s="59" t="s">
        <v>1085</v>
      </c>
      <c r="C496" t="s">
        <v>37</v>
      </c>
      <c r="D496" t="s">
        <v>121</v>
      </c>
      <c r="E496" s="66">
        <v>15</v>
      </c>
      <c r="F496" s="66">
        <v>15</v>
      </c>
    </row>
    <row r="497" spans="1:6" ht="18.75" x14ac:dyDescent="0.3">
      <c r="A497" s="58" t="s">
        <v>1084</v>
      </c>
      <c r="B497" s="59" t="s">
        <v>1085</v>
      </c>
      <c r="C497" t="s">
        <v>37</v>
      </c>
      <c r="D497" t="s">
        <v>121</v>
      </c>
      <c r="E497" s="66">
        <v>15</v>
      </c>
      <c r="F497" s="66">
        <v>15</v>
      </c>
    </row>
    <row r="498" spans="1:6" ht="18.75" x14ac:dyDescent="0.3">
      <c r="A498" s="58" t="s">
        <v>1087</v>
      </c>
      <c r="B498" s="59" t="s">
        <v>1088</v>
      </c>
      <c r="C498" t="s">
        <v>37</v>
      </c>
      <c r="D498" t="s">
        <v>72</v>
      </c>
      <c r="E498" s="66">
        <v>45</v>
      </c>
      <c r="F498" s="66">
        <v>45</v>
      </c>
    </row>
    <row r="499" spans="1:6" ht="18.75" x14ac:dyDescent="0.3">
      <c r="A499" s="58" t="s">
        <v>1089</v>
      </c>
      <c r="B499" s="59" t="s">
        <v>1090</v>
      </c>
      <c r="C499" t="s">
        <v>37</v>
      </c>
      <c r="D499" t="s">
        <v>72</v>
      </c>
      <c r="E499" s="66">
        <v>15</v>
      </c>
      <c r="F499" s="66">
        <v>18</v>
      </c>
    </row>
    <row r="500" spans="1:6" ht="18.75" x14ac:dyDescent="0.3">
      <c r="A500" s="58" t="s">
        <v>1091</v>
      </c>
      <c r="B500" s="59" t="s">
        <v>1092</v>
      </c>
      <c r="C500" t="s">
        <v>37</v>
      </c>
      <c r="D500" t="s">
        <v>72</v>
      </c>
      <c r="E500" s="66">
        <v>5</v>
      </c>
      <c r="F500" s="66">
        <v>5</v>
      </c>
    </row>
    <row r="501" spans="1:6" ht="18.75" x14ac:dyDescent="0.3">
      <c r="A501" s="58" t="s">
        <v>1093</v>
      </c>
      <c r="B501" s="59" t="s">
        <v>1094</v>
      </c>
      <c r="C501" t="s">
        <v>37</v>
      </c>
      <c r="D501" t="s">
        <v>72</v>
      </c>
      <c r="E501" s="66">
        <v>15</v>
      </c>
      <c r="F501" s="66">
        <v>18</v>
      </c>
    </row>
    <row r="502" spans="1:6" ht="18.75" x14ac:dyDescent="0.3">
      <c r="A502" s="58" t="s">
        <v>1095</v>
      </c>
      <c r="B502" s="59" t="s">
        <v>1096</v>
      </c>
      <c r="C502" t="s">
        <v>37</v>
      </c>
      <c r="D502" t="s">
        <v>122</v>
      </c>
      <c r="E502" s="66">
        <v>4</v>
      </c>
      <c r="F502" s="66">
        <v>4</v>
      </c>
    </row>
    <row r="503" spans="1:6" ht="18.75" x14ac:dyDescent="0.3">
      <c r="A503" s="58" t="s">
        <v>1097</v>
      </c>
      <c r="B503" s="59" t="s">
        <v>1098</v>
      </c>
      <c r="C503" t="s">
        <v>37</v>
      </c>
      <c r="D503" t="s">
        <v>122</v>
      </c>
      <c r="E503" s="66">
        <v>10</v>
      </c>
      <c r="F503" s="66">
        <v>10</v>
      </c>
    </row>
    <row r="504" spans="1:6" ht="18.75" x14ac:dyDescent="0.3">
      <c r="A504" s="58" t="s">
        <v>1099</v>
      </c>
      <c r="B504" s="59" t="s">
        <v>1100</v>
      </c>
      <c r="C504" t="s">
        <v>37</v>
      </c>
      <c r="D504" t="s">
        <v>122</v>
      </c>
      <c r="E504" s="66">
        <v>21</v>
      </c>
      <c r="F504" s="66">
        <v>25</v>
      </c>
    </row>
    <row r="505" spans="1:6" ht="18.75" x14ac:dyDescent="0.3">
      <c r="A505" s="58" t="s">
        <v>1101</v>
      </c>
      <c r="B505" s="59" t="s">
        <v>1102</v>
      </c>
      <c r="C505" t="s">
        <v>37</v>
      </c>
      <c r="D505" t="s">
        <v>122</v>
      </c>
      <c r="E505" s="66">
        <v>10</v>
      </c>
      <c r="F505" s="66">
        <v>10</v>
      </c>
    </row>
    <row r="506" spans="1:6" ht="18.75" x14ac:dyDescent="0.3">
      <c r="A506" s="58" t="s">
        <v>1103</v>
      </c>
      <c r="B506" s="59" t="s">
        <v>1104</v>
      </c>
      <c r="C506" t="s">
        <v>37</v>
      </c>
      <c r="D506" t="s">
        <v>131</v>
      </c>
      <c r="E506" s="66">
        <v>10</v>
      </c>
      <c r="F506" s="66">
        <v>15</v>
      </c>
    </row>
    <row r="507" spans="1:6" ht="18.75" x14ac:dyDescent="0.3">
      <c r="A507" s="58" t="s">
        <v>1105</v>
      </c>
      <c r="B507" s="59" t="s">
        <v>1106</v>
      </c>
      <c r="C507" t="s">
        <v>37</v>
      </c>
      <c r="D507" t="s">
        <v>131</v>
      </c>
      <c r="E507" s="66">
        <v>10</v>
      </c>
      <c r="F507" s="66">
        <v>10</v>
      </c>
    </row>
    <row r="508" spans="1:6" ht="18.75" x14ac:dyDescent="0.3">
      <c r="A508" s="58" t="s">
        <v>1107</v>
      </c>
      <c r="B508" s="59" t="s">
        <v>1108</v>
      </c>
      <c r="C508" t="s">
        <v>37</v>
      </c>
      <c r="D508" t="s">
        <v>131</v>
      </c>
      <c r="E508" s="66">
        <v>21</v>
      </c>
      <c r="F508" s="66">
        <v>25</v>
      </c>
    </row>
    <row r="509" spans="1:6" ht="18.75" x14ac:dyDescent="0.3">
      <c r="A509" s="58" t="s">
        <v>1109</v>
      </c>
      <c r="B509" s="59" t="s">
        <v>1110</v>
      </c>
      <c r="C509" t="s">
        <v>37</v>
      </c>
      <c r="D509" t="s">
        <v>131</v>
      </c>
      <c r="E509" s="66">
        <v>18</v>
      </c>
      <c r="F509" s="66">
        <v>25</v>
      </c>
    </row>
    <row r="510" spans="1:6" ht="18.75" x14ac:dyDescent="0.3">
      <c r="A510" s="58" t="s">
        <v>1111</v>
      </c>
      <c r="B510" s="59" t="s">
        <v>239</v>
      </c>
      <c r="C510" t="s">
        <v>37</v>
      </c>
      <c r="D510" t="s">
        <v>79</v>
      </c>
      <c r="E510" s="66">
        <v>5</v>
      </c>
      <c r="F510" s="66">
        <v>5</v>
      </c>
    </row>
    <row r="511" spans="1:6" ht="18.75" x14ac:dyDescent="0.3">
      <c r="A511" s="58" t="s">
        <v>1112</v>
      </c>
      <c r="B511" s="59" t="s">
        <v>1113</v>
      </c>
      <c r="C511" t="s">
        <v>37</v>
      </c>
      <c r="D511" t="s">
        <v>79</v>
      </c>
      <c r="E511" s="66">
        <v>5</v>
      </c>
      <c r="F511" s="66">
        <v>5</v>
      </c>
    </row>
    <row r="512" spans="1:6" ht="18.75" x14ac:dyDescent="0.3">
      <c r="A512" s="58" t="s">
        <v>1114</v>
      </c>
      <c r="B512" s="59" t="s">
        <v>1115</v>
      </c>
      <c r="C512" t="s">
        <v>37</v>
      </c>
      <c r="D512" t="s">
        <v>79</v>
      </c>
      <c r="E512" s="66">
        <v>10</v>
      </c>
      <c r="F512" s="66">
        <v>12</v>
      </c>
    </row>
    <row r="513" spans="1:6" ht="18.75" x14ac:dyDescent="0.3">
      <c r="A513" s="58" t="s">
        <v>1116</v>
      </c>
      <c r="B513" s="59" t="s">
        <v>1115</v>
      </c>
      <c r="C513" t="s">
        <v>37</v>
      </c>
      <c r="D513" t="s">
        <v>79</v>
      </c>
      <c r="E513" s="66">
        <v>10</v>
      </c>
      <c r="F513" s="66">
        <v>12</v>
      </c>
    </row>
    <row r="514" spans="1:6" ht="18.75" x14ac:dyDescent="0.3">
      <c r="A514" s="58" t="s">
        <v>1117</v>
      </c>
      <c r="B514" s="59" t="s">
        <v>1119</v>
      </c>
      <c r="C514" t="s">
        <v>38</v>
      </c>
      <c r="D514" t="s">
        <v>44</v>
      </c>
      <c r="E514" s="66">
        <v>4</v>
      </c>
      <c r="F514" s="66">
        <v>4</v>
      </c>
    </row>
    <row r="515" spans="1:6" ht="18.75" x14ac:dyDescent="0.3">
      <c r="A515" s="58" t="s">
        <v>1118</v>
      </c>
      <c r="B515" s="59" t="s">
        <v>1119</v>
      </c>
      <c r="C515" t="s">
        <v>38</v>
      </c>
      <c r="D515" t="s">
        <v>44</v>
      </c>
      <c r="E515" s="66">
        <v>4</v>
      </c>
      <c r="F515" s="66">
        <v>4</v>
      </c>
    </row>
    <row r="516" spans="1:6" ht="18.75" x14ac:dyDescent="0.3">
      <c r="A516" s="58" t="s">
        <v>1122</v>
      </c>
      <c r="B516" s="59" t="s">
        <v>1123</v>
      </c>
      <c r="C516" t="s">
        <v>38</v>
      </c>
      <c r="D516" t="s">
        <v>44</v>
      </c>
      <c r="E516" s="66">
        <v>10</v>
      </c>
      <c r="F516" s="66">
        <v>10</v>
      </c>
    </row>
    <row r="517" spans="1:6" ht="18.75" x14ac:dyDescent="0.3">
      <c r="A517" s="58" t="s">
        <v>1121</v>
      </c>
      <c r="B517" s="59" t="s">
        <v>1124</v>
      </c>
      <c r="C517" t="s">
        <v>38</v>
      </c>
      <c r="D517" t="s">
        <v>44</v>
      </c>
      <c r="E517" s="66">
        <v>7</v>
      </c>
      <c r="F517" s="66">
        <v>8</v>
      </c>
    </row>
    <row r="518" spans="1:6" ht="18.75" x14ac:dyDescent="0.3">
      <c r="A518" s="58" t="s">
        <v>1120</v>
      </c>
      <c r="B518" s="59" t="s">
        <v>1124</v>
      </c>
      <c r="C518" t="s">
        <v>38</v>
      </c>
      <c r="D518" t="s">
        <v>44</v>
      </c>
      <c r="E518" s="66">
        <v>7</v>
      </c>
      <c r="F518" s="66">
        <v>8</v>
      </c>
    </row>
    <row r="519" spans="1:6" ht="18.75" x14ac:dyDescent="0.3">
      <c r="A519" s="58" t="s">
        <v>1125</v>
      </c>
      <c r="B519" s="59" t="s">
        <v>1126</v>
      </c>
      <c r="C519" t="s">
        <v>38</v>
      </c>
      <c r="D519" t="s">
        <v>46</v>
      </c>
      <c r="E519" s="66">
        <v>10</v>
      </c>
      <c r="F519" s="66">
        <v>10</v>
      </c>
    </row>
    <row r="520" spans="1:6" ht="18.75" x14ac:dyDescent="0.3">
      <c r="A520" s="58" t="s">
        <v>1127</v>
      </c>
      <c r="B520" s="59" t="s">
        <v>1128</v>
      </c>
      <c r="C520" t="s">
        <v>38</v>
      </c>
      <c r="D520" t="s">
        <v>46</v>
      </c>
      <c r="E520" s="66">
        <v>16</v>
      </c>
      <c r="F520" s="66">
        <v>16</v>
      </c>
    </row>
    <row r="521" spans="1:6" ht="18.75" x14ac:dyDescent="0.3">
      <c r="A521" s="58" t="s">
        <v>640</v>
      </c>
      <c r="B521" s="59" t="s">
        <v>1129</v>
      </c>
      <c r="C521" t="s">
        <v>38</v>
      </c>
      <c r="D521" t="s">
        <v>46</v>
      </c>
      <c r="E521" s="66">
        <v>8</v>
      </c>
      <c r="F521" s="66">
        <v>8</v>
      </c>
    </row>
    <row r="522" spans="1:6" ht="18.75" x14ac:dyDescent="0.3">
      <c r="A522" s="58" t="s">
        <v>638</v>
      </c>
      <c r="B522" s="59" t="s">
        <v>1130</v>
      </c>
      <c r="C522" t="s">
        <v>38</v>
      </c>
      <c r="D522" t="s">
        <v>46</v>
      </c>
      <c r="E522" s="66">
        <v>10</v>
      </c>
      <c r="F522" s="66">
        <v>10</v>
      </c>
    </row>
    <row r="523" spans="1:6" ht="18.75" x14ac:dyDescent="0.3">
      <c r="A523" s="58" t="s">
        <v>630</v>
      </c>
      <c r="B523" s="59" t="s">
        <v>1131</v>
      </c>
      <c r="C523" t="s">
        <v>38</v>
      </c>
      <c r="D523" t="s">
        <v>46</v>
      </c>
      <c r="E523" s="66">
        <v>7</v>
      </c>
      <c r="F523" s="66">
        <v>7</v>
      </c>
    </row>
    <row r="524" spans="1:6" ht="18.75" x14ac:dyDescent="0.3">
      <c r="A524" s="58" t="s">
        <v>1132</v>
      </c>
      <c r="B524" s="59" t="s">
        <v>1133</v>
      </c>
      <c r="C524" t="s">
        <v>38</v>
      </c>
      <c r="D524" t="s">
        <v>48</v>
      </c>
      <c r="E524" s="66">
        <v>16.8</v>
      </c>
      <c r="F524" s="66">
        <v>20</v>
      </c>
    </row>
    <row r="525" spans="1:6" ht="18.75" x14ac:dyDescent="0.3">
      <c r="A525" s="58" t="s">
        <v>1134</v>
      </c>
      <c r="B525" s="59" t="s">
        <v>1135</v>
      </c>
      <c r="C525" t="s">
        <v>38</v>
      </c>
      <c r="D525" t="s">
        <v>48</v>
      </c>
      <c r="E525" s="66">
        <v>16.8</v>
      </c>
      <c r="F525" s="66">
        <v>20</v>
      </c>
    </row>
    <row r="526" spans="1:6" ht="18.75" x14ac:dyDescent="0.3">
      <c r="A526" s="58" t="s">
        <v>1136</v>
      </c>
      <c r="B526" s="59" t="s">
        <v>1137</v>
      </c>
      <c r="C526" t="s">
        <v>38</v>
      </c>
      <c r="D526" t="s">
        <v>48</v>
      </c>
      <c r="E526" s="66">
        <v>5</v>
      </c>
      <c r="F526" s="66">
        <v>5</v>
      </c>
    </row>
    <row r="527" spans="1:6" ht="18.75" x14ac:dyDescent="0.3">
      <c r="A527" s="58" t="s">
        <v>1138</v>
      </c>
      <c r="B527" s="59" t="s">
        <v>1139</v>
      </c>
      <c r="C527" t="s">
        <v>38</v>
      </c>
      <c r="D527" t="s">
        <v>48</v>
      </c>
      <c r="E527" s="66">
        <v>5</v>
      </c>
      <c r="F527" s="66">
        <v>5</v>
      </c>
    </row>
    <row r="528" spans="1:6" ht="18.75" x14ac:dyDescent="0.3">
      <c r="A528" s="58" t="s">
        <v>286</v>
      </c>
      <c r="B528" s="59" t="s">
        <v>1140</v>
      </c>
      <c r="C528" t="s">
        <v>38</v>
      </c>
      <c r="D528" t="s">
        <v>47</v>
      </c>
      <c r="E528" s="66">
        <v>5</v>
      </c>
      <c r="F528" s="66">
        <v>5</v>
      </c>
    </row>
    <row r="529" spans="1:6" ht="18.75" x14ac:dyDescent="0.3">
      <c r="A529" s="58" t="s">
        <v>1141</v>
      </c>
      <c r="B529" s="59" t="s">
        <v>1142</v>
      </c>
      <c r="C529" t="s">
        <v>38</v>
      </c>
      <c r="D529" t="s">
        <v>47</v>
      </c>
      <c r="E529" s="66">
        <v>5</v>
      </c>
      <c r="F529" s="66">
        <v>5</v>
      </c>
    </row>
    <row r="530" spans="1:6" ht="18.75" x14ac:dyDescent="0.3">
      <c r="A530" s="58" t="s">
        <v>1143</v>
      </c>
      <c r="B530" s="59" t="s">
        <v>1144</v>
      </c>
      <c r="C530" t="s">
        <v>38</v>
      </c>
      <c r="D530" t="s">
        <v>47</v>
      </c>
      <c r="E530" s="66">
        <v>5</v>
      </c>
      <c r="F530" s="66">
        <v>5</v>
      </c>
    </row>
    <row r="531" spans="1:6" ht="18.75" x14ac:dyDescent="0.3">
      <c r="A531" s="58" t="s">
        <v>1145</v>
      </c>
      <c r="B531" s="59" t="s">
        <v>1146</v>
      </c>
      <c r="C531" t="s">
        <v>38</v>
      </c>
      <c r="D531" t="s">
        <v>47</v>
      </c>
      <c r="E531" s="66">
        <v>8.5</v>
      </c>
      <c r="F531" s="66">
        <v>10</v>
      </c>
    </row>
    <row r="532" spans="1:6" ht="18.75" x14ac:dyDescent="0.3">
      <c r="A532" s="58" t="s">
        <v>1147</v>
      </c>
      <c r="B532" s="59" t="s">
        <v>254</v>
      </c>
      <c r="C532" t="s">
        <v>38</v>
      </c>
      <c r="D532" t="s">
        <v>49</v>
      </c>
      <c r="E532" s="66">
        <v>15</v>
      </c>
      <c r="F532" s="66">
        <v>20</v>
      </c>
    </row>
    <row r="533" spans="1:6" ht="18.75" x14ac:dyDescent="0.3">
      <c r="A533" s="58" t="s">
        <v>1150</v>
      </c>
      <c r="B533" s="59" t="s">
        <v>1151</v>
      </c>
      <c r="C533" t="s">
        <v>38</v>
      </c>
      <c r="D533" t="s">
        <v>49</v>
      </c>
      <c r="E533" s="66">
        <v>10</v>
      </c>
      <c r="F533" s="66">
        <v>10</v>
      </c>
    </row>
    <row r="534" spans="1:6" ht="18.75" x14ac:dyDescent="0.3">
      <c r="A534" s="58" t="s">
        <v>1149</v>
      </c>
      <c r="B534" s="59" t="s">
        <v>1152</v>
      </c>
      <c r="C534" t="s">
        <v>38</v>
      </c>
      <c r="D534" t="s">
        <v>49</v>
      </c>
      <c r="E534" s="66">
        <v>10</v>
      </c>
      <c r="F534" s="66">
        <v>10</v>
      </c>
    </row>
    <row r="535" spans="1:6" ht="18.75" x14ac:dyDescent="0.3">
      <c r="A535" s="58" t="s">
        <v>1148</v>
      </c>
      <c r="B535" s="59" t="s">
        <v>1153</v>
      </c>
      <c r="C535" t="s">
        <v>38</v>
      </c>
      <c r="D535" t="s">
        <v>49</v>
      </c>
      <c r="E535" s="66">
        <v>7.3330000000000002</v>
      </c>
      <c r="F535" s="66">
        <v>10</v>
      </c>
    </row>
    <row r="536" spans="1:6" ht="18.75" x14ac:dyDescent="0.3">
      <c r="A536" s="58" t="s">
        <v>1154</v>
      </c>
      <c r="B536" s="59" t="s">
        <v>1155</v>
      </c>
      <c r="C536" t="s">
        <v>38</v>
      </c>
      <c r="D536" t="s">
        <v>50</v>
      </c>
      <c r="E536" s="66">
        <v>10</v>
      </c>
      <c r="F536" s="66">
        <v>10</v>
      </c>
    </row>
    <row r="537" spans="1:6" ht="18.75" x14ac:dyDescent="0.3">
      <c r="A537" s="58" t="s">
        <v>1156</v>
      </c>
      <c r="B537" s="59" t="s">
        <v>1157</v>
      </c>
      <c r="C537" t="s">
        <v>38</v>
      </c>
      <c r="D537" t="s">
        <v>50</v>
      </c>
      <c r="E537" s="66">
        <v>7</v>
      </c>
      <c r="F537" s="66">
        <v>10</v>
      </c>
    </row>
    <row r="538" spans="1:6" ht="18.75" x14ac:dyDescent="0.3">
      <c r="A538" s="58" t="s">
        <v>1158</v>
      </c>
      <c r="B538" s="59" t="s">
        <v>1159</v>
      </c>
      <c r="C538" t="s">
        <v>38</v>
      </c>
      <c r="D538" t="s">
        <v>50</v>
      </c>
      <c r="E538" s="66">
        <v>10</v>
      </c>
      <c r="F538" s="66">
        <v>10</v>
      </c>
    </row>
    <row r="539" spans="1:6" ht="18.75" x14ac:dyDescent="0.3">
      <c r="A539" s="58" t="s">
        <v>1160</v>
      </c>
      <c r="B539" s="59" t="s">
        <v>1162</v>
      </c>
      <c r="C539" t="s">
        <v>38</v>
      </c>
      <c r="D539" t="s">
        <v>50</v>
      </c>
      <c r="E539" s="66">
        <v>10</v>
      </c>
      <c r="F539" s="66">
        <v>10</v>
      </c>
    </row>
    <row r="540" spans="1:6" ht="18.75" x14ac:dyDescent="0.3">
      <c r="A540" s="58" t="s">
        <v>1161</v>
      </c>
      <c r="B540" s="59" t="s">
        <v>1162</v>
      </c>
      <c r="C540" t="s">
        <v>38</v>
      </c>
      <c r="D540" t="s">
        <v>123</v>
      </c>
      <c r="E540" s="66">
        <v>10</v>
      </c>
      <c r="F540" s="66">
        <v>10</v>
      </c>
    </row>
    <row r="541" spans="1:6" ht="18.75" x14ac:dyDescent="0.3">
      <c r="A541" s="58" t="s">
        <v>1163</v>
      </c>
      <c r="B541" s="59" t="s">
        <v>1164</v>
      </c>
      <c r="C541" t="s">
        <v>38</v>
      </c>
      <c r="D541" t="s">
        <v>123</v>
      </c>
      <c r="E541" s="66">
        <v>10</v>
      </c>
      <c r="F541" s="66">
        <v>10</v>
      </c>
    </row>
    <row r="542" spans="1:6" ht="18.75" x14ac:dyDescent="0.3">
      <c r="A542" s="58" t="s">
        <v>1165</v>
      </c>
      <c r="B542" s="59" t="s">
        <v>1166</v>
      </c>
      <c r="C542" t="s">
        <v>38</v>
      </c>
      <c r="D542" t="s">
        <v>123</v>
      </c>
      <c r="E542" s="66">
        <v>10</v>
      </c>
      <c r="F542" s="66">
        <v>10</v>
      </c>
    </row>
    <row r="543" spans="1:6" ht="18.75" x14ac:dyDescent="0.3">
      <c r="A543" s="58" t="s">
        <v>1167</v>
      </c>
      <c r="B543" s="59" t="s">
        <v>1168</v>
      </c>
      <c r="C543" t="s">
        <v>38</v>
      </c>
      <c r="D543" t="s">
        <v>123</v>
      </c>
      <c r="E543" s="66">
        <v>20</v>
      </c>
      <c r="F543" s="66">
        <v>20</v>
      </c>
    </row>
    <row r="544" spans="1:6" ht="18.75" x14ac:dyDescent="0.3">
      <c r="A544" s="58" t="s">
        <v>1169</v>
      </c>
      <c r="B544" s="59" t="s">
        <v>1170</v>
      </c>
      <c r="C544" t="s">
        <v>38</v>
      </c>
      <c r="D544" t="s">
        <v>114</v>
      </c>
      <c r="E544" s="66">
        <v>20</v>
      </c>
      <c r="F544" s="66">
        <v>20</v>
      </c>
    </row>
    <row r="545" spans="1:6" ht="18.75" x14ac:dyDescent="0.3">
      <c r="A545" s="58" t="s">
        <v>1171</v>
      </c>
      <c r="B545" s="59" t="s">
        <v>1172</v>
      </c>
      <c r="C545" t="s">
        <v>38</v>
      </c>
      <c r="D545" t="s">
        <v>114</v>
      </c>
      <c r="E545" s="66">
        <v>35</v>
      </c>
      <c r="F545" s="66">
        <v>35</v>
      </c>
    </row>
    <row r="546" spans="1:6" ht="18.75" x14ac:dyDescent="0.3">
      <c r="A546" s="58" t="s">
        <v>1178</v>
      </c>
      <c r="B546" s="59" t="s">
        <v>1179</v>
      </c>
      <c r="C546" t="s">
        <v>38</v>
      </c>
      <c r="D546" t="s">
        <v>114</v>
      </c>
      <c r="E546" s="66">
        <v>23</v>
      </c>
      <c r="F546" s="66">
        <v>25</v>
      </c>
    </row>
    <row r="547" spans="1:6" ht="18.75" x14ac:dyDescent="0.3">
      <c r="A547" s="58" t="s">
        <v>1182</v>
      </c>
      <c r="B547" s="59" t="s">
        <v>1183</v>
      </c>
      <c r="C547" t="s">
        <v>38</v>
      </c>
      <c r="D547" t="s">
        <v>114</v>
      </c>
      <c r="E547" s="66">
        <v>5</v>
      </c>
      <c r="F547" s="66">
        <v>5</v>
      </c>
    </row>
    <row r="548" spans="1:6" ht="18.75" x14ac:dyDescent="0.3">
      <c r="A548" s="58" t="s">
        <v>1181</v>
      </c>
      <c r="B548" s="59" t="s">
        <v>1183</v>
      </c>
      <c r="C548" t="s">
        <v>38</v>
      </c>
      <c r="D548" t="s">
        <v>75</v>
      </c>
      <c r="E548" s="66">
        <v>5</v>
      </c>
      <c r="F548" s="66">
        <v>5</v>
      </c>
    </row>
    <row r="549" spans="1:6" ht="18.75" x14ac:dyDescent="0.3">
      <c r="A549" s="58" t="s">
        <v>1180</v>
      </c>
      <c r="B549" s="59" t="s">
        <v>1184</v>
      </c>
      <c r="C549" t="s">
        <v>38</v>
      </c>
      <c r="D549" t="s">
        <v>75</v>
      </c>
      <c r="E549" s="66">
        <v>15</v>
      </c>
      <c r="F549" s="66">
        <v>15</v>
      </c>
    </row>
    <row r="550" spans="1:6" ht="18.75" x14ac:dyDescent="0.3">
      <c r="A550" s="58" t="s">
        <v>1185</v>
      </c>
      <c r="B550" s="59" t="s">
        <v>1186</v>
      </c>
      <c r="C550" t="s">
        <v>38</v>
      </c>
      <c r="D550" t="s">
        <v>75</v>
      </c>
      <c r="E550" s="66">
        <v>15</v>
      </c>
      <c r="F550" s="66">
        <v>15</v>
      </c>
    </row>
    <row r="551" spans="1:6" ht="18.75" x14ac:dyDescent="0.3">
      <c r="A551" s="58" t="s">
        <v>392</v>
      </c>
      <c r="B551" s="59" t="s">
        <v>1187</v>
      </c>
      <c r="C551" t="s">
        <v>38</v>
      </c>
      <c r="D551" t="s">
        <v>75</v>
      </c>
      <c r="E551" s="66">
        <v>40</v>
      </c>
      <c r="F551" s="66">
        <v>45</v>
      </c>
    </row>
    <row r="552" spans="1:6" ht="18.75" x14ac:dyDescent="0.3">
      <c r="A552" s="58" t="s">
        <v>1188</v>
      </c>
      <c r="B552" s="59" t="s">
        <v>1189</v>
      </c>
      <c r="C552" t="s">
        <v>38</v>
      </c>
      <c r="D552" t="s">
        <v>75</v>
      </c>
      <c r="E552" s="66">
        <v>20</v>
      </c>
      <c r="F552" s="66">
        <v>20</v>
      </c>
    </row>
    <row r="553" spans="1:6" ht="18.75" x14ac:dyDescent="0.3">
      <c r="A553" s="58" t="s">
        <v>1190</v>
      </c>
      <c r="B553" s="59" t="s">
        <v>1191</v>
      </c>
      <c r="C553" t="s">
        <v>38</v>
      </c>
      <c r="D553" t="s">
        <v>76</v>
      </c>
      <c r="E553" s="66">
        <v>50</v>
      </c>
      <c r="F553" s="66">
        <v>50</v>
      </c>
    </row>
    <row r="554" spans="1:6" ht="18.75" x14ac:dyDescent="0.3">
      <c r="A554" s="58" t="s">
        <v>1197</v>
      </c>
      <c r="B554" s="59" t="s">
        <v>1198</v>
      </c>
      <c r="C554" t="s">
        <v>38</v>
      </c>
      <c r="D554" t="s">
        <v>76</v>
      </c>
      <c r="E554" s="66">
        <v>6</v>
      </c>
      <c r="F554" s="66">
        <v>6</v>
      </c>
    </row>
    <row r="555" spans="1:6" ht="18.75" x14ac:dyDescent="0.3">
      <c r="A555" s="58" t="s">
        <v>1196</v>
      </c>
      <c r="B555" s="59" t="s">
        <v>1198</v>
      </c>
      <c r="C555" t="s">
        <v>38</v>
      </c>
      <c r="D555" t="s">
        <v>76</v>
      </c>
      <c r="E555" s="66">
        <v>6</v>
      </c>
      <c r="F555" s="66">
        <v>6</v>
      </c>
    </row>
    <row r="556" spans="1:6" ht="18.75" x14ac:dyDescent="0.3">
      <c r="A556" s="58" t="s">
        <v>1194</v>
      </c>
      <c r="B556" s="59" t="s">
        <v>1199</v>
      </c>
      <c r="C556" t="s">
        <v>38</v>
      </c>
      <c r="D556" t="s">
        <v>76</v>
      </c>
      <c r="E556" s="66">
        <v>6</v>
      </c>
      <c r="F556" s="66">
        <v>8</v>
      </c>
    </row>
    <row r="557" spans="1:6" ht="18.75" x14ac:dyDescent="0.3">
      <c r="A557" s="58" t="s">
        <v>1195</v>
      </c>
      <c r="B557" s="59" t="s">
        <v>1200</v>
      </c>
      <c r="C557" t="s">
        <v>38</v>
      </c>
      <c r="D557" t="s">
        <v>76</v>
      </c>
      <c r="E557" s="66">
        <v>10</v>
      </c>
      <c r="F557" s="66">
        <v>10</v>
      </c>
    </row>
    <row r="558" spans="1:6" ht="18.75" x14ac:dyDescent="0.3">
      <c r="A558" s="58" t="s">
        <v>1201</v>
      </c>
      <c r="B558" s="59" t="s">
        <v>1203</v>
      </c>
      <c r="C558" t="s">
        <v>38</v>
      </c>
      <c r="D558" t="s">
        <v>79</v>
      </c>
      <c r="E558" s="66">
        <v>12</v>
      </c>
      <c r="F558" s="66">
        <v>12</v>
      </c>
    </row>
    <row r="559" spans="1:6" ht="18.75" x14ac:dyDescent="0.3">
      <c r="A559" s="58" t="s">
        <v>1202</v>
      </c>
      <c r="B559" s="59" t="s">
        <v>1203</v>
      </c>
      <c r="C559" t="s">
        <v>38</v>
      </c>
      <c r="D559" t="s">
        <v>79</v>
      </c>
      <c r="E559" s="66">
        <v>12</v>
      </c>
      <c r="F559" s="66">
        <v>12</v>
      </c>
    </row>
    <row r="560" spans="1:6" ht="18.75" x14ac:dyDescent="0.3">
      <c r="A560" s="58" t="s">
        <v>1204</v>
      </c>
      <c r="B560" s="59" t="s">
        <v>1205</v>
      </c>
      <c r="C560" t="s">
        <v>38</v>
      </c>
      <c r="D560" t="s">
        <v>79</v>
      </c>
      <c r="E560" s="66">
        <v>5</v>
      </c>
      <c r="F560" s="66">
        <v>5</v>
      </c>
    </row>
    <row r="561" spans="1:6" ht="18.75" x14ac:dyDescent="0.3">
      <c r="A561" s="58" t="s">
        <v>1193</v>
      </c>
      <c r="B561" s="59" t="s">
        <v>1192</v>
      </c>
      <c r="C561" t="s">
        <v>38</v>
      </c>
      <c r="D561" t="s">
        <v>79</v>
      </c>
      <c r="E561" s="66">
        <v>35</v>
      </c>
      <c r="F561" s="66">
        <v>35</v>
      </c>
    </row>
    <row r="562" spans="1:6" ht="18.75" x14ac:dyDescent="0.3">
      <c r="A562" s="58" t="s">
        <v>1213</v>
      </c>
      <c r="B562" s="59" t="s">
        <v>1206</v>
      </c>
      <c r="C562" t="s">
        <v>39</v>
      </c>
      <c r="D562" t="s">
        <v>124</v>
      </c>
      <c r="E562" s="66">
        <v>2</v>
      </c>
      <c r="F562" s="66">
        <v>2</v>
      </c>
    </row>
    <row r="563" spans="1:6" ht="18.75" x14ac:dyDescent="0.3">
      <c r="A563" s="58" t="s">
        <v>1214</v>
      </c>
      <c r="B563" s="59" t="s">
        <v>1381</v>
      </c>
      <c r="C563" t="s">
        <v>39</v>
      </c>
      <c r="D563" t="s">
        <v>124</v>
      </c>
      <c r="E563" s="66">
        <v>4</v>
      </c>
      <c r="F563" s="66">
        <v>4</v>
      </c>
    </row>
    <row r="564" spans="1:6" ht="18.75" x14ac:dyDescent="0.3">
      <c r="A564" s="58" t="s">
        <v>1215</v>
      </c>
      <c r="B564" s="59" t="s">
        <v>1207</v>
      </c>
      <c r="C564" t="s">
        <v>39</v>
      </c>
      <c r="D564" t="s">
        <v>124</v>
      </c>
      <c r="E564" s="66">
        <v>2</v>
      </c>
      <c r="F564" s="66">
        <v>2</v>
      </c>
    </row>
    <row r="565" spans="1:6" ht="18.75" x14ac:dyDescent="0.3">
      <c r="A565" s="58" t="s">
        <v>1216</v>
      </c>
      <c r="B565" s="59" t="s">
        <v>1221</v>
      </c>
      <c r="C565" t="s">
        <v>39</v>
      </c>
      <c r="D565" t="s">
        <v>124</v>
      </c>
      <c r="E565" s="66">
        <v>2</v>
      </c>
      <c r="F565" s="66">
        <v>2</v>
      </c>
    </row>
    <row r="566" spans="1:6" ht="18.75" x14ac:dyDescent="0.3">
      <c r="A566" s="58" t="s">
        <v>1217</v>
      </c>
      <c r="B566" s="59" t="s">
        <v>866</v>
      </c>
      <c r="C566" t="s">
        <v>39</v>
      </c>
      <c r="D566" t="s">
        <v>125</v>
      </c>
      <c r="E566" s="66">
        <v>1</v>
      </c>
      <c r="F566" s="66">
        <v>1</v>
      </c>
    </row>
    <row r="567" spans="1:6" ht="18.75" x14ac:dyDescent="0.3">
      <c r="A567" s="58" t="s">
        <v>1218</v>
      </c>
      <c r="B567" s="59" t="s">
        <v>1208</v>
      </c>
      <c r="C567" t="s">
        <v>39</v>
      </c>
      <c r="D567" t="s">
        <v>125</v>
      </c>
      <c r="E567" s="66">
        <v>2</v>
      </c>
      <c r="F567" s="66">
        <v>2</v>
      </c>
    </row>
    <row r="568" spans="1:6" ht="18.75" x14ac:dyDescent="0.3">
      <c r="A568" s="58" t="s">
        <v>1209</v>
      </c>
      <c r="B568" s="59" t="s">
        <v>1211</v>
      </c>
      <c r="C568" t="s">
        <v>39</v>
      </c>
      <c r="D568" t="s">
        <v>125</v>
      </c>
      <c r="E568" s="66">
        <v>3</v>
      </c>
      <c r="F568" s="66">
        <v>3</v>
      </c>
    </row>
    <row r="569" spans="1:6" ht="18.75" x14ac:dyDescent="0.3">
      <c r="A569" s="58" t="s">
        <v>1210</v>
      </c>
      <c r="B569" s="59" t="s">
        <v>1212</v>
      </c>
      <c r="C569" t="s">
        <v>39</v>
      </c>
      <c r="D569" t="s">
        <v>125</v>
      </c>
      <c r="E569" s="66">
        <v>0.4</v>
      </c>
      <c r="F569" s="66">
        <v>0.4</v>
      </c>
    </row>
    <row r="570" spans="1:6" ht="18.75" x14ac:dyDescent="0.3">
      <c r="A570" s="58" t="s">
        <v>1219</v>
      </c>
      <c r="B570" s="59" t="s">
        <v>1223</v>
      </c>
      <c r="C570" t="s">
        <v>39</v>
      </c>
      <c r="D570" t="s">
        <v>126</v>
      </c>
      <c r="E570" s="66">
        <v>750</v>
      </c>
      <c r="F570" s="66">
        <v>750</v>
      </c>
    </row>
    <row r="571" spans="1:6" ht="18.75" x14ac:dyDescent="0.3">
      <c r="A571" s="58" t="s">
        <v>1228</v>
      </c>
      <c r="B571" s="59" t="s">
        <v>1229</v>
      </c>
      <c r="C571" t="s">
        <v>39</v>
      </c>
      <c r="D571" t="s">
        <v>126</v>
      </c>
      <c r="E571" s="66">
        <v>10</v>
      </c>
      <c r="F571" s="66">
        <v>10</v>
      </c>
    </row>
    <row r="572" spans="1:6" ht="18.75" x14ac:dyDescent="0.3">
      <c r="A572" s="58" t="s">
        <v>1227</v>
      </c>
      <c r="B572" s="59" t="s">
        <v>1229</v>
      </c>
      <c r="C572" t="s">
        <v>39</v>
      </c>
      <c r="D572" t="s">
        <v>126</v>
      </c>
      <c r="E572" s="66">
        <v>10</v>
      </c>
      <c r="F572" s="66">
        <v>10</v>
      </c>
    </row>
    <row r="573" spans="1:6" ht="18.75" x14ac:dyDescent="0.3">
      <c r="A573" s="58" t="s">
        <v>1231</v>
      </c>
      <c r="B573" s="59" t="s">
        <v>1230</v>
      </c>
      <c r="C573" t="s">
        <v>39</v>
      </c>
      <c r="D573" t="s">
        <v>126</v>
      </c>
      <c r="E573" s="66">
        <v>3</v>
      </c>
      <c r="F573" s="66">
        <v>3</v>
      </c>
    </row>
    <row r="574" spans="1:6" ht="18.75" x14ac:dyDescent="0.3">
      <c r="A574" s="58" t="s">
        <v>1232</v>
      </c>
      <c r="B574" s="59" t="s">
        <v>1233</v>
      </c>
      <c r="C574" t="s">
        <v>39</v>
      </c>
      <c r="D574" t="s">
        <v>133</v>
      </c>
      <c r="E574" s="66">
        <v>10</v>
      </c>
      <c r="F574" s="66">
        <v>10</v>
      </c>
    </row>
    <row r="575" spans="1:6" ht="18.75" x14ac:dyDescent="0.3">
      <c r="A575" s="58" t="s">
        <v>1234</v>
      </c>
      <c r="B575" s="59" t="s">
        <v>1235</v>
      </c>
      <c r="C575" t="s">
        <v>39</v>
      </c>
      <c r="D575" t="s">
        <v>133</v>
      </c>
      <c r="E575" s="66">
        <v>7</v>
      </c>
      <c r="F575" s="66">
        <v>7</v>
      </c>
    </row>
    <row r="576" spans="1:6" ht="18.75" x14ac:dyDescent="0.3">
      <c r="A576" s="58" t="s">
        <v>1237</v>
      </c>
      <c r="B576" s="59" t="s">
        <v>1239</v>
      </c>
      <c r="C576" t="s">
        <v>39</v>
      </c>
      <c r="D576" t="s">
        <v>133</v>
      </c>
      <c r="E576" s="66">
        <v>10</v>
      </c>
      <c r="F576" s="66">
        <v>10</v>
      </c>
    </row>
    <row r="577" spans="1:6" ht="18.75" x14ac:dyDescent="0.3">
      <c r="A577" s="58" t="s">
        <v>1238</v>
      </c>
      <c r="B577" s="59" t="s">
        <v>1240</v>
      </c>
      <c r="C577" t="s">
        <v>39</v>
      </c>
      <c r="D577" t="s">
        <v>133</v>
      </c>
      <c r="E577" s="66">
        <v>10</v>
      </c>
      <c r="F577" s="66">
        <v>10</v>
      </c>
    </row>
    <row r="578" spans="1:6" ht="18.75" x14ac:dyDescent="0.3">
      <c r="A578" s="58" t="s">
        <v>1236</v>
      </c>
      <c r="B578" s="59" t="s">
        <v>1241</v>
      </c>
      <c r="C578" t="s">
        <v>39</v>
      </c>
      <c r="D578" t="s">
        <v>133</v>
      </c>
      <c r="E578" s="66">
        <v>10</v>
      </c>
      <c r="F578" s="66">
        <v>10</v>
      </c>
    </row>
    <row r="579" spans="1:6" ht="18.75" x14ac:dyDescent="0.3">
      <c r="A579" s="58" t="s">
        <v>1242</v>
      </c>
      <c r="B579" s="59" t="s">
        <v>1243</v>
      </c>
      <c r="C579" t="s">
        <v>39</v>
      </c>
      <c r="D579" t="s">
        <v>141</v>
      </c>
      <c r="E579" s="66">
        <v>10</v>
      </c>
      <c r="F579" s="66">
        <v>10</v>
      </c>
    </row>
    <row r="580" spans="1:6" ht="18.75" x14ac:dyDescent="0.3">
      <c r="A580" s="58" t="s">
        <v>1244</v>
      </c>
      <c r="B580" s="59" t="s">
        <v>1245</v>
      </c>
      <c r="C580" t="s">
        <v>39</v>
      </c>
      <c r="D580" t="s">
        <v>141</v>
      </c>
      <c r="E580" s="66">
        <v>5</v>
      </c>
      <c r="F580" s="66">
        <v>5</v>
      </c>
    </row>
    <row r="581" spans="1:6" ht="18.75" x14ac:dyDescent="0.3">
      <c r="A581" s="58" t="s">
        <v>1246</v>
      </c>
      <c r="B581" s="59" t="s">
        <v>1248</v>
      </c>
      <c r="C581" t="s">
        <v>39</v>
      </c>
      <c r="D581" t="s">
        <v>141</v>
      </c>
      <c r="E581" s="66">
        <v>2</v>
      </c>
      <c r="F581" s="66">
        <v>2</v>
      </c>
    </row>
    <row r="582" spans="1:6" ht="18.75" x14ac:dyDescent="0.3">
      <c r="A582" s="58" t="s">
        <v>1247</v>
      </c>
      <c r="B582" s="59" t="s">
        <v>1248</v>
      </c>
      <c r="C582" t="s">
        <v>39</v>
      </c>
      <c r="D582" t="s">
        <v>141</v>
      </c>
      <c r="E582" s="66">
        <v>2</v>
      </c>
      <c r="F582" s="66">
        <v>2</v>
      </c>
    </row>
    <row r="583" spans="1:6" ht="18.75" x14ac:dyDescent="0.3">
      <c r="A583" s="58" t="s">
        <v>1249</v>
      </c>
      <c r="B583" s="59" t="s">
        <v>1250</v>
      </c>
      <c r="C583" t="s">
        <v>39</v>
      </c>
      <c r="D583" t="s">
        <v>132</v>
      </c>
      <c r="E583" s="66">
        <v>2</v>
      </c>
      <c r="F583" s="66">
        <v>2</v>
      </c>
    </row>
    <row r="584" spans="1:6" ht="18.75" x14ac:dyDescent="0.3">
      <c r="A584" s="58" t="s">
        <v>1251</v>
      </c>
      <c r="B584" s="59" t="s">
        <v>1252</v>
      </c>
      <c r="C584" t="s">
        <v>39</v>
      </c>
      <c r="D584" t="s">
        <v>132</v>
      </c>
      <c r="E584" s="66">
        <v>12</v>
      </c>
      <c r="F584" s="66">
        <v>12</v>
      </c>
    </row>
    <row r="585" spans="1:6" ht="18.75" x14ac:dyDescent="0.3">
      <c r="A585" s="58" t="s">
        <v>1253</v>
      </c>
      <c r="B585" s="59" t="s">
        <v>1256</v>
      </c>
      <c r="C585" t="s">
        <v>39</v>
      </c>
      <c r="D585" t="s">
        <v>132</v>
      </c>
      <c r="E585" s="66">
        <v>8</v>
      </c>
      <c r="F585" s="66">
        <v>8</v>
      </c>
    </row>
    <row r="586" spans="1:6" ht="18.75" x14ac:dyDescent="0.3">
      <c r="A586" s="58" t="s">
        <v>1255</v>
      </c>
      <c r="B586" s="59" t="s">
        <v>1257</v>
      </c>
      <c r="C586" t="s">
        <v>39</v>
      </c>
      <c r="D586" t="s">
        <v>132</v>
      </c>
      <c r="E586" s="66">
        <v>8</v>
      </c>
      <c r="F586" s="66">
        <v>8</v>
      </c>
    </row>
    <row r="587" spans="1:6" ht="18.75" x14ac:dyDescent="0.3">
      <c r="A587" s="58" t="s">
        <v>1254</v>
      </c>
      <c r="B587" s="59" t="s">
        <v>1258</v>
      </c>
      <c r="C587" t="s">
        <v>39</v>
      </c>
      <c r="D587" t="s">
        <v>134</v>
      </c>
      <c r="E587" s="66">
        <v>10</v>
      </c>
      <c r="F587" s="66">
        <v>10</v>
      </c>
    </row>
    <row r="588" spans="1:6" ht="18.75" x14ac:dyDescent="0.3">
      <c r="A588" s="58" t="s">
        <v>1259</v>
      </c>
      <c r="B588" s="59" t="s">
        <v>1261</v>
      </c>
      <c r="C588" t="s">
        <v>39</v>
      </c>
      <c r="D588" t="s">
        <v>134</v>
      </c>
      <c r="E588" s="66">
        <v>1</v>
      </c>
      <c r="F588" s="66">
        <v>1</v>
      </c>
    </row>
    <row r="589" spans="1:6" ht="18.75" x14ac:dyDescent="0.3">
      <c r="A589" s="58" t="s">
        <v>1260</v>
      </c>
      <c r="B589" s="59" t="s">
        <v>730</v>
      </c>
      <c r="C589" t="s">
        <v>39</v>
      </c>
      <c r="D589" t="s">
        <v>134</v>
      </c>
      <c r="E589" s="66">
        <v>10</v>
      </c>
      <c r="F589" s="66">
        <v>10</v>
      </c>
    </row>
    <row r="590" spans="1:6" ht="18.75" x14ac:dyDescent="0.3">
      <c r="A590" s="58" t="s">
        <v>1262</v>
      </c>
      <c r="B590" s="59" t="s">
        <v>1263</v>
      </c>
      <c r="C590" t="s">
        <v>39</v>
      </c>
      <c r="D590" t="s">
        <v>134</v>
      </c>
      <c r="E590" s="66">
        <v>6.5</v>
      </c>
      <c r="F590" s="66">
        <v>6.5</v>
      </c>
    </row>
    <row r="591" spans="1:6" ht="18.75" x14ac:dyDescent="0.3">
      <c r="A591" s="58" t="s">
        <v>1264</v>
      </c>
      <c r="B591" s="59" t="s">
        <v>1265</v>
      </c>
      <c r="C591" t="s">
        <v>39</v>
      </c>
      <c r="D591" t="s">
        <v>135</v>
      </c>
      <c r="E591" s="66">
        <v>6.5</v>
      </c>
      <c r="F591" s="66">
        <v>6.5</v>
      </c>
    </row>
    <row r="592" spans="1:6" ht="18.75" x14ac:dyDescent="0.3">
      <c r="A592" s="58" t="s">
        <v>1266</v>
      </c>
      <c r="B592" s="59" t="s">
        <v>1268</v>
      </c>
      <c r="C592" t="s">
        <v>39</v>
      </c>
      <c r="D592" t="s">
        <v>135</v>
      </c>
      <c r="E592" s="66">
        <v>25</v>
      </c>
      <c r="F592" s="66">
        <v>25</v>
      </c>
    </row>
    <row r="593" spans="1:6" ht="18.75" x14ac:dyDescent="0.3">
      <c r="A593" s="58" t="s">
        <v>1267</v>
      </c>
      <c r="B593" s="59" t="s">
        <v>1269</v>
      </c>
      <c r="C593" t="s">
        <v>39</v>
      </c>
      <c r="D593" t="s">
        <v>135</v>
      </c>
      <c r="E593" s="66">
        <v>10</v>
      </c>
      <c r="F593" s="66">
        <v>10</v>
      </c>
    </row>
    <row r="594" spans="1:6" ht="18.75" x14ac:dyDescent="0.3">
      <c r="A594" s="58" t="s">
        <v>1270</v>
      </c>
      <c r="B594" s="59" t="s">
        <v>381</v>
      </c>
      <c r="C594" t="s">
        <v>39</v>
      </c>
      <c r="D594" t="s">
        <v>135</v>
      </c>
      <c r="E594" s="66">
        <v>15</v>
      </c>
      <c r="F594" s="66">
        <v>15</v>
      </c>
    </row>
    <row r="595" spans="1:6" ht="18.75" x14ac:dyDescent="0.3">
      <c r="A595" s="58" t="s">
        <v>1271</v>
      </c>
      <c r="B595" s="59" t="s">
        <v>1272</v>
      </c>
      <c r="C595" t="s">
        <v>39</v>
      </c>
      <c r="D595" t="s">
        <v>136</v>
      </c>
      <c r="E595" s="66">
        <v>20</v>
      </c>
      <c r="F595" s="66">
        <v>25</v>
      </c>
    </row>
    <row r="596" spans="1:6" ht="18.75" x14ac:dyDescent="0.3">
      <c r="A596" s="58" t="s">
        <v>1274</v>
      </c>
      <c r="B596" s="59" t="s">
        <v>1273</v>
      </c>
      <c r="C596" t="s">
        <v>39</v>
      </c>
      <c r="D596" t="s">
        <v>136</v>
      </c>
      <c r="E596" s="66">
        <v>25</v>
      </c>
      <c r="F596" s="66">
        <v>25</v>
      </c>
    </row>
    <row r="597" spans="1:6" ht="18.75" x14ac:dyDescent="0.3">
      <c r="A597" s="58" t="s">
        <v>1275</v>
      </c>
      <c r="B597" s="59" t="s">
        <v>1276</v>
      </c>
      <c r="C597" t="s">
        <v>39</v>
      </c>
      <c r="D597" t="s">
        <v>136</v>
      </c>
      <c r="E597" s="66">
        <v>8</v>
      </c>
      <c r="F597" s="66">
        <v>8</v>
      </c>
    </row>
    <row r="598" spans="1:6" ht="18.75" x14ac:dyDescent="0.3">
      <c r="A598" s="58" t="s">
        <v>1279</v>
      </c>
      <c r="B598" s="59" t="s">
        <v>1288</v>
      </c>
      <c r="C598" t="s">
        <v>39</v>
      </c>
      <c r="D598" t="s">
        <v>136</v>
      </c>
      <c r="E598" s="66">
        <v>7</v>
      </c>
      <c r="F598" s="66">
        <v>7</v>
      </c>
    </row>
    <row r="599" spans="1:6" ht="18.75" x14ac:dyDescent="0.3">
      <c r="A599" s="58" t="s">
        <v>1286</v>
      </c>
      <c r="B599" s="59" t="s">
        <v>1289</v>
      </c>
      <c r="C599" t="s">
        <v>39</v>
      </c>
      <c r="D599" t="s">
        <v>137</v>
      </c>
      <c r="E599" s="66">
        <v>15</v>
      </c>
      <c r="F599" s="66">
        <v>15</v>
      </c>
    </row>
    <row r="600" spans="1:6" ht="18.75" x14ac:dyDescent="0.3">
      <c r="A600" s="58" t="s">
        <v>1287</v>
      </c>
      <c r="B600" s="59" t="s">
        <v>1290</v>
      </c>
      <c r="C600" t="s">
        <v>39</v>
      </c>
      <c r="D600" t="s">
        <v>137</v>
      </c>
      <c r="E600" s="66">
        <v>15</v>
      </c>
      <c r="F600" s="66">
        <v>15</v>
      </c>
    </row>
    <row r="601" spans="1:6" ht="18.75" x14ac:dyDescent="0.3">
      <c r="A601" s="58" t="s">
        <v>1292</v>
      </c>
      <c r="B601" s="59" t="s">
        <v>480</v>
      </c>
      <c r="C601" t="s">
        <v>39</v>
      </c>
      <c r="D601" t="s">
        <v>137</v>
      </c>
      <c r="E601" s="66">
        <v>20</v>
      </c>
      <c r="F601" s="66">
        <v>20</v>
      </c>
    </row>
    <row r="602" spans="1:6" ht="18.75" x14ac:dyDescent="0.3">
      <c r="A602" s="58" t="s">
        <v>1291</v>
      </c>
      <c r="B602" s="59" t="s">
        <v>1293</v>
      </c>
      <c r="C602" t="s">
        <v>39</v>
      </c>
      <c r="D602" t="s">
        <v>137</v>
      </c>
      <c r="E602" s="66">
        <v>30</v>
      </c>
      <c r="F602" s="66">
        <v>30</v>
      </c>
    </row>
    <row r="603" spans="1:6" ht="18.75" x14ac:dyDescent="0.3">
      <c r="A603" s="58" t="s">
        <v>1294</v>
      </c>
      <c r="B603" s="59" t="s">
        <v>1297</v>
      </c>
      <c r="C603" t="s">
        <v>39</v>
      </c>
      <c r="D603" t="s">
        <v>139</v>
      </c>
      <c r="E603" s="66">
        <v>25</v>
      </c>
      <c r="F603" s="66">
        <v>28</v>
      </c>
    </row>
    <row r="604" spans="1:6" ht="18.75" x14ac:dyDescent="0.3">
      <c r="A604" s="58" t="s">
        <v>1295</v>
      </c>
      <c r="B604" s="59" t="s">
        <v>1297</v>
      </c>
      <c r="C604" t="s">
        <v>39</v>
      </c>
      <c r="D604" t="s">
        <v>139</v>
      </c>
      <c r="E604" s="66">
        <v>25</v>
      </c>
      <c r="F604" s="66">
        <v>28</v>
      </c>
    </row>
    <row r="605" spans="1:6" ht="18.75" x14ac:dyDescent="0.3">
      <c r="A605" s="58" t="s">
        <v>1296</v>
      </c>
      <c r="B605" s="59" t="s">
        <v>1298</v>
      </c>
      <c r="C605" t="s">
        <v>39</v>
      </c>
      <c r="D605" t="s">
        <v>139</v>
      </c>
      <c r="E605" s="66">
        <v>15</v>
      </c>
      <c r="F605" s="66">
        <v>15</v>
      </c>
    </row>
    <row r="606" spans="1:6" ht="18.75" x14ac:dyDescent="0.3">
      <c r="A606" s="58" t="s">
        <v>1185</v>
      </c>
      <c r="B606" s="59" t="s">
        <v>1186</v>
      </c>
      <c r="C606" t="s">
        <v>39</v>
      </c>
      <c r="D606" t="s">
        <v>139</v>
      </c>
      <c r="E606" s="66">
        <v>15</v>
      </c>
      <c r="F606" s="66">
        <v>15</v>
      </c>
    </row>
    <row r="607" spans="1:6" ht="18.75" x14ac:dyDescent="0.3">
      <c r="A607" s="58" t="s">
        <v>1300</v>
      </c>
      <c r="B607" s="59" t="s">
        <v>712</v>
      </c>
      <c r="C607" t="s">
        <v>39</v>
      </c>
      <c r="D607" t="s">
        <v>140</v>
      </c>
      <c r="E607" s="66">
        <v>20</v>
      </c>
      <c r="F607" s="66">
        <v>21</v>
      </c>
    </row>
    <row r="608" spans="1:6" ht="18.75" x14ac:dyDescent="0.3">
      <c r="A608" s="58" t="s">
        <v>1301</v>
      </c>
      <c r="B608" s="59" t="s">
        <v>1302</v>
      </c>
      <c r="C608" t="s">
        <v>39</v>
      </c>
      <c r="D608" t="s">
        <v>140</v>
      </c>
      <c r="E608" s="66">
        <v>53</v>
      </c>
      <c r="F608" s="66">
        <v>55</v>
      </c>
    </row>
    <row r="609" spans="1:6" ht="18.75" x14ac:dyDescent="0.3">
      <c r="A609" s="58" t="s">
        <v>1303</v>
      </c>
      <c r="B609" s="59" t="s">
        <v>1305</v>
      </c>
      <c r="C609" t="s">
        <v>39</v>
      </c>
      <c r="D609" t="s">
        <v>140</v>
      </c>
      <c r="E609" s="66">
        <v>21</v>
      </c>
      <c r="F609" s="66">
        <v>23</v>
      </c>
    </row>
    <row r="610" spans="1:6" ht="18.75" x14ac:dyDescent="0.3">
      <c r="A610" s="58" t="s">
        <v>1304</v>
      </c>
      <c r="B610" s="59" t="s">
        <v>1306</v>
      </c>
      <c r="C610" t="s">
        <v>39</v>
      </c>
      <c r="D610" t="s">
        <v>140</v>
      </c>
      <c r="E610" s="66">
        <v>21.5</v>
      </c>
      <c r="F610" s="66">
        <v>23</v>
      </c>
    </row>
    <row r="611" spans="1:6" ht="18.75" x14ac:dyDescent="0.3">
      <c r="A611" s="58" t="s">
        <v>1307</v>
      </c>
      <c r="B611" s="59" t="s">
        <v>1207</v>
      </c>
      <c r="C611" t="s">
        <v>35</v>
      </c>
      <c r="D611" t="s">
        <v>156</v>
      </c>
      <c r="E611" s="66">
        <v>10</v>
      </c>
      <c r="F611" s="66">
        <v>10</v>
      </c>
    </row>
    <row r="612" spans="1:6" ht="18.75" x14ac:dyDescent="0.3">
      <c r="A612" s="58" t="s">
        <v>1308</v>
      </c>
      <c r="B612" s="59" t="s">
        <v>1309</v>
      </c>
      <c r="C612" t="s">
        <v>35</v>
      </c>
      <c r="D612" t="s">
        <v>156</v>
      </c>
      <c r="E612" s="66">
        <v>24</v>
      </c>
      <c r="F612" s="66">
        <v>27</v>
      </c>
    </row>
    <row r="613" spans="1:6" ht="18.75" x14ac:dyDescent="0.3">
      <c r="A613" s="58" t="s">
        <v>1310</v>
      </c>
      <c r="B613" s="59" t="s">
        <v>1311</v>
      </c>
      <c r="C613" t="s">
        <v>35</v>
      </c>
      <c r="D613" t="s">
        <v>156</v>
      </c>
      <c r="E613" s="66">
        <v>10</v>
      </c>
      <c r="F613" s="66">
        <v>12.5</v>
      </c>
    </row>
    <row r="614" spans="1:6" ht="18.75" x14ac:dyDescent="0.3">
      <c r="A614" s="58" t="s">
        <v>1312</v>
      </c>
      <c r="B614" s="59" t="s">
        <v>1313</v>
      </c>
      <c r="C614" t="s">
        <v>35</v>
      </c>
      <c r="D614" t="s">
        <v>156</v>
      </c>
      <c r="E614" s="66">
        <v>45</v>
      </c>
      <c r="F614" s="66">
        <v>50</v>
      </c>
    </row>
    <row r="615" spans="1:6" ht="18.75" x14ac:dyDescent="0.3">
      <c r="A615" s="58" t="s">
        <v>1314</v>
      </c>
      <c r="B615" s="59" t="s">
        <v>1317</v>
      </c>
      <c r="C615" t="s">
        <v>36</v>
      </c>
      <c r="D615" t="s">
        <v>115</v>
      </c>
      <c r="E615" s="66">
        <v>10</v>
      </c>
      <c r="F615" s="66">
        <v>10</v>
      </c>
    </row>
    <row r="616" spans="1:6" ht="18.75" x14ac:dyDescent="0.3">
      <c r="A616" s="58" t="s">
        <v>1315</v>
      </c>
      <c r="B616" s="59" t="s">
        <v>1318</v>
      </c>
      <c r="C616" t="s">
        <v>36</v>
      </c>
      <c r="D616" t="s">
        <v>115</v>
      </c>
      <c r="E616" s="66">
        <v>40</v>
      </c>
      <c r="F616" s="66">
        <v>45</v>
      </c>
    </row>
    <row r="617" spans="1:6" ht="18.75" x14ac:dyDescent="0.3">
      <c r="A617" s="58" t="s">
        <v>1316</v>
      </c>
      <c r="B617" s="59" t="s">
        <v>1319</v>
      </c>
      <c r="C617" t="s">
        <v>36</v>
      </c>
      <c r="D617" t="s">
        <v>115</v>
      </c>
      <c r="E617" s="66">
        <v>35</v>
      </c>
      <c r="F617" s="66">
        <v>40</v>
      </c>
    </row>
    <row r="618" spans="1:6" ht="18.75" x14ac:dyDescent="0.3">
      <c r="A618" s="58" t="s">
        <v>1320</v>
      </c>
      <c r="B618" s="59" t="s">
        <v>1317</v>
      </c>
      <c r="C618" t="s">
        <v>36</v>
      </c>
      <c r="D618" t="s">
        <v>115</v>
      </c>
      <c r="E618" s="66">
        <v>10</v>
      </c>
      <c r="F618" s="66">
        <v>10</v>
      </c>
    </row>
    <row r="619" spans="1:6" ht="18.75" x14ac:dyDescent="0.3">
      <c r="A619" s="58" t="s">
        <v>1321</v>
      </c>
      <c r="B619" s="59" t="s">
        <v>1324</v>
      </c>
      <c r="C619" t="s">
        <v>37</v>
      </c>
      <c r="D619" t="s">
        <v>119</v>
      </c>
      <c r="E619" s="66">
        <v>10</v>
      </c>
      <c r="F619" s="66">
        <v>10</v>
      </c>
    </row>
    <row r="620" spans="1:6" ht="18.75" x14ac:dyDescent="0.3">
      <c r="A620" s="58" t="s">
        <v>1322</v>
      </c>
      <c r="B620" s="59" t="s">
        <v>1324</v>
      </c>
      <c r="C620" t="s">
        <v>37</v>
      </c>
      <c r="D620" t="s">
        <v>119</v>
      </c>
      <c r="E620" s="66">
        <v>10</v>
      </c>
      <c r="F620" s="66">
        <v>10</v>
      </c>
    </row>
    <row r="621" spans="1:6" ht="18.75" x14ac:dyDescent="0.3">
      <c r="A621" s="58" t="s">
        <v>191</v>
      </c>
      <c r="B621" s="59" t="s">
        <v>1325</v>
      </c>
      <c r="C621" t="s">
        <v>36</v>
      </c>
      <c r="D621" t="s">
        <v>69</v>
      </c>
      <c r="E621" s="66">
        <v>10</v>
      </c>
      <c r="F621" s="66">
        <v>10</v>
      </c>
    </row>
    <row r="622" spans="1:6" ht="18.75" x14ac:dyDescent="0.3">
      <c r="A622" s="58" t="s">
        <v>193</v>
      </c>
      <c r="B622" s="59" t="s">
        <v>1325</v>
      </c>
      <c r="C622" t="s">
        <v>36</v>
      </c>
      <c r="D622" t="s">
        <v>69</v>
      </c>
      <c r="E622" s="66">
        <v>10</v>
      </c>
      <c r="F622" s="66">
        <v>10</v>
      </c>
    </row>
    <row r="623" spans="1:6" ht="18.75" x14ac:dyDescent="0.3">
      <c r="A623" s="58" t="s">
        <v>1323</v>
      </c>
      <c r="B623" s="59" t="s">
        <v>1325</v>
      </c>
      <c r="C623" t="s">
        <v>36</v>
      </c>
      <c r="D623" t="s">
        <v>69</v>
      </c>
      <c r="E623" s="66">
        <v>10</v>
      </c>
      <c r="F623" s="66">
        <v>10</v>
      </c>
    </row>
    <row r="624" spans="1:6" ht="18.75" x14ac:dyDescent="0.3">
      <c r="A624" s="58" t="s">
        <v>1321</v>
      </c>
      <c r="B624" s="59" t="s">
        <v>1324</v>
      </c>
      <c r="C624" t="s">
        <v>36</v>
      </c>
      <c r="D624" t="s">
        <v>69</v>
      </c>
      <c r="E624" s="66">
        <v>10</v>
      </c>
      <c r="F624" s="66">
        <v>10</v>
      </c>
    </row>
    <row r="625" spans="1:6" ht="18.75" x14ac:dyDescent="0.3">
      <c r="A625" s="58" t="s">
        <v>1326</v>
      </c>
      <c r="B625" s="59" t="s">
        <v>1327</v>
      </c>
      <c r="C625" t="s">
        <v>36</v>
      </c>
      <c r="D625" t="s">
        <v>69</v>
      </c>
      <c r="E625" s="66">
        <v>45</v>
      </c>
      <c r="F625" s="66">
        <v>45</v>
      </c>
    </row>
    <row r="626" spans="1:6" ht="18.75" x14ac:dyDescent="0.3">
      <c r="A626" s="58" t="s">
        <v>1328</v>
      </c>
      <c r="B626" s="59" t="s">
        <v>1329</v>
      </c>
      <c r="C626" t="s">
        <v>36</v>
      </c>
      <c r="D626" t="s">
        <v>69</v>
      </c>
      <c r="E626" s="66">
        <v>130</v>
      </c>
      <c r="F626" s="66">
        <v>130</v>
      </c>
    </row>
    <row r="627" spans="1:6" ht="18.75" x14ac:dyDescent="0.3">
      <c r="A627" s="58" t="s">
        <v>1330</v>
      </c>
      <c r="B627" s="59" t="s">
        <v>778</v>
      </c>
      <c r="C627" t="s">
        <v>36</v>
      </c>
      <c r="D627" t="s">
        <v>69</v>
      </c>
      <c r="E627" s="66">
        <v>75</v>
      </c>
      <c r="F627" s="66">
        <v>80</v>
      </c>
    </row>
    <row r="628" spans="1:6" ht="18.75" x14ac:dyDescent="0.3">
      <c r="A628" s="58" t="s">
        <v>1331</v>
      </c>
      <c r="B628" s="59" t="s">
        <v>1332</v>
      </c>
      <c r="C628" t="s">
        <v>36</v>
      </c>
      <c r="D628" t="s">
        <v>69</v>
      </c>
      <c r="E628" s="66">
        <v>10</v>
      </c>
      <c r="F628" s="66">
        <v>10</v>
      </c>
    </row>
    <row r="629" spans="1:6" ht="18.75" x14ac:dyDescent="0.3">
      <c r="A629" s="58" t="s">
        <v>1333</v>
      </c>
      <c r="B629" s="59" t="s">
        <v>1334</v>
      </c>
      <c r="C629" t="s">
        <v>36</v>
      </c>
      <c r="D629" t="s">
        <v>69</v>
      </c>
      <c r="E629" s="66">
        <v>120</v>
      </c>
      <c r="F629" s="66">
        <v>120</v>
      </c>
    </row>
    <row r="630" spans="1:6" ht="18.75" x14ac:dyDescent="0.3">
      <c r="A630" s="58" t="s">
        <v>1335</v>
      </c>
      <c r="B630" s="59" t="s">
        <v>1336</v>
      </c>
      <c r="C630" t="s">
        <v>36</v>
      </c>
      <c r="D630" t="s">
        <v>69</v>
      </c>
      <c r="E630" s="66">
        <v>40</v>
      </c>
      <c r="F630" s="66">
        <v>40</v>
      </c>
    </row>
    <row r="631" spans="1:6" ht="18.75" x14ac:dyDescent="0.3">
      <c r="A631" s="58" t="s">
        <v>1337</v>
      </c>
      <c r="B631" s="59" t="s">
        <v>1338</v>
      </c>
      <c r="C631" t="s">
        <v>36</v>
      </c>
      <c r="D631" t="s">
        <v>69</v>
      </c>
      <c r="E631" s="66">
        <v>10</v>
      </c>
      <c r="F631" s="66">
        <v>10</v>
      </c>
    </row>
    <row r="632" spans="1:6" ht="18.75" x14ac:dyDescent="0.3">
      <c r="A632" s="58" t="s">
        <v>1117</v>
      </c>
      <c r="B632" s="59" t="s">
        <v>1339</v>
      </c>
      <c r="C632" t="s">
        <v>36</v>
      </c>
      <c r="D632" t="s">
        <v>69</v>
      </c>
      <c r="E632" s="66">
        <v>4</v>
      </c>
      <c r="F632" s="66">
        <v>4</v>
      </c>
    </row>
    <row r="633" spans="1:6" ht="18.75" x14ac:dyDescent="0.3">
      <c r="A633" s="58" t="s">
        <v>1118</v>
      </c>
      <c r="B633" s="59" t="s">
        <v>1339</v>
      </c>
      <c r="C633" t="s">
        <v>36</v>
      </c>
      <c r="D633" t="s">
        <v>69</v>
      </c>
      <c r="E633" s="66">
        <v>4</v>
      </c>
      <c r="F633" s="66">
        <v>4</v>
      </c>
    </row>
    <row r="634" spans="1:6" ht="18.75" x14ac:dyDescent="0.3">
      <c r="A634" s="58" t="s">
        <v>1122</v>
      </c>
      <c r="B634" s="59" t="s">
        <v>1340</v>
      </c>
      <c r="C634" t="s">
        <v>36</v>
      </c>
      <c r="D634" t="s">
        <v>69</v>
      </c>
      <c r="E634" s="66">
        <v>10</v>
      </c>
      <c r="F634" s="66">
        <v>10</v>
      </c>
    </row>
    <row r="635" spans="1:6" ht="18.75" x14ac:dyDescent="0.3">
      <c r="A635" s="58" t="s">
        <v>1341</v>
      </c>
      <c r="B635" s="59" t="s">
        <v>698</v>
      </c>
      <c r="C635" t="s">
        <v>36</v>
      </c>
      <c r="D635" t="s">
        <v>69</v>
      </c>
      <c r="E635" s="66">
        <v>15</v>
      </c>
      <c r="F635" s="66">
        <v>15</v>
      </c>
    </row>
    <row r="636" spans="1:6" ht="18.75" x14ac:dyDescent="0.3">
      <c r="A636" s="58" t="s">
        <v>1343</v>
      </c>
      <c r="B636" s="59" t="s">
        <v>1503</v>
      </c>
      <c r="C636" t="s">
        <v>36</v>
      </c>
      <c r="D636" t="s">
        <v>69</v>
      </c>
      <c r="E636" s="66">
        <v>16</v>
      </c>
      <c r="F636" s="66">
        <v>20</v>
      </c>
    </row>
    <row r="637" spans="1:6" ht="18.75" x14ac:dyDescent="0.3">
      <c r="A637" s="58" t="s">
        <v>1342</v>
      </c>
      <c r="B637" s="59" t="s">
        <v>1344</v>
      </c>
      <c r="C637" t="s">
        <v>36</v>
      </c>
      <c r="D637" t="s">
        <v>69</v>
      </c>
      <c r="E637" s="66">
        <v>12</v>
      </c>
      <c r="F637" s="66">
        <v>12</v>
      </c>
    </row>
    <row r="638" spans="1:6" ht="18.75" x14ac:dyDescent="0.3">
      <c r="A638" s="58" t="s">
        <v>1345</v>
      </c>
      <c r="B638" s="59" t="s">
        <v>1346</v>
      </c>
      <c r="C638" t="s">
        <v>36</v>
      </c>
      <c r="D638" t="s">
        <v>69</v>
      </c>
      <c r="E638" s="66">
        <v>16</v>
      </c>
      <c r="F638" s="66">
        <v>18</v>
      </c>
    </row>
    <row r="639" spans="1:6" ht="18.75" x14ac:dyDescent="0.3">
      <c r="A639" s="58" t="s">
        <v>1347</v>
      </c>
      <c r="B639" s="59" t="s">
        <v>1348</v>
      </c>
      <c r="C639" t="s">
        <v>36</v>
      </c>
      <c r="D639" t="s">
        <v>69</v>
      </c>
      <c r="E639" s="66">
        <v>5</v>
      </c>
      <c r="F639" s="66">
        <v>5</v>
      </c>
    </row>
    <row r="640" spans="1:6" ht="18.75" x14ac:dyDescent="0.3">
      <c r="A640" s="58" t="s">
        <v>1349</v>
      </c>
      <c r="B640" s="59" t="s">
        <v>1353</v>
      </c>
      <c r="C640" t="s">
        <v>36</v>
      </c>
      <c r="D640" t="s">
        <v>69</v>
      </c>
      <c r="E640" s="66">
        <v>13</v>
      </c>
      <c r="F640" s="66">
        <v>15</v>
      </c>
    </row>
    <row r="641" spans="1:6" ht="18.75" x14ac:dyDescent="0.3">
      <c r="A641" s="58" t="s">
        <v>1350</v>
      </c>
      <c r="B641" s="59" t="s">
        <v>1354</v>
      </c>
      <c r="C641" t="s">
        <v>36</v>
      </c>
      <c r="D641" t="s">
        <v>69</v>
      </c>
      <c r="E641" s="66">
        <v>65</v>
      </c>
      <c r="F641" s="66">
        <v>75</v>
      </c>
    </row>
    <row r="642" spans="1:6" ht="18.75" x14ac:dyDescent="0.3">
      <c r="A642" s="58" t="s">
        <v>1351</v>
      </c>
      <c r="B642" s="59" t="s">
        <v>1354</v>
      </c>
      <c r="C642" t="s">
        <v>36</v>
      </c>
      <c r="D642" t="s">
        <v>69</v>
      </c>
      <c r="E642" s="66">
        <v>65</v>
      </c>
      <c r="F642" s="66">
        <v>75</v>
      </c>
    </row>
    <row r="643" spans="1:6" ht="18.75" x14ac:dyDescent="0.3">
      <c r="A643" s="58" t="s">
        <v>1352</v>
      </c>
      <c r="B643" s="59" t="s">
        <v>1354</v>
      </c>
      <c r="C643" t="s">
        <v>36</v>
      </c>
      <c r="D643" t="s">
        <v>69</v>
      </c>
      <c r="E643" s="66">
        <v>65</v>
      </c>
      <c r="F643" s="66">
        <v>75</v>
      </c>
    </row>
    <row r="644" spans="1:6" ht="18.75" x14ac:dyDescent="0.3">
      <c r="A644" s="58" t="s">
        <v>1447</v>
      </c>
      <c r="B644" s="59" t="s">
        <v>1448</v>
      </c>
      <c r="C644" t="s">
        <v>36</v>
      </c>
      <c r="D644" t="s">
        <v>69</v>
      </c>
      <c r="E644" s="66">
        <v>13</v>
      </c>
      <c r="F644" s="66">
        <v>15</v>
      </c>
    </row>
    <row r="645" spans="1:6" ht="18.75" x14ac:dyDescent="0.3">
      <c r="A645" s="58" t="s">
        <v>1355</v>
      </c>
      <c r="B645" s="59" t="s">
        <v>1360</v>
      </c>
      <c r="C645" t="s">
        <v>36</v>
      </c>
      <c r="D645" t="s">
        <v>69</v>
      </c>
      <c r="E645" s="66">
        <v>17.5</v>
      </c>
      <c r="F645" s="66">
        <v>20</v>
      </c>
    </row>
    <row r="646" spans="1:6" ht="18.75" x14ac:dyDescent="0.3">
      <c r="A646" s="58" t="s">
        <v>1363</v>
      </c>
      <c r="B646" s="59" t="s">
        <v>1360</v>
      </c>
      <c r="C646" t="s">
        <v>36</v>
      </c>
      <c r="D646" t="s">
        <v>69</v>
      </c>
      <c r="E646" s="66">
        <v>17.5</v>
      </c>
      <c r="F646" s="66">
        <v>20</v>
      </c>
    </row>
    <row r="647" spans="1:6" ht="18.75" x14ac:dyDescent="0.3">
      <c r="A647" s="58" t="s">
        <v>1356</v>
      </c>
      <c r="B647" s="59" t="s">
        <v>1364</v>
      </c>
      <c r="C647" t="s">
        <v>36</v>
      </c>
      <c r="D647" t="s">
        <v>69</v>
      </c>
      <c r="E647" s="66">
        <v>13</v>
      </c>
      <c r="F647" s="66">
        <v>15</v>
      </c>
    </row>
    <row r="648" spans="1:6" ht="18.75" x14ac:dyDescent="0.3">
      <c r="A648" s="58" t="s">
        <v>1358</v>
      </c>
      <c r="B648" s="59" t="s">
        <v>1362</v>
      </c>
      <c r="C648" t="s">
        <v>36</v>
      </c>
      <c r="D648" t="s">
        <v>69</v>
      </c>
      <c r="E648" s="66">
        <v>13</v>
      </c>
      <c r="F648" s="66">
        <v>15</v>
      </c>
    </row>
    <row r="649" spans="1:6" ht="18.75" x14ac:dyDescent="0.3">
      <c r="A649" s="58" t="s">
        <v>1357</v>
      </c>
      <c r="B649" s="59" t="s">
        <v>1365</v>
      </c>
      <c r="C649" t="s">
        <v>36</v>
      </c>
      <c r="D649" t="s">
        <v>69</v>
      </c>
      <c r="E649" s="66">
        <v>12.8</v>
      </c>
      <c r="F649" s="66">
        <v>15</v>
      </c>
    </row>
    <row r="650" spans="1:6" ht="18.75" x14ac:dyDescent="0.3">
      <c r="A650" s="58" t="s">
        <v>1375</v>
      </c>
      <c r="B650" s="59" t="s">
        <v>1376</v>
      </c>
      <c r="C650" t="s">
        <v>36</v>
      </c>
      <c r="D650" t="s">
        <v>69</v>
      </c>
      <c r="E650" s="66">
        <v>8.5</v>
      </c>
      <c r="F650" s="66">
        <v>10</v>
      </c>
    </row>
    <row r="651" spans="1:6" ht="18.75" x14ac:dyDescent="0.3">
      <c r="A651" s="58" t="s">
        <v>1377</v>
      </c>
      <c r="B651" s="59" t="s">
        <v>1378</v>
      </c>
      <c r="C651" t="s">
        <v>36</v>
      </c>
      <c r="D651" t="s">
        <v>69</v>
      </c>
      <c r="E651" s="66">
        <v>7</v>
      </c>
      <c r="F651" s="66">
        <v>10</v>
      </c>
    </row>
    <row r="652" spans="1:6" ht="18.75" x14ac:dyDescent="0.3">
      <c r="A652" s="58" t="s">
        <v>1491</v>
      </c>
      <c r="B652" s="59" t="s">
        <v>1379</v>
      </c>
      <c r="C652" t="s">
        <v>36</v>
      </c>
      <c r="D652" t="s">
        <v>69</v>
      </c>
      <c r="E652" s="66">
        <v>17.5</v>
      </c>
      <c r="F652" s="66">
        <v>20</v>
      </c>
    </row>
    <row r="653" spans="1:6" ht="18.75" x14ac:dyDescent="0.3">
      <c r="A653" s="58" t="s">
        <v>1359</v>
      </c>
      <c r="B653" s="59" t="s">
        <v>1366</v>
      </c>
      <c r="C653" t="s">
        <v>36</v>
      </c>
      <c r="D653" t="s">
        <v>69</v>
      </c>
      <c r="E653" s="66">
        <v>7</v>
      </c>
      <c r="F653" s="66">
        <v>10</v>
      </c>
    </row>
    <row r="654" spans="1:6" ht="18.75" x14ac:dyDescent="0.3">
      <c r="A654" s="58" t="s">
        <v>1367</v>
      </c>
      <c r="B654" s="59" t="s">
        <v>1368</v>
      </c>
      <c r="C654" t="s">
        <v>36</v>
      </c>
      <c r="D654" t="s">
        <v>69</v>
      </c>
      <c r="E654" s="66">
        <v>8.8000000000000007</v>
      </c>
      <c r="F654" s="66">
        <v>10</v>
      </c>
    </row>
    <row r="655" spans="1:6" ht="18.75" x14ac:dyDescent="0.3">
      <c r="A655" s="58" t="s">
        <v>1380</v>
      </c>
      <c r="B655" s="59" t="s">
        <v>1361</v>
      </c>
      <c r="C655" t="s">
        <v>36</v>
      </c>
      <c r="D655" t="s">
        <v>69</v>
      </c>
      <c r="E655" s="66">
        <v>12.8</v>
      </c>
      <c r="F655" s="66">
        <v>15</v>
      </c>
    </row>
    <row r="656" spans="1:6" ht="18.75" x14ac:dyDescent="0.3">
      <c r="A656" s="58" t="s">
        <v>1369</v>
      </c>
      <c r="B656" s="59" t="s">
        <v>1370</v>
      </c>
      <c r="C656" t="s">
        <v>36</v>
      </c>
      <c r="D656" t="s">
        <v>69</v>
      </c>
      <c r="E656" s="66">
        <v>7</v>
      </c>
      <c r="F656" s="66">
        <v>10</v>
      </c>
    </row>
    <row r="657" spans="1:6" ht="18.75" x14ac:dyDescent="0.3">
      <c r="A657" s="58" t="s">
        <v>1371</v>
      </c>
      <c r="B657" s="59" t="s">
        <v>1372</v>
      </c>
      <c r="C657" t="s">
        <v>36</v>
      </c>
      <c r="D657" t="s">
        <v>69</v>
      </c>
      <c r="E657" s="66">
        <v>7</v>
      </c>
      <c r="F657" s="66">
        <v>10</v>
      </c>
    </row>
    <row r="658" spans="1:6" ht="18.75" x14ac:dyDescent="0.3">
      <c r="A658" s="58" t="s">
        <v>1373</v>
      </c>
      <c r="B658" s="59" t="s">
        <v>1374</v>
      </c>
      <c r="C658" t="s">
        <v>36</v>
      </c>
      <c r="D658" t="s">
        <v>69</v>
      </c>
      <c r="E658" s="66">
        <v>7</v>
      </c>
      <c r="F658" s="66">
        <v>10</v>
      </c>
    </row>
    <row r="659" spans="1:6" ht="18.75" x14ac:dyDescent="0.3">
      <c r="A659" s="58" t="s">
        <v>1382</v>
      </c>
      <c r="B659" s="59" t="s">
        <v>1208</v>
      </c>
      <c r="C659" t="s">
        <v>36</v>
      </c>
      <c r="D659" t="s">
        <v>69</v>
      </c>
      <c r="E659" s="66">
        <v>2</v>
      </c>
      <c r="F659" s="66">
        <v>2</v>
      </c>
    </row>
    <row r="660" spans="1:6" ht="18.75" x14ac:dyDescent="0.3">
      <c r="A660" s="58" t="s">
        <v>1383</v>
      </c>
      <c r="B660" s="59" t="s">
        <v>1212</v>
      </c>
      <c r="C660" t="s">
        <v>36</v>
      </c>
      <c r="D660" t="s">
        <v>69</v>
      </c>
      <c r="E660" s="66">
        <v>0.4</v>
      </c>
      <c r="F660" s="66">
        <v>0.4</v>
      </c>
    </row>
    <row r="661" spans="1:6" ht="18.75" x14ac:dyDescent="0.3">
      <c r="A661" s="58" t="s">
        <v>1384</v>
      </c>
      <c r="B661" s="59" t="s">
        <v>1385</v>
      </c>
      <c r="C661" t="s">
        <v>36</v>
      </c>
      <c r="D661" t="s">
        <v>69</v>
      </c>
      <c r="E661" s="66">
        <v>6</v>
      </c>
      <c r="F661" s="66">
        <v>6</v>
      </c>
    </row>
    <row r="662" spans="1:6" ht="18.75" x14ac:dyDescent="0.3">
      <c r="A662" s="58" t="s">
        <v>1386</v>
      </c>
      <c r="B662" s="59" t="s">
        <v>1387</v>
      </c>
      <c r="C662" t="s">
        <v>36</v>
      </c>
      <c r="D662" t="s">
        <v>69</v>
      </c>
      <c r="E662" s="66">
        <v>2</v>
      </c>
      <c r="F662" s="66">
        <v>2</v>
      </c>
    </row>
    <row r="663" spans="1:6" ht="18.75" x14ac:dyDescent="0.3">
      <c r="A663" s="58" t="s">
        <v>1388</v>
      </c>
      <c r="B663" s="59" t="s">
        <v>1481</v>
      </c>
      <c r="C663" t="s">
        <v>36</v>
      </c>
      <c r="D663" t="s">
        <v>69</v>
      </c>
      <c r="E663" s="66">
        <v>11.6</v>
      </c>
      <c r="F663" s="66">
        <v>15</v>
      </c>
    </row>
    <row r="664" spans="1:6" ht="18.75" x14ac:dyDescent="0.3">
      <c r="A664" s="58" t="s">
        <v>1389</v>
      </c>
      <c r="B664" s="59" t="s">
        <v>1390</v>
      </c>
      <c r="C664" t="s">
        <v>36</v>
      </c>
      <c r="D664" t="s">
        <v>69</v>
      </c>
      <c r="E664" s="66">
        <v>24</v>
      </c>
      <c r="F664" s="66">
        <v>30</v>
      </c>
    </row>
    <row r="665" spans="1:6" ht="18.75" x14ac:dyDescent="0.3">
      <c r="A665" s="58" t="s">
        <v>1391</v>
      </c>
      <c r="B665" s="59" t="s">
        <v>1392</v>
      </c>
      <c r="C665" t="s">
        <v>36</v>
      </c>
      <c r="D665" t="s">
        <v>69</v>
      </c>
      <c r="E665" s="66">
        <v>27</v>
      </c>
      <c r="F665" s="66">
        <v>30</v>
      </c>
    </row>
    <row r="666" spans="1:6" ht="18.75" x14ac:dyDescent="0.3">
      <c r="A666" s="58" t="s">
        <v>1393</v>
      </c>
      <c r="B666" s="59" t="s">
        <v>1394</v>
      </c>
      <c r="C666" t="s">
        <v>36</v>
      </c>
      <c r="D666" t="s">
        <v>69</v>
      </c>
      <c r="E666" s="66">
        <v>18</v>
      </c>
      <c r="F666" s="66">
        <v>25</v>
      </c>
    </row>
    <row r="667" spans="1:6" ht="18.75" x14ac:dyDescent="0.3">
      <c r="A667" s="58" t="s">
        <v>1395</v>
      </c>
      <c r="B667" s="59" t="s">
        <v>383</v>
      </c>
      <c r="C667" t="s">
        <v>36</v>
      </c>
      <c r="D667" t="s">
        <v>69</v>
      </c>
      <c r="E667" s="66">
        <v>7.5</v>
      </c>
      <c r="F667" s="66">
        <v>9</v>
      </c>
    </row>
    <row r="668" spans="1:6" ht="18.75" x14ac:dyDescent="0.3">
      <c r="A668" s="58" t="s">
        <v>1396</v>
      </c>
      <c r="B668" s="59" t="s">
        <v>1029</v>
      </c>
      <c r="C668" t="s">
        <v>36</v>
      </c>
      <c r="D668" t="s">
        <v>69</v>
      </c>
      <c r="E668" s="66">
        <v>10.199999999999999</v>
      </c>
      <c r="F668" s="66">
        <v>15</v>
      </c>
    </row>
    <row r="669" spans="1:6" ht="18.75" x14ac:dyDescent="0.3">
      <c r="A669" s="58" t="s">
        <v>1397</v>
      </c>
      <c r="B669" s="59" t="s">
        <v>1398</v>
      </c>
      <c r="C669" t="s">
        <v>36</v>
      </c>
      <c r="D669" t="s">
        <v>69</v>
      </c>
      <c r="E669" s="66">
        <v>18</v>
      </c>
      <c r="F669" s="66">
        <v>20</v>
      </c>
    </row>
    <row r="670" spans="1:6" ht="18.75" x14ac:dyDescent="0.3">
      <c r="A670" s="58" t="s">
        <v>1399</v>
      </c>
      <c r="B670" s="59" t="s">
        <v>1400</v>
      </c>
      <c r="C670" t="s">
        <v>36</v>
      </c>
      <c r="D670" t="s">
        <v>69</v>
      </c>
      <c r="E670" s="66">
        <v>7</v>
      </c>
      <c r="F670" s="66">
        <v>8</v>
      </c>
    </row>
    <row r="671" spans="1:6" ht="18.75" x14ac:dyDescent="0.3">
      <c r="A671" s="58" t="s">
        <v>205</v>
      </c>
      <c r="B671" s="59" t="s">
        <v>1400</v>
      </c>
      <c r="C671" t="s">
        <v>36</v>
      </c>
      <c r="D671" t="s">
        <v>69</v>
      </c>
      <c r="E671" s="66">
        <v>7</v>
      </c>
      <c r="F671" s="66">
        <v>8</v>
      </c>
    </row>
    <row r="672" spans="1:6" ht="18.75" x14ac:dyDescent="0.3">
      <c r="A672" s="58" t="s">
        <v>1401</v>
      </c>
      <c r="B672" s="59" t="s">
        <v>1402</v>
      </c>
      <c r="C672" t="s">
        <v>36</v>
      </c>
      <c r="D672" t="s">
        <v>69</v>
      </c>
      <c r="E672" s="66">
        <v>37</v>
      </c>
      <c r="F672" s="66">
        <v>40</v>
      </c>
    </row>
    <row r="673" spans="1:6" ht="18.75" x14ac:dyDescent="0.3">
      <c r="A673" s="58" t="s">
        <v>1403</v>
      </c>
      <c r="B673" s="59" t="s">
        <v>1404</v>
      </c>
      <c r="C673" t="s">
        <v>36</v>
      </c>
      <c r="D673" t="s">
        <v>69</v>
      </c>
      <c r="E673" s="66">
        <v>110</v>
      </c>
      <c r="F673" s="66">
        <v>120</v>
      </c>
    </row>
    <row r="674" spans="1:6" ht="18.75" x14ac:dyDescent="0.3">
      <c r="A674" s="58" t="s">
        <v>1405</v>
      </c>
      <c r="B674" s="59" t="s">
        <v>1406</v>
      </c>
      <c r="C674" t="s">
        <v>36</v>
      </c>
      <c r="D674" t="s">
        <v>69</v>
      </c>
      <c r="E674" s="66">
        <v>64</v>
      </c>
      <c r="F674" s="66">
        <v>72</v>
      </c>
    </row>
    <row r="675" spans="1:6" ht="18.75" x14ac:dyDescent="0.3">
      <c r="A675" s="58" t="s">
        <v>1407</v>
      </c>
      <c r="B675" s="59" t="s">
        <v>1408</v>
      </c>
      <c r="C675" t="s">
        <v>36</v>
      </c>
      <c r="D675" t="s">
        <v>69</v>
      </c>
      <c r="E675" s="66">
        <v>60</v>
      </c>
      <c r="F675" s="66">
        <v>70</v>
      </c>
    </row>
    <row r="676" spans="1:6" ht="18.75" x14ac:dyDescent="0.3">
      <c r="A676" s="58" t="s">
        <v>1409</v>
      </c>
      <c r="B676" s="59" t="s">
        <v>1410</v>
      </c>
      <c r="C676" t="s">
        <v>36</v>
      </c>
      <c r="D676" t="s">
        <v>69</v>
      </c>
      <c r="E676" s="66">
        <v>23</v>
      </c>
      <c r="F676" s="66">
        <v>30</v>
      </c>
    </row>
    <row r="677" spans="1:6" ht="18.75" x14ac:dyDescent="0.3">
      <c r="A677" s="58" t="s">
        <v>1411</v>
      </c>
      <c r="B677" s="59" t="s">
        <v>1412</v>
      </c>
      <c r="C677" t="s">
        <v>36</v>
      </c>
      <c r="D677" t="s">
        <v>69</v>
      </c>
      <c r="E677" s="66">
        <v>20</v>
      </c>
      <c r="F677" s="66">
        <v>25</v>
      </c>
    </row>
    <row r="678" spans="1:6" ht="18.75" x14ac:dyDescent="0.3">
      <c r="A678" s="58" t="s">
        <v>1413</v>
      </c>
      <c r="B678" s="59" t="s">
        <v>1414</v>
      </c>
      <c r="C678" t="s">
        <v>36</v>
      </c>
      <c r="D678" t="s">
        <v>69</v>
      </c>
      <c r="E678" s="66">
        <v>37</v>
      </c>
      <c r="F678" s="66">
        <v>42</v>
      </c>
    </row>
    <row r="679" spans="1:6" ht="18.75" x14ac:dyDescent="0.3">
      <c r="A679" s="58" t="s">
        <v>1415</v>
      </c>
      <c r="B679" s="59" t="s">
        <v>1416</v>
      </c>
      <c r="C679" t="s">
        <v>36</v>
      </c>
      <c r="D679" t="s">
        <v>69</v>
      </c>
      <c r="E679" s="66">
        <v>9</v>
      </c>
      <c r="F679" s="66">
        <v>12</v>
      </c>
    </row>
    <row r="680" spans="1:6" ht="18.75" x14ac:dyDescent="0.3">
      <c r="A680" s="58" t="s">
        <v>1417</v>
      </c>
      <c r="B680" s="59" t="s">
        <v>1418</v>
      </c>
      <c r="C680" t="s">
        <v>36</v>
      </c>
      <c r="D680" t="s">
        <v>69</v>
      </c>
      <c r="E680" s="66">
        <v>8</v>
      </c>
      <c r="F680" s="66">
        <v>10</v>
      </c>
    </row>
    <row r="681" spans="1:6" ht="18.75" x14ac:dyDescent="0.3">
      <c r="A681" s="58" t="s">
        <v>1419</v>
      </c>
      <c r="B681" s="59" t="s">
        <v>1420</v>
      </c>
      <c r="C681" t="s">
        <v>36</v>
      </c>
      <c r="D681" t="s">
        <v>69</v>
      </c>
      <c r="E681" s="66">
        <v>130</v>
      </c>
      <c r="F681" s="66">
        <v>150</v>
      </c>
    </row>
    <row r="682" spans="1:6" ht="18.75" x14ac:dyDescent="0.3">
      <c r="A682" s="58" t="s">
        <v>1421</v>
      </c>
      <c r="B682" s="59" t="s">
        <v>1422</v>
      </c>
      <c r="C682" t="s">
        <v>36</v>
      </c>
      <c r="D682" t="s">
        <v>69</v>
      </c>
      <c r="E682" s="66">
        <v>21</v>
      </c>
      <c r="F682" s="66">
        <v>25</v>
      </c>
    </row>
    <row r="683" spans="1:6" ht="18.75" x14ac:dyDescent="0.3">
      <c r="A683" s="58" t="s">
        <v>1423</v>
      </c>
      <c r="B683" s="59" t="s">
        <v>1425</v>
      </c>
      <c r="C683" t="s">
        <v>36</v>
      </c>
      <c r="D683" t="s">
        <v>69</v>
      </c>
      <c r="E683" s="66">
        <v>4</v>
      </c>
      <c r="F683" s="66">
        <v>5</v>
      </c>
    </row>
    <row r="684" spans="1:6" ht="18.75" x14ac:dyDescent="0.3">
      <c r="A684" s="58" t="s">
        <v>1424</v>
      </c>
      <c r="B684" s="59" t="s">
        <v>1425</v>
      </c>
      <c r="C684" t="s">
        <v>36</v>
      </c>
      <c r="D684" t="s">
        <v>69</v>
      </c>
      <c r="E684" s="66">
        <v>4</v>
      </c>
      <c r="F684" s="66">
        <v>5</v>
      </c>
    </row>
    <row r="685" spans="1:6" ht="18.75" x14ac:dyDescent="0.3">
      <c r="A685" s="58" t="s">
        <v>1426</v>
      </c>
      <c r="B685" s="59" t="s">
        <v>1427</v>
      </c>
      <c r="C685" t="s">
        <v>36</v>
      </c>
      <c r="D685" t="s">
        <v>69</v>
      </c>
      <c r="E685" s="66">
        <v>30</v>
      </c>
      <c r="F685" s="66">
        <v>35</v>
      </c>
    </row>
    <row r="686" spans="1:6" ht="18.75" x14ac:dyDescent="0.3">
      <c r="A686" s="58" t="s">
        <v>1428</v>
      </c>
      <c r="B686" s="59" t="s">
        <v>1429</v>
      </c>
      <c r="C686" t="s">
        <v>36</v>
      </c>
      <c r="D686" t="s">
        <v>69</v>
      </c>
      <c r="E686" s="66">
        <v>30</v>
      </c>
      <c r="F686" s="66">
        <v>35</v>
      </c>
    </row>
    <row r="687" spans="1:6" ht="18.75" x14ac:dyDescent="0.3">
      <c r="A687" s="58" t="s">
        <v>1430</v>
      </c>
      <c r="B687" s="59" t="s">
        <v>1431</v>
      </c>
      <c r="C687" t="s">
        <v>36</v>
      </c>
      <c r="D687" t="s">
        <v>69</v>
      </c>
      <c r="E687" s="66">
        <v>30</v>
      </c>
      <c r="F687" s="66">
        <v>35</v>
      </c>
    </row>
    <row r="688" spans="1:6" ht="18.75" x14ac:dyDescent="0.3">
      <c r="A688" s="58" t="s">
        <v>1432</v>
      </c>
      <c r="B688" s="59" t="s">
        <v>1433</v>
      </c>
      <c r="C688" t="s">
        <v>36</v>
      </c>
      <c r="D688" t="s">
        <v>69</v>
      </c>
      <c r="E688" s="66">
        <v>24</v>
      </c>
      <c r="F688" s="66">
        <v>30</v>
      </c>
    </row>
    <row r="689" spans="1:6" ht="18.75" x14ac:dyDescent="0.3">
      <c r="A689" s="58" t="s">
        <v>1434</v>
      </c>
      <c r="B689" s="59" t="s">
        <v>1436</v>
      </c>
      <c r="C689" t="s">
        <v>36</v>
      </c>
      <c r="D689" t="s">
        <v>69</v>
      </c>
      <c r="E689" s="66">
        <v>700</v>
      </c>
      <c r="F689" s="66">
        <v>750</v>
      </c>
    </row>
    <row r="690" spans="1:6" ht="18.75" x14ac:dyDescent="0.3">
      <c r="A690" s="58" t="s">
        <v>1435</v>
      </c>
      <c r="B690" s="59" t="s">
        <v>1437</v>
      </c>
      <c r="C690" t="s">
        <v>36</v>
      </c>
      <c r="D690" t="s">
        <v>69</v>
      </c>
      <c r="E690" s="66">
        <v>600</v>
      </c>
      <c r="F690" s="66">
        <v>650</v>
      </c>
    </row>
    <row r="691" spans="1:6" ht="18.75" x14ac:dyDescent="0.3">
      <c r="A691" s="58" t="s">
        <v>1438</v>
      </c>
      <c r="B691" s="59" t="s">
        <v>1439</v>
      </c>
      <c r="C691" t="s">
        <v>36</v>
      </c>
      <c r="D691" t="s">
        <v>69</v>
      </c>
      <c r="E691" s="66">
        <v>160</v>
      </c>
      <c r="F691" s="66">
        <v>180</v>
      </c>
    </row>
    <row r="692" spans="1:6" ht="18.75" x14ac:dyDescent="0.3">
      <c r="A692" s="58" t="s">
        <v>1440</v>
      </c>
      <c r="B692" s="59" t="s">
        <v>1441</v>
      </c>
      <c r="C692" t="s">
        <v>36</v>
      </c>
      <c r="D692" t="s">
        <v>69</v>
      </c>
      <c r="E692" s="66">
        <v>8</v>
      </c>
      <c r="F692" s="66">
        <v>10</v>
      </c>
    </row>
    <row r="693" spans="1:6" ht="18.75" x14ac:dyDescent="0.3">
      <c r="A693" s="58" t="s">
        <v>1409</v>
      </c>
      <c r="B693" s="59" t="s">
        <v>1442</v>
      </c>
      <c r="C693" t="s">
        <v>36</v>
      </c>
      <c r="D693" t="s">
        <v>69</v>
      </c>
      <c r="E693" s="66">
        <v>25</v>
      </c>
      <c r="F693" s="66">
        <v>30</v>
      </c>
    </row>
    <row r="694" spans="1:6" ht="18.75" x14ac:dyDescent="0.3">
      <c r="A694" s="58" t="s">
        <v>1443</v>
      </c>
      <c r="B694" s="59" t="s">
        <v>1445</v>
      </c>
      <c r="C694" t="s">
        <v>36</v>
      </c>
      <c r="D694" t="s">
        <v>69</v>
      </c>
      <c r="E694" s="66">
        <v>15</v>
      </c>
      <c r="F694" s="66">
        <v>15</v>
      </c>
    </row>
    <row r="695" spans="1:6" ht="18.75" x14ac:dyDescent="0.3">
      <c r="A695" s="58" t="s">
        <v>1444</v>
      </c>
      <c r="B695" s="59" t="s">
        <v>1445</v>
      </c>
      <c r="C695" t="s">
        <v>36</v>
      </c>
      <c r="D695" t="s">
        <v>69</v>
      </c>
      <c r="E695" s="66">
        <v>15</v>
      </c>
      <c r="F695" s="66">
        <v>15</v>
      </c>
    </row>
    <row r="696" spans="1:6" ht="18.75" x14ac:dyDescent="0.3">
      <c r="A696" s="58" t="s">
        <v>1449</v>
      </c>
      <c r="B696" s="59" t="s">
        <v>1450</v>
      </c>
      <c r="C696" t="s">
        <v>36</v>
      </c>
      <c r="D696" t="s">
        <v>69</v>
      </c>
      <c r="E696" s="66">
        <v>6</v>
      </c>
      <c r="F696" s="66">
        <v>8</v>
      </c>
    </row>
    <row r="697" spans="1:6" ht="18.75" x14ac:dyDescent="0.3">
      <c r="A697" s="58" t="s">
        <v>1451</v>
      </c>
      <c r="B697" s="59" t="s">
        <v>1452</v>
      </c>
      <c r="C697" t="s">
        <v>36</v>
      </c>
      <c r="D697" t="s">
        <v>69</v>
      </c>
      <c r="E697" s="66">
        <v>5</v>
      </c>
      <c r="F697" s="66">
        <v>5</v>
      </c>
    </row>
    <row r="698" spans="1:6" ht="18.75" x14ac:dyDescent="0.3">
      <c r="A698" s="58" t="s">
        <v>1453</v>
      </c>
      <c r="B698" s="59" t="s">
        <v>1454</v>
      </c>
      <c r="C698" t="s">
        <v>36</v>
      </c>
      <c r="D698" t="s">
        <v>69</v>
      </c>
      <c r="E698" s="66">
        <v>5</v>
      </c>
      <c r="F698" s="66">
        <v>5</v>
      </c>
    </row>
    <row r="699" spans="1:6" ht="18.75" x14ac:dyDescent="0.3">
      <c r="A699" s="58" t="s">
        <v>1455</v>
      </c>
      <c r="B699" s="59" t="s">
        <v>1457</v>
      </c>
      <c r="C699" t="s">
        <v>36</v>
      </c>
      <c r="D699" t="s">
        <v>69</v>
      </c>
      <c r="E699" s="66">
        <v>8</v>
      </c>
      <c r="F699" s="66">
        <v>10</v>
      </c>
    </row>
    <row r="700" spans="1:6" ht="18.75" x14ac:dyDescent="0.3">
      <c r="A700" s="58" t="s">
        <v>1456</v>
      </c>
      <c r="B700" s="59" t="s">
        <v>1457</v>
      </c>
      <c r="C700" t="s">
        <v>36</v>
      </c>
      <c r="D700" t="s">
        <v>69</v>
      </c>
      <c r="E700" s="66">
        <v>8</v>
      </c>
      <c r="F700" s="66">
        <v>10</v>
      </c>
    </row>
    <row r="701" spans="1:6" ht="18.75" x14ac:dyDescent="0.3">
      <c r="A701" s="58" t="s">
        <v>1459</v>
      </c>
      <c r="B701" s="59" t="s">
        <v>1460</v>
      </c>
      <c r="C701" t="s">
        <v>36</v>
      </c>
      <c r="D701" t="s">
        <v>69</v>
      </c>
      <c r="E701" s="66">
        <v>25</v>
      </c>
      <c r="F701" s="66">
        <v>30</v>
      </c>
    </row>
    <row r="702" spans="1:6" ht="18.75" x14ac:dyDescent="0.3">
      <c r="A702" s="58" t="s">
        <v>1461</v>
      </c>
      <c r="B702" s="59" t="s">
        <v>1462</v>
      </c>
      <c r="C702" t="s">
        <v>36</v>
      </c>
      <c r="D702" t="s">
        <v>69</v>
      </c>
      <c r="E702" s="66">
        <v>280</v>
      </c>
      <c r="F702" s="66">
        <v>300</v>
      </c>
    </row>
    <row r="703" spans="1:6" ht="18.75" x14ac:dyDescent="0.3">
      <c r="A703" s="58" t="s">
        <v>1463</v>
      </c>
      <c r="B703" s="59" t="s">
        <v>1464</v>
      </c>
      <c r="C703" t="s">
        <v>36</v>
      </c>
      <c r="D703" t="s">
        <v>69</v>
      </c>
      <c r="E703" s="66">
        <v>8</v>
      </c>
      <c r="F703" s="66">
        <v>10</v>
      </c>
    </row>
    <row r="704" spans="1:6" ht="18.75" x14ac:dyDescent="0.3">
      <c r="A704" s="58" t="s">
        <v>1465</v>
      </c>
      <c r="B704" s="59" t="s">
        <v>1466</v>
      </c>
      <c r="C704" t="s">
        <v>36</v>
      </c>
      <c r="D704" t="s">
        <v>69</v>
      </c>
      <c r="E704" s="66">
        <v>5</v>
      </c>
      <c r="F704" s="66">
        <v>7</v>
      </c>
    </row>
    <row r="705" spans="1:6" ht="18.75" x14ac:dyDescent="0.3">
      <c r="A705" s="58" t="s">
        <v>1468</v>
      </c>
      <c r="B705" s="59" t="s">
        <v>1467</v>
      </c>
      <c r="C705" t="s">
        <v>36</v>
      </c>
      <c r="D705" t="s">
        <v>36</v>
      </c>
      <c r="E705" s="66">
        <v>14</v>
      </c>
      <c r="F705" s="66">
        <v>18</v>
      </c>
    </row>
    <row r="706" spans="1:6" ht="18.75" x14ac:dyDescent="0.3">
      <c r="A706" s="58" t="s">
        <v>1469</v>
      </c>
      <c r="B706" s="59" t="s">
        <v>1470</v>
      </c>
      <c r="C706" t="s">
        <v>36</v>
      </c>
      <c r="D706" t="s">
        <v>69</v>
      </c>
      <c r="E706" s="66">
        <v>10</v>
      </c>
      <c r="F706" s="66">
        <v>10</v>
      </c>
    </row>
    <row r="707" spans="1:6" ht="18.75" x14ac:dyDescent="0.3">
      <c r="A707" s="58" t="s">
        <v>1118</v>
      </c>
      <c r="B707" s="59" t="s">
        <v>1339</v>
      </c>
      <c r="C707" t="s">
        <v>36</v>
      </c>
      <c r="D707" t="s">
        <v>69</v>
      </c>
      <c r="E707" s="66">
        <v>3.1</v>
      </c>
      <c r="F707" s="66">
        <v>4</v>
      </c>
    </row>
    <row r="708" spans="1:6" ht="18.75" x14ac:dyDescent="0.3">
      <c r="A708" s="58" t="s">
        <v>1343</v>
      </c>
      <c r="B708" s="59" t="s">
        <v>1471</v>
      </c>
      <c r="C708" t="s">
        <v>36</v>
      </c>
      <c r="D708" t="s">
        <v>69</v>
      </c>
      <c r="E708" s="66">
        <v>3.1</v>
      </c>
      <c r="F708" s="66">
        <v>15</v>
      </c>
    </row>
    <row r="709" spans="1:6" ht="18.75" x14ac:dyDescent="0.3">
      <c r="A709" s="58" t="s">
        <v>1472</v>
      </c>
      <c r="B709" s="59" t="s">
        <v>1473</v>
      </c>
      <c r="C709" t="s">
        <v>36</v>
      </c>
      <c r="D709" t="s">
        <v>69</v>
      </c>
      <c r="E709" s="66">
        <v>16</v>
      </c>
      <c r="F709" s="66">
        <v>17</v>
      </c>
    </row>
    <row r="710" spans="1:6" ht="18.75" x14ac:dyDescent="0.3">
      <c r="A710" s="58" t="s">
        <v>1474</v>
      </c>
      <c r="B710" s="59" t="s">
        <v>704</v>
      </c>
      <c r="C710" t="s">
        <v>36</v>
      </c>
      <c r="D710" t="s">
        <v>69</v>
      </c>
      <c r="E710" s="66">
        <v>18</v>
      </c>
      <c r="F710" s="66">
        <v>19</v>
      </c>
    </row>
    <row r="711" spans="1:6" ht="18.75" x14ac:dyDescent="0.3">
      <c r="A711" s="58" t="s">
        <v>1475</v>
      </c>
      <c r="B711" s="59" t="s">
        <v>1476</v>
      </c>
      <c r="C711" t="s">
        <v>36</v>
      </c>
      <c r="D711" t="s">
        <v>69</v>
      </c>
      <c r="E711" s="66">
        <v>12</v>
      </c>
      <c r="F711" s="66">
        <v>14</v>
      </c>
    </row>
    <row r="712" spans="1:6" ht="18.75" x14ac:dyDescent="0.3">
      <c r="A712" s="58" t="s">
        <v>1477</v>
      </c>
      <c r="B712" s="59" t="s">
        <v>1478</v>
      </c>
      <c r="C712" t="s">
        <v>36</v>
      </c>
      <c r="D712" t="s">
        <v>69</v>
      </c>
      <c r="E712" s="66">
        <v>10</v>
      </c>
      <c r="F712" s="66">
        <v>12.5</v>
      </c>
    </row>
    <row r="713" spans="1:6" ht="18.75" x14ac:dyDescent="0.3">
      <c r="A713" s="58" t="s">
        <v>1480</v>
      </c>
      <c r="B713" s="59" t="s">
        <v>1482</v>
      </c>
      <c r="C713" t="s">
        <v>36</v>
      </c>
      <c r="D713" t="s">
        <v>69</v>
      </c>
      <c r="E713" s="66">
        <v>11.6</v>
      </c>
      <c r="F713" s="66">
        <v>15</v>
      </c>
    </row>
    <row r="714" spans="1:6" ht="18.75" x14ac:dyDescent="0.3">
      <c r="A714" s="58" t="s">
        <v>1479</v>
      </c>
      <c r="B714" s="59" t="s">
        <v>1483</v>
      </c>
      <c r="C714" t="s">
        <v>36</v>
      </c>
      <c r="D714" t="s">
        <v>69</v>
      </c>
      <c r="E714" s="66">
        <v>11.6</v>
      </c>
      <c r="F714" s="66">
        <v>15</v>
      </c>
    </row>
    <row r="715" spans="1:6" ht="18.75" x14ac:dyDescent="0.3">
      <c r="A715" s="58" t="s">
        <v>1492</v>
      </c>
      <c r="B715" s="59" t="s">
        <v>1493</v>
      </c>
      <c r="C715" t="s">
        <v>36</v>
      </c>
      <c r="D715" t="s">
        <v>69</v>
      </c>
      <c r="E715" s="66">
        <v>8</v>
      </c>
      <c r="F715" s="66">
        <v>12</v>
      </c>
    </row>
    <row r="716" spans="1:6" ht="18.75" x14ac:dyDescent="0.3">
      <c r="A716" s="58" t="s">
        <v>1494</v>
      </c>
      <c r="B716" s="59" t="s">
        <v>1496</v>
      </c>
      <c r="C716" t="s">
        <v>36</v>
      </c>
      <c r="D716" t="s">
        <v>69</v>
      </c>
      <c r="E716" s="66">
        <v>12</v>
      </c>
      <c r="F716" s="66">
        <v>15</v>
      </c>
    </row>
    <row r="717" spans="1:6" ht="18.75" x14ac:dyDescent="0.3">
      <c r="A717" s="58" t="s">
        <v>1495</v>
      </c>
      <c r="B717" s="59" t="s">
        <v>1496</v>
      </c>
      <c r="C717" t="s">
        <v>36</v>
      </c>
      <c r="D717" t="s">
        <v>69</v>
      </c>
      <c r="E717" s="66">
        <v>12</v>
      </c>
      <c r="F717" s="66">
        <v>15</v>
      </c>
    </row>
    <row r="718" spans="1:6" ht="18.75" x14ac:dyDescent="0.3">
      <c r="A718" s="58" t="s">
        <v>1497</v>
      </c>
      <c r="B718" s="59" t="s">
        <v>1499</v>
      </c>
      <c r="C718" t="s">
        <v>36</v>
      </c>
      <c r="D718" t="s">
        <v>69</v>
      </c>
      <c r="E718" s="66">
        <v>4</v>
      </c>
      <c r="F718" s="66">
        <v>5</v>
      </c>
    </row>
    <row r="719" spans="1:6" ht="18.75" x14ac:dyDescent="0.3">
      <c r="A719" s="58" t="s">
        <v>1498</v>
      </c>
      <c r="B719" s="59" t="s">
        <v>1499</v>
      </c>
      <c r="C719" t="s">
        <v>36</v>
      </c>
      <c r="D719" t="s">
        <v>69</v>
      </c>
      <c r="E719" s="66">
        <v>4</v>
      </c>
      <c r="F719" s="66">
        <v>5</v>
      </c>
    </row>
    <row r="720" spans="1:6" ht="18.75" x14ac:dyDescent="0.3">
      <c r="A720" s="58" t="s">
        <v>1500</v>
      </c>
      <c r="B720" s="59" t="s">
        <v>1501</v>
      </c>
      <c r="C720" t="s">
        <v>36</v>
      </c>
      <c r="D720" t="s">
        <v>69</v>
      </c>
      <c r="E720" s="66">
        <v>4</v>
      </c>
      <c r="F720" s="66">
        <v>5</v>
      </c>
    </row>
    <row r="721" spans="1:6" ht="18.75" x14ac:dyDescent="0.3">
      <c r="A721" s="58" t="s">
        <v>1504</v>
      </c>
      <c r="B721" s="59" t="s">
        <v>1505</v>
      </c>
      <c r="C721" t="s">
        <v>36</v>
      </c>
      <c r="D721" t="s">
        <v>69</v>
      </c>
      <c r="E721" s="66">
        <v>16</v>
      </c>
      <c r="F721" s="66">
        <v>20</v>
      </c>
    </row>
    <row r="722" spans="1:6" ht="18.75" x14ac:dyDescent="0.3">
      <c r="A722" s="58" t="s">
        <v>1507</v>
      </c>
      <c r="B722" s="59" t="s">
        <v>1508</v>
      </c>
      <c r="C722" t="s">
        <v>36</v>
      </c>
      <c r="D722" t="s">
        <v>69</v>
      </c>
      <c r="E722" s="66">
        <v>12</v>
      </c>
      <c r="F722" s="66">
        <v>15</v>
      </c>
    </row>
    <row r="723" spans="1:6" ht="18.75" x14ac:dyDescent="0.3">
      <c r="A723" s="58" t="s">
        <v>1509</v>
      </c>
      <c r="B723" s="59" t="s">
        <v>1510</v>
      </c>
      <c r="C723" t="s">
        <v>36</v>
      </c>
      <c r="D723" t="s">
        <v>69</v>
      </c>
      <c r="E723" s="66">
        <v>12</v>
      </c>
      <c r="F723" s="66">
        <v>15</v>
      </c>
    </row>
    <row r="724" spans="1:6" ht="18.75" x14ac:dyDescent="0.3">
      <c r="A724" s="58" t="s">
        <v>1511</v>
      </c>
      <c r="B724" s="59" t="s">
        <v>1512</v>
      </c>
      <c r="C724" t="s">
        <v>36</v>
      </c>
      <c r="D724" t="s">
        <v>69</v>
      </c>
      <c r="E724" s="66">
        <v>10</v>
      </c>
      <c r="F724" s="66">
        <v>15</v>
      </c>
    </row>
    <row r="725" spans="1:6" ht="18.75" x14ac:dyDescent="0.3">
      <c r="A725" s="58">
        <v>7221060</v>
      </c>
      <c r="B725" s="59" t="s">
        <v>138</v>
      </c>
      <c r="C725" t="s">
        <v>36</v>
      </c>
      <c r="D725" t="s">
        <v>69</v>
      </c>
      <c r="E725" s="66">
        <v>1.8</v>
      </c>
      <c r="F725" s="66">
        <v>2.15</v>
      </c>
    </row>
    <row r="726" spans="1:6" ht="18.75" x14ac:dyDescent="0.3">
      <c r="A726" s="58">
        <v>7221060</v>
      </c>
      <c r="B726" s="59" t="s">
        <v>138</v>
      </c>
      <c r="C726" t="s">
        <v>36</v>
      </c>
      <c r="D726" t="s">
        <v>69</v>
      </c>
      <c r="E726" s="66">
        <v>1.8</v>
      </c>
      <c r="F726" s="66">
        <v>2.15</v>
      </c>
    </row>
    <row r="727" spans="1:6" ht="18.75" x14ac:dyDescent="0.3">
      <c r="A727" s="58">
        <v>7221060</v>
      </c>
      <c r="B727" s="59" t="s">
        <v>138</v>
      </c>
      <c r="C727" t="s">
        <v>36</v>
      </c>
      <c r="D727" t="s">
        <v>69</v>
      </c>
      <c r="E727" s="66">
        <v>1.8</v>
      </c>
      <c r="F727" s="66">
        <v>2.15</v>
      </c>
    </row>
    <row r="728" spans="1:6" ht="18.75" x14ac:dyDescent="0.3">
      <c r="A728" s="58">
        <v>7221060</v>
      </c>
      <c r="B728" s="59" t="s">
        <v>138</v>
      </c>
      <c r="C728" t="s">
        <v>36</v>
      </c>
      <c r="D728" t="s">
        <v>69</v>
      </c>
      <c r="E728" s="66">
        <v>1.8</v>
      </c>
      <c r="F728" s="66">
        <v>2.15</v>
      </c>
    </row>
    <row r="729" spans="1:6" ht="18.75" x14ac:dyDescent="0.3">
      <c r="A729" s="58">
        <v>7221060</v>
      </c>
      <c r="B729" s="59" t="s">
        <v>138</v>
      </c>
      <c r="C729" t="s">
        <v>36</v>
      </c>
      <c r="D729" t="s">
        <v>69</v>
      </c>
      <c r="E729" s="66">
        <v>1.8</v>
      </c>
      <c r="F729" s="66">
        <v>2.15</v>
      </c>
    </row>
    <row r="730" spans="1:6" ht="18.75" x14ac:dyDescent="0.3">
      <c r="A730" s="58">
        <v>7221060</v>
      </c>
      <c r="B730" s="59" t="s">
        <v>138</v>
      </c>
      <c r="C730" t="s">
        <v>36</v>
      </c>
      <c r="D730" t="s">
        <v>69</v>
      </c>
      <c r="E730" s="66">
        <v>1.8</v>
      </c>
      <c r="F730" s="66">
        <v>2.15</v>
      </c>
    </row>
    <row r="731" spans="1:6" ht="18.75" x14ac:dyDescent="0.3">
      <c r="A731" s="58">
        <v>7221060</v>
      </c>
      <c r="B731" s="59" t="s">
        <v>138</v>
      </c>
      <c r="C731" t="s">
        <v>36</v>
      </c>
      <c r="D731" t="s">
        <v>69</v>
      </c>
      <c r="E731" s="66">
        <v>1.8</v>
      </c>
      <c r="F731" s="66">
        <v>2.15</v>
      </c>
    </row>
    <row r="732" spans="1:6" ht="18.75" x14ac:dyDescent="0.3">
      <c r="A732" s="58">
        <v>7221060</v>
      </c>
      <c r="B732" s="59" t="s">
        <v>138</v>
      </c>
      <c r="C732" t="s">
        <v>36</v>
      </c>
      <c r="D732" t="s">
        <v>69</v>
      </c>
      <c r="E732" s="66">
        <v>1.8</v>
      </c>
      <c r="F732" s="66">
        <v>2.15</v>
      </c>
    </row>
    <row r="733" spans="1:6" ht="18.75" x14ac:dyDescent="0.3">
      <c r="A733" s="58">
        <v>7221060</v>
      </c>
      <c r="B733" s="59" t="s">
        <v>138</v>
      </c>
      <c r="C733" t="s">
        <v>36</v>
      </c>
      <c r="D733" t="s">
        <v>69</v>
      </c>
      <c r="E733" s="66">
        <v>1.8</v>
      </c>
      <c r="F733" s="66">
        <v>2.15</v>
      </c>
    </row>
    <row r="734" spans="1:6" ht="18.75" x14ac:dyDescent="0.3">
      <c r="A734" s="58">
        <v>7221060</v>
      </c>
      <c r="B734" s="59" t="s">
        <v>138</v>
      </c>
      <c r="C734" t="s">
        <v>36</v>
      </c>
      <c r="D734" t="s">
        <v>69</v>
      </c>
      <c r="E734" s="66">
        <v>1.8</v>
      </c>
      <c r="F734" s="66">
        <v>2.15</v>
      </c>
    </row>
    <row r="735" spans="1:6" ht="18.75" x14ac:dyDescent="0.3">
      <c r="A735" s="58">
        <v>7221060</v>
      </c>
      <c r="B735" s="59" t="s">
        <v>138</v>
      </c>
      <c r="C735" t="s">
        <v>36</v>
      </c>
      <c r="D735" t="s">
        <v>69</v>
      </c>
      <c r="E735" s="66">
        <v>1.8</v>
      </c>
      <c r="F735" s="66">
        <v>2.15</v>
      </c>
    </row>
    <row r="736" spans="1:6" ht="18.75" x14ac:dyDescent="0.3">
      <c r="A736" s="58">
        <v>7221060</v>
      </c>
      <c r="B736" s="59" t="s">
        <v>138</v>
      </c>
      <c r="C736" t="s">
        <v>36</v>
      </c>
      <c r="D736" t="s">
        <v>69</v>
      </c>
      <c r="E736" s="66">
        <v>1.8</v>
      </c>
      <c r="F736" s="66">
        <v>2.15</v>
      </c>
    </row>
    <row r="737" spans="1:6" ht="18.75" x14ac:dyDescent="0.3">
      <c r="A737" s="58">
        <v>7221060</v>
      </c>
      <c r="B737" s="59" t="s">
        <v>138</v>
      </c>
      <c r="C737" t="s">
        <v>36</v>
      </c>
      <c r="D737" t="s">
        <v>69</v>
      </c>
      <c r="E737" s="66">
        <v>1.8</v>
      </c>
      <c r="F737" s="66">
        <v>2.15</v>
      </c>
    </row>
    <row r="738" spans="1:6" ht="18.75" x14ac:dyDescent="0.3">
      <c r="A738" s="58">
        <v>7221060</v>
      </c>
      <c r="B738" s="59" t="s">
        <v>138</v>
      </c>
      <c r="C738" t="s">
        <v>36</v>
      </c>
      <c r="D738" t="s">
        <v>69</v>
      </c>
      <c r="E738" s="66">
        <v>1.8</v>
      </c>
      <c r="F738" s="66">
        <v>2.15</v>
      </c>
    </row>
    <row r="739" spans="1:6" ht="18.75" x14ac:dyDescent="0.3">
      <c r="A739" s="58">
        <v>7221060</v>
      </c>
      <c r="B739" s="59" t="s">
        <v>138</v>
      </c>
      <c r="C739" t="s">
        <v>36</v>
      </c>
      <c r="D739" t="s">
        <v>69</v>
      </c>
      <c r="E739" s="66">
        <v>1.8</v>
      </c>
      <c r="F739" s="66">
        <v>2.15</v>
      </c>
    </row>
    <row r="740" spans="1:6" ht="18.75" x14ac:dyDescent="0.3">
      <c r="A740" s="58">
        <v>7221060</v>
      </c>
      <c r="B740" s="59" t="s">
        <v>138</v>
      </c>
      <c r="C740" t="s">
        <v>36</v>
      </c>
      <c r="D740" t="s">
        <v>69</v>
      </c>
      <c r="E740" s="66">
        <v>1.8</v>
      </c>
      <c r="F740" s="66">
        <v>2.15</v>
      </c>
    </row>
    <row r="741" spans="1:6" ht="18.75" x14ac:dyDescent="0.3">
      <c r="A741" s="58">
        <v>7221060</v>
      </c>
      <c r="B741" s="59" t="s">
        <v>138</v>
      </c>
      <c r="C741" t="s">
        <v>36</v>
      </c>
      <c r="D741" t="s">
        <v>69</v>
      </c>
      <c r="E741" s="66">
        <v>1.8</v>
      </c>
      <c r="F741" s="66">
        <v>2.15</v>
      </c>
    </row>
    <row r="742" spans="1:6" ht="18.75" x14ac:dyDescent="0.3">
      <c r="A742" s="58">
        <v>7221060</v>
      </c>
      <c r="B742" s="59" t="s">
        <v>138</v>
      </c>
      <c r="C742" t="s">
        <v>36</v>
      </c>
      <c r="D742" t="s">
        <v>69</v>
      </c>
      <c r="E742" s="66">
        <v>1.8</v>
      </c>
      <c r="F742" s="66">
        <v>2.15</v>
      </c>
    </row>
    <row r="743" spans="1:6" ht="18.75" x14ac:dyDescent="0.3">
      <c r="A743" s="58">
        <v>7221060</v>
      </c>
      <c r="B743" s="59" t="s">
        <v>138</v>
      </c>
      <c r="C743" t="s">
        <v>36</v>
      </c>
      <c r="D743" t="s">
        <v>69</v>
      </c>
      <c r="E743" s="66">
        <v>1.8</v>
      </c>
      <c r="F743" s="66">
        <v>2.15</v>
      </c>
    </row>
    <row r="744" spans="1:6" ht="18.75" x14ac:dyDescent="0.3">
      <c r="A744" s="58">
        <v>7221060</v>
      </c>
      <c r="B744" s="59" t="s">
        <v>138</v>
      </c>
      <c r="C744" t="s">
        <v>36</v>
      </c>
      <c r="D744" t="s">
        <v>69</v>
      </c>
      <c r="E744" s="66">
        <v>1.8</v>
      </c>
      <c r="F744" s="66">
        <v>2.15</v>
      </c>
    </row>
    <row r="745" spans="1:6" ht="18.75" x14ac:dyDescent="0.3">
      <c r="A745" s="58">
        <v>7221060</v>
      </c>
      <c r="B745" s="59" t="s">
        <v>138</v>
      </c>
      <c r="C745" t="s">
        <v>36</v>
      </c>
      <c r="D745" t="s">
        <v>69</v>
      </c>
      <c r="E745" s="66">
        <v>1.8</v>
      </c>
      <c r="F745" s="66">
        <v>2.15</v>
      </c>
    </row>
    <row r="746" spans="1:6" ht="18.75" x14ac:dyDescent="0.3">
      <c r="A746" s="58">
        <v>7221060</v>
      </c>
      <c r="B746" s="59" t="s">
        <v>138</v>
      </c>
      <c r="C746" t="s">
        <v>36</v>
      </c>
      <c r="D746" t="s">
        <v>69</v>
      </c>
      <c r="E746" s="66">
        <v>1.8</v>
      </c>
      <c r="F746" s="66">
        <v>2.15</v>
      </c>
    </row>
    <row r="747" spans="1:6" ht="18.75" x14ac:dyDescent="0.3">
      <c r="A747" s="58">
        <v>7221060</v>
      </c>
      <c r="B747" s="59" t="s">
        <v>138</v>
      </c>
      <c r="C747" t="s">
        <v>36</v>
      </c>
      <c r="D747" t="s">
        <v>69</v>
      </c>
      <c r="E747" s="66">
        <v>1.8</v>
      </c>
      <c r="F747" s="66">
        <v>2.15</v>
      </c>
    </row>
    <row r="748" spans="1:6" ht="18.75" x14ac:dyDescent="0.3">
      <c r="A748" s="58">
        <v>7221060</v>
      </c>
      <c r="B748" s="59" t="s">
        <v>138</v>
      </c>
      <c r="C748" t="s">
        <v>36</v>
      </c>
      <c r="D748" t="s">
        <v>69</v>
      </c>
      <c r="E748" s="66">
        <v>1.8</v>
      </c>
      <c r="F748" s="66">
        <v>2.15</v>
      </c>
    </row>
    <row r="749" spans="1:6" ht="18.75" x14ac:dyDescent="0.3">
      <c r="A749" s="58">
        <v>7221060</v>
      </c>
      <c r="B749" s="59" t="s">
        <v>138</v>
      </c>
      <c r="C749" t="s">
        <v>36</v>
      </c>
      <c r="D749" t="s">
        <v>69</v>
      </c>
      <c r="E749" s="66">
        <v>1.8</v>
      </c>
      <c r="F749" s="66">
        <v>2.15</v>
      </c>
    </row>
    <row r="750" spans="1:6" ht="18.75" x14ac:dyDescent="0.3">
      <c r="A750" s="58">
        <v>7221060</v>
      </c>
      <c r="B750" s="59" t="s">
        <v>138</v>
      </c>
      <c r="C750" t="s">
        <v>36</v>
      </c>
      <c r="D750" t="s">
        <v>69</v>
      </c>
      <c r="E750" s="66">
        <v>1.8</v>
      </c>
      <c r="F750" s="66">
        <v>2.15</v>
      </c>
    </row>
    <row r="751" spans="1:6" ht="18.75" x14ac:dyDescent="0.3">
      <c r="A751" s="58">
        <v>7221060</v>
      </c>
      <c r="B751" s="59" t="s">
        <v>138</v>
      </c>
      <c r="C751" t="s">
        <v>36</v>
      </c>
      <c r="D751" t="s">
        <v>69</v>
      </c>
      <c r="E751" s="66">
        <v>1.8</v>
      </c>
      <c r="F751" s="66">
        <v>2.15</v>
      </c>
    </row>
    <row r="752" spans="1:6" ht="18.75" x14ac:dyDescent="0.3">
      <c r="A752" s="58">
        <v>7221060</v>
      </c>
      <c r="B752" s="59" t="s">
        <v>138</v>
      </c>
      <c r="C752" t="s">
        <v>36</v>
      </c>
      <c r="D752" t="s">
        <v>69</v>
      </c>
      <c r="E752" s="66">
        <v>1.8</v>
      </c>
      <c r="F752" s="66">
        <v>2.15</v>
      </c>
    </row>
    <row r="753" spans="1:6" ht="18.75" x14ac:dyDescent="0.3">
      <c r="A753" s="58">
        <v>7221060</v>
      </c>
      <c r="B753" s="59" t="s">
        <v>138</v>
      </c>
      <c r="C753" t="s">
        <v>36</v>
      </c>
      <c r="D753" t="s">
        <v>69</v>
      </c>
      <c r="E753" s="66">
        <v>1.8</v>
      </c>
      <c r="F753" s="66">
        <v>2.15</v>
      </c>
    </row>
    <row r="754" spans="1:6" ht="18.75" x14ac:dyDescent="0.3">
      <c r="A754" s="58">
        <v>7221060</v>
      </c>
      <c r="B754" s="59" t="s">
        <v>138</v>
      </c>
      <c r="C754" t="s">
        <v>36</v>
      </c>
      <c r="D754" t="s">
        <v>69</v>
      </c>
      <c r="E754" s="66">
        <v>1.8</v>
      </c>
      <c r="F754" s="66">
        <v>2.15</v>
      </c>
    </row>
    <row r="755" spans="1:6" ht="18.75" x14ac:dyDescent="0.3">
      <c r="A755" s="58">
        <v>7221060</v>
      </c>
      <c r="B755" s="59" t="s">
        <v>138</v>
      </c>
      <c r="C755" t="s">
        <v>36</v>
      </c>
      <c r="D755" t="s">
        <v>69</v>
      </c>
      <c r="E755" s="66">
        <v>1.8</v>
      </c>
      <c r="F755" s="66">
        <v>2.15</v>
      </c>
    </row>
    <row r="756" spans="1:6" ht="18.75" x14ac:dyDescent="0.3">
      <c r="A756" s="58">
        <v>7221060</v>
      </c>
      <c r="B756" s="59" t="s">
        <v>138</v>
      </c>
      <c r="C756" t="s">
        <v>36</v>
      </c>
      <c r="D756" t="s">
        <v>69</v>
      </c>
      <c r="E756" s="66">
        <v>1.8</v>
      </c>
      <c r="F756" s="66">
        <v>2.15</v>
      </c>
    </row>
    <row r="757" spans="1:6" ht="18.75" x14ac:dyDescent="0.3">
      <c r="A757" s="58">
        <v>7221060</v>
      </c>
      <c r="B757" s="59" t="s">
        <v>138</v>
      </c>
      <c r="C757" t="s">
        <v>36</v>
      </c>
      <c r="D757" t="s">
        <v>69</v>
      </c>
      <c r="E757" s="66">
        <v>1.8</v>
      </c>
      <c r="F757" s="66">
        <v>2.15</v>
      </c>
    </row>
    <row r="758" spans="1:6" ht="18.75" x14ac:dyDescent="0.3">
      <c r="A758" s="58">
        <v>7221060</v>
      </c>
      <c r="B758" s="59" t="s">
        <v>138</v>
      </c>
      <c r="C758" t="s">
        <v>36</v>
      </c>
      <c r="D758" t="s">
        <v>69</v>
      </c>
      <c r="E758" s="66">
        <v>1.8</v>
      </c>
      <c r="F758" s="66">
        <v>2.15</v>
      </c>
    </row>
    <row r="759" spans="1:6" ht="18.75" x14ac:dyDescent="0.3">
      <c r="A759" s="58">
        <v>7221060</v>
      </c>
      <c r="B759" s="59" t="s">
        <v>138</v>
      </c>
      <c r="C759" t="s">
        <v>36</v>
      </c>
      <c r="D759" t="s">
        <v>69</v>
      </c>
      <c r="E759" s="66">
        <v>1.8</v>
      </c>
      <c r="F759" s="66">
        <v>2.15</v>
      </c>
    </row>
    <row r="760" spans="1:6" ht="18.75" x14ac:dyDescent="0.3">
      <c r="A760" s="58">
        <v>7221060</v>
      </c>
      <c r="B760" s="59" t="s">
        <v>138</v>
      </c>
      <c r="C760" t="s">
        <v>36</v>
      </c>
      <c r="D760" t="s">
        <v>69</v>
      </c>
      <c r="E760" s="66">
        <v>1.8</v>
      </c>
      <c r="F760" s="66">
        <v>2.15</v>
      </c>
    </row>
    <row r="761" spans="1:6" ht="18.75" x14ac:dyDescent="0.3">
      <c r="A761" s="58">
        <v>7221060</v>
      </c>
      <c r="B761" s="59" t="s">
        <v>138</v>
      </c>
      <c r="C761" t="s">
        <v>36</v>
      </c>
      <c r="D761" t="s">
        <v>69</v>
      </c>
      <c r="E761" s="66">
        <v>1.8</v>
      </c>
      <c r="F761" s="66">
        <v>2.15</v>
      </c>
    </row>
    <row r="762" spans="1:6" ht="18.75" x14ac:dyDescent="0.3">
      <c r="A762" s="58">
        <v>7221060</v>
      </c>
      <c r="B762" s="59" t="s">
        <v>138</v>
      </c>
      <c r="C762" t="s">
        <v>36</v>
      </c>
      <c r="D762" t="s">
        <v>69</v>
      </c>
      <c r="E762" s="66">
        <v>1.8</v>
      </c>
      <c r="F762" s="66">
        <v>2.15</v>
      </c>
    </row>
    <row r="763" spans="1:6" ht="18.75" x14ac:dyDescent="0.3">
      <c r="A763" s="58">
        <v>7221060</v>
      </c>
      <c r="B763" s="59" t="s">
        <v>138</v>
      </c>
      <c r="C763" t="s">
        <v>36</v>
      </c>
      <c r="D763" t="s">
        <v>69</v>
      </c>
      <c r="E763" s="66">
        <v>1.8</v>
      </c>
      <c r="F763" s="66">
        <v>2.15</v>
      </c>
    </row>
    <row r="764" spans="1:6" ht="18.75" x14ac:dyDescent="0.3">
      <c r="A764" s="58">
        <v>7221060</v>
      </c>
      <c r="B764" s="59" t="s">
        <v>138</v>
      </c>
      <c r="C764" t="s">
        <v>36</v>
      </c>
      <c r="D764" t="s">
        <v>69</v>
      </c>
      <c r="E764" s="66">
        <v>1.8</v>
      </c>
      <c r="F764" s="66">
        <v>2.15</v>
      </c>
    </row>
    <row r="765" spans="1:6" ht="18.75" x14ac:dyDescent="0.3">
      <c r="A765" s="58">
        <v>7221060</v>
      </c>
      <c r="B765" s="59" t="s">
        <v>138</v>
      </c>
      <c r="C765" t="s">
        <v>36</v>
      </c>
      <c r="D765" t="s">
        <v>69</v>
      </c>
      <c r="E765" s="66">
        <v>1.8</v>
      </c>
      <c r="F765" s="66">
        <v>2.15</v>
      </c>
    </row>
    <row r="766" spans="1:6" ht="18.75" x14ac:dyDescent="0.3">
      <c r="A766" s="58">
        <v>7221060</v>
      </c>
      <c r="B766" s="59" t="s">
        <v>138</v>
      </c>
      <c r="C766" t="s">
        <v>36</v>
      </c>
      <c r="D766" t="s">
        <v>69</v>
      </c>
      <c r="E766" s="66">
        <v>1.8</v>
      </c>
      <c r="F766" s="66">
        <v>2.15</v>
      </c>
    </row>
    <row r="767" spans="1:6" ht="18.75" x14ac:dyDescent="0.3">
      <c r="A767" s="58">
        <v>7221060</v>
      </c>
      <c r="B767" s="59" t="s">
        <v>138</v>
      </c>
      <c r="C767" t="s">
        <v>36</v>
      </c>
      <c r="D767" t="s">
        <v>69</v>
      </c>
      <c r="E767" s="66">
        <v>1.8</v>
      </c>
      <c r="F767" s="66">
        <v>2.15</v>
      </c>
    </row>
    <row r="768" spans="1:6" x14ac:dyDescent="0.25">
      <c r="A768">
        <v>5037875</v>
      </c>
      <c r="B768" t="s">
        <v>162</v>
      </c>
      <c r="C768" t="s">
        <v>37</v>
      </c>
      <c r="D768" t="s">
        <v>119</v>
      </c>
      <c r="E768" s="66">
        <v>1.38</v>
      </c>
      <c r="F768" s="66">
        <v>3.8</v>
      </c>
    </row>
    <row r="769" spans="1:6" x14ac:dyDescent="0.25">
      <c r="A769">
        <v>5245337</v>
      </c>
      <c r="B769" t="s">
        <v>163</v>
      </c>
      <c r="C769" t="s">
        <v>37</v>
      </c>
      <c r="D769" t="s">
        <v>78</v>
      </c>
      <c r="E769" s="66">
        <v>1.97</v>
      </c>
      <c r="F769" s="66">
        <v>3.68</v>
      </c>
    </row>
    <row r="770" spans="1:6" x14ac:dyDescent="0.25">
      <c r="A770">
        <v>3653694</v>
      </c>
      <c r="B770" t="s">
        <v>164</v>
      </c>
      <c r="C770" t="s">
        <v>37</v>
      </c>
      <c r="D770" t="s">
        <v>78</v>
      </c>
      <c r="E770" s="66">
        <v>1.48</v>
      </c>
      <c r="F770" s="66">
        <v>3.78</v>
      </c>
    </row>
    <row r="771" spans="1:6" x14ac:dyDescent="0.25">
      <c r="A771">
        <v>3391005</v>
      </c>
      <c r="B771" t="s">
        <v>165</v>
      </c>
      <c r="C771" t="s">
        <v>37</v>
      </c>
      <c r="D771" t="s">
        <v>78</v>
      </c>
      <c r="E771" s="66">
        <v>1.07</v>
      </c>
      <c r="F771" s="66">
        <v>2.0099999999999998</v>
      </c>
    </row>
    <row r="772" spans="1:6" x14ac:dyDescent="0.25">
      <c r="A772">
        <v>3322895</v>
      </c>
      <c r="B772" t="s">
        <v>166</v>
      </c>
      <c r="C772" t="s">
        <v>37</v>
      </c>
      <c r="D772" t="s">
        <v>78</v>
      </c>
      <c r="E772" s="66">
        <v>1.18</v>
      </c>
      <c r="F772" s="66">
        <v>3.32</v>
      </c>
    </row>
  </sheetData>
  <mergeCells count="3">
    <mergeCell ref="A1:F1"/>
    <mergeCell ref="J1:K1"/>
    <mergeCell ref="N1:O1"/>
  </mergeCells>
  <dataValidations count="5">
    <dataValidation type="list" allowBlank="1" showInputMessage="1" showErrorMessage="1" sqref="D34 D3">
      <formula1>Subcategory1</formula1>
    </dataValidation>
    <dataValidation type="list" allowBlank="1" showInputMessage="1" showErrorMessage="1" sqref="D578">
      <formula1>Subcategory6</formula1>
    </dataValidation>
    <dataValidation type="list" allowBlank="1" showInputMessage="1" showErrorMessage="1" sqref="D705 C3:C50000">
      <formula1>Categories</formula1>
    </dataValidation>
    <dataValidation type="list" allowBlank="1" showInputMessage="1" showErrorMessage="1" sqref="D5">
      <formula1>Subcategory2</formula1>
    </dataValidation>
    <dataValidation type="list" allowBlank="1" showInputMessage="1" showErrorMessage="1" sqref="D652">
      <formula1>Subcategory3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sers"/>
  <dimension ref="A1:C52"/>
  <sheetViews>
    <sheetView workbookViewId="0">
      <selection activeCell="B4" sqref="B4"/>
    </sheetView>
  </sheetViews>
  <sheetFormatPr defaultRowHeight="15" x14ac:dyDescent="0.25"/>
  <cols>
    <col min="2" max="2" width="12.85546875" bestFit="1" customWidth="1"/>
  </cols>
  <sheetData>
    <row r="1" spans="1:3" x14ac:dyDescent="0.25">
      <c r="A1" s="126" t="s">
        <v>153</v>
      </c>
      <c r="B1" s="126"/>
      <c r="C1" s="126"/>
    </row>
    <row r="2" spans="1:3" x14ac:dyDescent="0.25">
      <c r="A2" s="20" t="s">
        <v>13</v>
      </c>
      <c r="B2" s="20" t="s">
        <v>150</v>
      </c>
      <c r="C2" s="20" t="s">
        <v>154</v>
      </c>
    </row>
    <row r="3" spans="1:3" x14ac:dyDescent="0.25">
      <c r="A3" s="6">
        <v>1</v>
      </c>
      <c r="B3" t="s">
        <v>151</v>
      </c>
      <c r="C3" t="s">
        <v>145</v>
      </c>
    </row>
    <row r="4" spans="1:3" x14ac:dyDescent="0.25">
      <c r="A4" s="6">
        <v>2</v>
      </c>
      <c r="B4" t="s">
        <v>152</v>
      </c>
      <c r="C4" t="s">
        <v>146</v>
      </c>
    </row>
    <row r="5" spans="1:3" x14ac:dyDescent="0.25">
      <c r="A5" s="6">
        <v>3</v>
      </c>
      <c r="B5" t="s">
        <v>178</v>
      </c>
      <c r="C5" t="s">
        <v>147</v>
      </c>
    </row>
    <row r="6" spans="1:3" x14ac:dyDescent="0.25">
      <c r="A6" s="6"/>
    </row>
    <row r="7" spans="1:3" x14ac:dyDescent="0.25">
      <c r="A7" s="6"/>
    </row>
    <row r="8" spans="1:3" x14ac:dyDescent="0.25">
      <c r="A8" s="6"/>
    </row>
    <row r="9" spans="1:3" x14ac:dyDescent="0.25">
      <c r="A9" s="6"/>
    </row>
    <row r="10" spans="1:3" x14ac:dyDescent="0.25">
      <c r="A10" s="6"/>
    </row>
    <row r="11" spans="1:3" x14ac:dyDescent="0.25">
      <c r="A11" s="6"/>
    </row>
    <row r="12" spans="1:3" x14ac:dyDescent="0.25">
      <c r="A12" s="6"/>
    </row>
    <row r="13" spans="1:3" x14ac:dyDescent="0.25">
      <c r="A13" s="6"/>
    </row>
    <row r="14" spans="1:3" x14ac:dyDescent="0.25">
      <c r="A14" s="6"/>
    </row>
    <row r="15" spans="1:3" x14ac:dyDescent="0.25">
      <c r="A15" s="6"/>
    </row>
    <row r="16" spans="1:3" x14ac:dyDescent="0.25">
      <c r="A16" s="6"/>
    </row>
    <row r="17" spans="1:1" x14ac:dyDescent="0.25">
      <c r="A17" s="6"/>
    </row>
    <row r="18" spans="1:1" x14ac:dyDescent="0.25">
      <c r="A18" s="6"/>
    </row>
    <row r="19" spans="1:1" x14ac:dyDescent="0.25">
      <c r="A19" s="6"/>
    </row>
    <row r="20" spans="1:1" x14ac:dyDescent="0.25">
      <c r="A20" s="6"/>
    </row>
    <row r="21" spans="1:1" x14ac:dyDescent="0.25">
      <c r="A21" s="6"/>
    </row>
    <row r="22" spans="1:1" x14ac:dyDescent="0.25">
      <c r="A22" s="6"/>
    </row>
    <row r="23" spans="1:1" x14ac:dyDescent="0.25">
      <c r="A23" s="6"/>
    </row>
    <row r="24" spans="1:1" x14ac:dyDescent="0.25">
      <c r="A24" s="6"/>
    </row>
    <row r="25" spans="1:1" x14ac:dyDescent="0.25">
      <c r="A25" s="6"/>
    </row>
    <row r="26" spans="1:1" x14ac:dyDescent="0.25">
      <c r="A26" s="6"/>
    </row>
    <row r="27" spans="1:1" x14ac:dyDescent="0.25">
      <c r="A27" s="6"/>
    </row>
    <row r="28" spans="1:1" x14ac:dyDescent="0.25">
      <c r="A28" s="6"/>
    </row>
    <row r="29" spans="1:1" x14ac:dyDescent="0.25">
      <c r="A29" s="6"/>
    </row>
    <row r="30" spans="1:1" x14ac:dyDescent="0.25">
      <c r="A30" s="6"/>
    </row>
    <row r="31" spans="1:1" x14ac:dyDescent="0.25">
      <c r="A31" s="6"/>
    </row>
    <row r="32" spans="1:1" x14ac:dyDescent="0.25">
      <c r="A32" s="6"/>
    </row>
    <row r="33" spans="1:1" x14ac:dyDescent="0.25">
      <c r="A33" s="6"/>
    </row>
    <row r="34" spans="1:1" x14ac:dyDescent="0.25">
      <c r="A34" s="6"/>
    </row>
    <row r="35" spans="1:1" x14ac:dyDescent="0.25">
      <c r="A35" s="6"/>
    </row>
    <row r="36" spans="1:1" x14ac:dyDescent="0.25">
      <c r="A36" s="6"/>
    </row>
    <row r="37" spans="1:1" x14ac:dyDescent="0.25">
      <c r="A37" s="6"/>
    </row>
    <row r="38" spans="1:1" x14ac:dyDescent="0.25">
      <c r="A38" s="6"/>
    </row>
    <row r="39" spans="1:1" x14ac:dyDescent="0.25">
      <c r="A39" s="6"/>
    </row>
    <row r="40" spans="1:1" x14ac:dyDescent="0.25">
      <c r="A40" s="6"/>
    </row>
    <row r="41" spans="1:1" x14ac:dyDescent="0.25">
      <c r="A41" s="6"/>
    </row>
    <row r="42" spans="1:1" x14ac:dyDescent="0.25">
      <c r="A42" s="6"/>
    </row>
    <row r="43" spans="1:1" x14ac:dyDescent="0.25">
      <c r="A43" s="6"/>
    </row>
    <row r="44" spans="1:1" x14ac:dyDescent="0.25">
      <c r="A44" s="6"/>
    </row>
    <row r="45" spans="1:1" x14ac:dyDescent="0.25">
      <c r="A45" s="6"/>
    </row>
    <row r="46" spans="1:1" x14ac:dyDescent="0.25">
      <c r="A46" s="6"/>
    </row>
    <row r="47" spans="1:1" x14ac:dyDescent="0.25">
      <c r="A47" s="6"/>
    </row>
    <row r="48" spans="1:1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</sheetData>
  <mergeCells count="1">
    <mergeCell ref="A1:C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Admin</vt:lpstr>
      <vt:lpstr>POS</vt:lpstr>
      <vt:lpstr>Orders</vt:lpstr>
      <vt:lpstr>OrderItems</vt:lpstr>
      <vt:lpstr>Customers</vt:lpstr>
      <vt:lpstr>Vendors</vt:lpstr>
      <vt:lpstr>Products</vt:lpstr>
      <vt:lpstr>Users</vt:lpstr>
      <vt:lpstr>Barcode</vt:lpstr>
      <vt:lpstr>Categories</vt:lpstr>
      <vt:lpstr>OrderItems!Criteria</vt:lpstr>
      <vt:lpstr>Orders!Criteria</vt:lpstr>
      <vt:lpstr>Products!Criteria</vt:lpstr>
      <vt:lpstr>Customers!Extract</vt:lpstr>
      <vt:lpstr>OrderItems!Extract</vt:lpstr>
      <vt:lpstr>Orders!Extract</vt:lpstr>
      <vt:lpstr>Products!Extract</vt:lpstr>
      <vt:lpstr>Vendors!Extract</vt:lpstr>
      <vt:lpstr>FooterMsg</vt:lpstr>
      <vt:lpstr>p</vt:lpstr>
      <vt:lpstr>POS!Print_Area</vt:lpstr>
      <vt:lpstr>Subcategory1</vt:lpstr>
      <vt:lpstr>Subcategory2</vt:lpstr>
      <vt:lpstr>Subcategory3</vt:lpstr>
      <vt:lpstr>Subcategory4</vt:lpstr>
      <vt:lpstr>Subcategory5</vt:lpstr>
      <vt:lpstr>Subcategory6</vt:lpstr>
      <vt:lpstr>TaxName</vt:lpstr>
      <vt:lpstr>TaxRate</vt:lpstr>
      <vt:lpstr>نام_کالا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AHJ2000</cp:lastModifiedBy>
  <cp:lastPrinted>2025-03-25T13:45:23Z</cp:lastPrinted>
  <dcterms:created xsi:type="dcterms:W3CDTF">2021-07-04T05:03:30Z</dcterms:created>
  <dcterms:modified xsi:type="dcterms:W3CDTF">2025-03-28T15:23:40Z</dcterms:modified>
</cp:coreProperties>
</file>
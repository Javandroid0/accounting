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2.xml.rels" ContentType="application/vnd.openxmlformats-package.relationships+xml"/>
  <Override PartName="/xl/worksheets/sheet8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_rels/workbook.xml.rels" ContentType="application/vnd.openxmlformats-package.relationships+xml"/>
  <Override PartName="/xl/media/image13.png" ContentType="image/png"/>
  <Override PartName="/xl/media/image4.png" ContentType="image/png"/>
  <Override PartName="/xl/media/image9.png" ContentType="image/png"/>
  <Override PartName="/xl/media/image18.png" ContentType="image/png"/>
  <Override PartName="/xl/media/image20.png" ContentType="image/png"/>
  <Override PartName="/xl/media/image12.png" ContentType="image/png"/>
  <Override PartName="/xl/media/image3.png" ContentType="image/png"/>
  <Override PartName="/xl/media/image21.png" ContentType="image/png"/>
  <Override PartName="/xl/media/image19.png" ContentType="image/png"/>
  <Override PartName="/xl/media/image5.png" ContentType="image/png"/>
  <Override PartName="/xl/media/image14.png" ContentType="image/png"/>
  <Override PartName="/xl/media/image15.png" ContentType="image/png"/>
  <Override PartName="/xl/media/image6.png" ContentType="image/png"/>
  <Override PartName="/xl/media/image10.png" ContentType="image/png"/>
  <Override PartName="/xl/media/image1.png" ContentType="image/png"/>
  <Override PartName="/xl/media/image16.png" ContentType="image/png"/>
  <Override PartName="/xl/media/image7.png" ContentType="image/png"/>
  <Override PartName="/xl/media/image2.png" ContentType="image/png"/>
  <Override PartName="/xl/media/image11.png" ContentType="image/png"/>
  <Override PartName="/xl/media/image8.png" ContentType="image/png"/>
  <Override PartName="/xl/media/image17.png" ContentType="image/p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Admin" sheetId="1" state="visible" r:id="rId4"/>
    <sheet name="POS" sheetId="2" state="visible" r:id="rId5"/>
    <sheet name="Orders" sheetId="3" state="visible" r:id="rId6"/>
    <sheet name="OrderItems" sheetId="4" state="visible" r:id="rId7"/>
    <sheet name="Customers" sheetId="5" state="visible" r:id="rId8"/>
    <sheet name="Vendors" sheetId="6" state="visible" r:id="rId9"/>
    <sheet name="Products" sheetId="7" state="visible" r:id="rId10"/>
    <sheet name="Users" sheetId="8" state="visible" r:id="rId11"/>
  </sheets>
  <definedNames>
    <definedName function="false" hidden="false" localSheetId="1" name="_xlnm.Print_Area" vbProcedure="false">POS!$I$6:$O$20</definedName>
    <definedName function="false" hidden="false" name="Barcode" vbProcedure="false">POS!$J$5</definedName>
    <definedName function="false" hidden="false" name="Categories" vbProcedure="false">Admin!$D$4:$I$4</definedName>
    <definedName function="false" hidden="false" name="Customer_ID" vbProcedure="false">OFFSET(Customers!$A$2,1,,COUNTA(Customers!$A$2:$A$9999)-1,1)</definedName>
    <definedName function="false" hidden="false" name="Customer_Name" vbProcedure="false">OFFSET(Customers!$B$2,1,,COUNTA(Customers!$B$2:$B$9999)-1,1)</definedName>
    <definedName function="false" hidden="false" name="Customer_NamesSorted" vbProcedure="false">OFFSET(Customers!$G$2,1,,COUNTA(Customers!$G$2:$G$9999)-1,1)</definedName>
    <definedName function="false" hidden="false" name="FooterMsg" vbProcedure="false">Admin!$L$5</definedName>
    <definedName function="false" hidden="false" name="LogoutBtn" vbProcedure="false">"FooterGrp,Group 1032"</definedName>
    <definedName function="false" hidden="false" name="OrderItems_Qty" vbProcedure="false">OFFSET(OrderItems!$F$2,1,,COUNTA(OrderItems!$A$2:$A$99999)-1,1)</definedName>
    <definedName function="false" hidden="false" name="OrderItems_SKU" vbProcedure="false">OFFSET(OrderItems!$D$2,1,,COUNTA(OrderItems!$A$2:$A$99999)-1,1)</definedName>
    <definedName function="false" hidden="false" name="OrderItems_Type" vbProcedure="false">OFFSET(OrderItems!$B$2,1,,COUNTA(OrderItems!$A$2:$A$99999)-1,1)</definedName>
    <definedName function="false" hidden="false" name="Order_ID" vbProcedure="false">OFFSET(Orders!$A$2,1,,COUNTA(Orders!$A$2:$A$9999)-1,1)</definedName>
    <definedName function="false" hidden="false" name="p" vbProcedure="false">POS!$J$5</definedName>
    <definedName function="false" hidden="false" name="Prod_SKU" vbProcedure="false">OFFSET(Products!$A$2,1,,COUNTA(Products!$A$2:$A$9999)-1,1)</definedName>
    <definedName function="false" hidden="false" name="Subcategory1" vbProcedure="false">Admin!$D$5:$D$16</definedName>
    <definedName function="false" hidden="false" name="Subcategory2" vbProcedure="false">Admin!$E$5:$E$16</definedName>
    <definedName function="false" hidden="false" name="Subcategory3" vbProcedure="false">Admin!$F$5:$F$16</definedName>
    <definedName function="false" hidden="false" name="Subcategory4" vbProcedure="false">Admin!$G$5:$G$16</definedName>
    <definedName function="false" hidden="false" name="Subcategory5" vbProcedure="false">Admin!$H$5:$H$16</definedName>
    <definedName function="false" hidden="false" name="Subcategory6" vbProcedure="false">Admin!$I$5:$I$16</definedName>
    <definedName function="false" hidden="false" name="TaxName" vbProcedure="false">Admin!$L$3</definedName>
    <definedName function="false" hidden="false" name="TaxRate" vbProcedure="false">Admin!$L$4</definedName>
    <definedName function="false" hidden="false" name="User_ID" vbProcedure="false">OFFSET(Users!$A$2,1,,COUNTA(Users!$A$2:$A$9999)-1,1)</definedName>
    <definedName function="false" hidden="false" name="User_Names" vbProcedure="false">OFFSET(Users!$B$2,1,,COUNTA(Users!$B$2:$B$9999)-1,1)</definedName>
    <definedName function="false" hidden="false" name="User_Role" vbProcedure="false">OFFSET(Users!$C$2,1,,COUNTA(Users!$A$2:$A$9999)-1,1)</definedName>
    <definedName function="false" hidden="false" name="Vendor_ID" vbProcedure="false">OFFSET(Vendors!$A$2,1,,COUNTA(Vendors!$A$2:$A$9999)-1,1)</definedName>
    <definedName function="false" hidden="false" name="Vendor_Name" vbProcedure="false">OFFSET(Vendors!$B$2,1,,COUNTA(Vendors!$B$2:$B$9999)-1,1)</definedName>
    <definedName function="false" hidden="false" name="Vendor_NamesSorted" vbProcedure="false">OFFSET(Vendors!$G$2,1,,COUNTA(Vendors!$G$2:$G$9999)-1,1)</definedName>
    <definedName function="false" hidden="false" name="نام_کالا" vbProcedure="false">POS!$J$6</definedName>
    <definedName function="false" hidden="false" localSheetId="2" name="_xlnm.Criteria" vbProcedure="false">Orders!$O$158:$P$159</definedName>
    <definedName function="false" hidden="false" localSheetId="2" name="_xlnm.Extract" vbProcedure="false">Orders!$O$2:$Q$2</definedName>
    <definedName function="false" hidden="false" localSheetId="3" name="_xlnm.Criteria" vbProcedure="false">OrderItems!$V$768:$W$769</definedName>
    <definedName function="false" hidden="false" localSheetId="3" name="_xlnm.Extract" vbProcedure="false">OrderItems!$Q$2:$W$2</definedName>
    <definedName function="false" hidden="false" localSheetId="4" name="_xlnm.Extract" vbProcedure="false">Customers!$M$4</definedName>
    <definedName function="false" hidden="false" localSheetId="5" name="_xlnm.Extract" vbProcedure="false">Vendors!$G$2</definedName>
    <definedName function="false" hidden="false" localSheetId="6" name="_xlnm.Criteria" vbProcedure="false">Products!$H$2:$I$3</definedName>
    <definedName function="false" hidden="false" localSheetId="6" name="_xlnm.Extract" vbProcedure="false">Products!$L$2:$M$2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<sst xmlns="http://schemas.openxmlformats.org/spreadsheetml/2006/main" count="4372" uniqueCount="1525">
  <si>
    <t xml:space="preserve">ADMIN</t>
  </si>
  <si>
    <t xml:space="preserve">Food Categories &amp; Subcategories</t>
  </si>
  <si>
    <t xml:space="preserve">Application Defaults</t>
  </si>
  <si>
    <t xml:space="preserve">Icons</t>
  </si>
  <si>
    <t xml:space="preserve">Drinks.png</t>
  </si>
  <si>
    <t xml:space="preserve">Bread.png</t>
  </si>
  <si>
    <t xml:space="preserve">Meat.png</t>
  </si>
  <si>
    <t xml:space="preserve">Cheese.png</t>
  </si>
  <si>
    <t xml:space="preserve">Ice-Cream.png</t>
  </si>
  <si>
    <t xml:space="preserve">Cherry.png</t>
  </si>
  <si>
    <t xml:space="preserve">Tax Name</t>
  </si>
  <si>
    <t xml:space="preserve">Tax</t>
  </si>
  <si>
    <t xml:space="preserve">Categories</t>
  </si>
  <si>
    <t xml:space="preserve">Non Barcodes</t>
  </si>
  <si>
    <t xml:space="preserve">Drinks &amp; Beverages</t>
  </si>
  <si>
    <t xml:space="preserve">Meats &amp; Seafood</t>
  </si>
  <si>
    <t xml:space="preserve">Dairy &amp; Eggs</t>
  </si>
  <si>
    <t xml:space="preserve">Frozen Food</t>
  </si>
  <si>
    <t xml:space="preserve">Fruits &amp; Vegetables</t>
  </si>
  <si>
    <t xml:space="preserve">Tax Rate</t>
  </si>
  <si>
    <t xml:space="preserve">Subcategories</t>
  </si>
  <si>
    <t xml:space="preserve">kilos</t>
  </si>
  <si>
    <t xml:space="preserve">Soda</t>
  </si>
  <si>
    <t xml:space="preserve">Steak</t>
  </si>
  <si>
    <t xml:space="preserve">Eggs</t>
  </si>
  <si>
    <t xml:space="preserve">Vegetables</t>
  </si>
  <si>
    <t xml:space="preserve">Berries</t>
  </si>
  <si>
    <t xml:space="preserve">Footer Message</t>
  </si>
  <si>
    <t xml:space="preserve">Thank You For Your Business</t>
  </si>
  <si>
    <t xml:space="preserve">packages</t>
  </si>
  <si>
    <t xml:space="preserve">cigar</t>
  </si>
  <si>
    <t xml:space="preserve">Beef</t>
  </si>
  <si>
    <t xml:space="preserve">Cheese</t>
  </si>
  <si>
    <t xml:space="preserve">Fruit</t>
  </si>
  <si>
    <t xml:space="preserve">Stone Fruits</t>
  </si>
  <si>
    <t xml:space="preserve">Order Status</t>
  </si>
  <si>
    <t xml:space="preserve">User Rights &amp; Roles</t>
  </si>
  <si>
    <t xml:space="preserve">Torsh</t>
  </si>
  <si>
    <t xml:space="preserve">Beer</t>
  </si>
  <si>
    <t xml:space="preserve">Chicken</t>
  </si>
  <si>
    <t xml:space="preserve">Mayonnaise</t>
  </si>
  <si>
    <t xml:space="preserve">Fish</t>
  </si>
  <si>
    <t xml:space="preserve">Tropical</t>
  </si>
  <si>
    <t xml:space="preserve">Open</t>
  </si>
  <si>
    <t xml:space="preserve">Role</t>
  </si>
  <si>
    <t xml:space="preserve">User Rights</t>
  </si>
  <si>
    <t xml:space="preserve">Spirits</t>
  </si>
  <si>
    <t xml:space="preserve">Shrimp</t>
  </si>
  <si>
    <t xml:space="preserve">Fresh Milk</t>
  </si>
  <si>
    <t xml:space="preserve">Pome</t>
  </si>
  <si>
    <t xml:space="preserve">Paid</t>
  </si>
  <si>
    <t xml:space="preserve">Trainee</t>
  </si>
  <si>
    <t xml:space="preserve">Add Sales</t>
  </si>
  <si>
    <t xml:space="preserve">Energy Drink</t>
  </si>
  <si>
    <t xml:space="preserve">Lobsters</t>
  </si>
  <si>
    <t xml:space="preserve">Butter</t>
  </si>
  <si>
    <t xml:space="preserve">Bell Pepper</t>
  </si>
  <si>
    <t xml:space="preserve">Refund</t>
  </si>
  <si>
    <t xml:space="preserve">Staff</t>
  </si>
  <si>
    <t xml:space="preserve">Add Sales &amp; Purchases</t>
  </si>
  <si>
    <t xml:space="preserve">Drinking Water</t>
  </si>
  <si>
    <t xml:space="preserve">Shell Fish</t>
  </si>
  <si>
    <t xml:space="preserve">Powdered Milk</t>
  </si>
  <si>
    <t xml:space="preserve">Seafood</t>
  </si>
  <si>
    <t xml:space="preserve">Citrus</t>
  </si>
  <si>
    <t xml:space="preserve">Void</t>
  </si>
  <si>
    <t xml:space="preserve">Manager</t>
  </si>
  <si>
    <t xml:space="preserve">Add/Edit/Void/Refund Sales &amp; Purchases</t>
  </si>
  <si>
    <t xml:space="preserve">Juice</t>
  </si>
  <si>
    <t xml:space="preserve">Pork</t>
  </si>
  <si>
    <t xml:space="preserve">Spreads</t>
  </si>
  <si>
    <t xml:space="preserve">Melons</t>
  </si>
  <si>
    <t xml:space="preserve">Milk</t>
  </si>
  <si>
    <t xml:space="preserve">Yogurt</t>
  </si>
  <si>
    <t xml:space="preserve">Soy</t>
  </si>
  <si>
    <t xml:space="preserve">Leafy Green</t>
  </si>
  <si>
    <t xml:space="preserve">Cider</t>
  </si>
  <si>
    <t xml:space="preserve">Squid</t>
  </si>
  <si>
    <t xml:space="preserve">Cream</t>
  </si>
  <si>
    <t xml:space="preserve">Marrow</t>
  </si>
  <si>
    <t xml:space="preserve">Cocktails</t>
  </si>
  <si>
    <t xml:space="preserve">Sausage</t>
  </si>
  <si>
    <t xml:space="preserve">Imported Cheese</t>
  </si>
  <si>
    <t xml:space="preserve">Chocolates</t>
  </si>
  <si>
    <t xml:space="preserve">Root</t>
  </si>
  <si>
    <t xml:space="preserve">Tea</t>
  </si>
  <si>
    <t xml:space="preserve">Lamb</t>
  </si>
  <si>
    <t xml:space="preserve">Ice Cream</t>
  </si>
  <si>
    <t xml:space="preserve">Ice Pops</t>
  </si>
  <si>
    <t xml:space="preserve">Cruciferous</t>
  </si>
  <si>
    <t xml:space="preserve">Coffee</t>
  </si>
  <si>
    <t xml:space="preserve">Smoked Meats</t>
  </si>
  <si>
    <t xml:space="preserve">Probiotics</t>
  </si>
  <si>
    <t xml:space="preserve">Allium</t>
  </si>
  <si>
    <t xml:space="preserve">Type</t>
  </si>
  <si>
    <t xml:space="preserve">SALE</t>
  </si>
  <si>
    <t xml:space="preserve">Order Load</t>
  </si>
  <si>
    <t xml:space="preserve">Order DB Row</t>
  </si>
  <si>
    <t xml:space="preserve">Order Results</t>
  </si>
  <si>
    <t xml:space="preserve">Enter Order</t>
  </si>
  <si>
    <t xml:space="preserve">User:</t>
  </si>
  <si>
    <t xml:space="preserve">Fred Frankles</t>
  </si>
  <si>
    <t xml:space="preserve">Status:</t>
  </si>
  <si>
    <t xml:space="preserve">Next Order ID</t>
  </si>
  <si>
    <t xml:space="preserve">Order On</t>
  </si>
  <si>
    <t xml:space="preserve">Cust./Vend.</t>
  </si>
  <si>
    <t xml:space="preserve">Ord. ID</t>
  </si>
  <si>
    <t xml:space="preserve">Order On:</t>
  </si>
  <si>
    <t xml:space="preserve">Order ID</t>
  </si>
  <si>
    <t xml:space="preserve">Search Order Row</t>
  </si>
  <si>
    <t xml:space="preserve">Scan SKU/UPC</t>
  </si>
  <si>
    <t xml:space="preserve">6260022324025</t>
  </si>
  <si>
    <t xml:space="preserve">Qty On Hand</t>
  </si>
  <si>
    <t xml:space="preserve">Sel. Row</t>
  </si>
  <si>
    <t xml:space="preserve">DB  Row</t>
  </si>
  <si>
    <t xml:space="preserve">SKU/UPC ID</t>
  </si>
  <si>
    <t xml:space="preserve">Product Name</t>
  </si>
  <si>
    <t xml:space="preserve">Qty</t>
  </si>
  <si>
    <t xml:space="preserve">Amount</t>
  </si>
  <si>
    <t xml:space="preserve">Disc. %</t>
  </si>
  <si>
    <t xml:space="preserve">Total</t>
  </si>
  <si>
    <t xml:space="preserve">Enter Prod DB Row</t>
  </si>
  <si>
    <t xml:space="preserve">Sel. Result Row</t>
  </si>
  <si>
    <t xml:space="preserve">User ID</t>
  </si>
  <si>
    <t xml:space="preserve">User DB Row</t>
  </si>
  <si>
    <t xml:space="preserve">User Role</t>
  </si>
  <si>
    <t xml:space="preserve">Subtotal</t>
  </si>
  <si>
    <t xml:space="preserve">Total Paid</t>
  </si>
  <si>
    <t xml:space="preserve">Change</t>
  </si>
  <si>
    <t xml:space="preserve">New Customer</t>
  </si>
  <si>
    <t xml:space="preserve">New Vendor</t>
  </si>
  <si>
    <t xml:space="preserve">Purchase &amp; Sales Orders</t>
  </si>
  <si>
    <t xml:space="preserve">Criteria</t>
  </si>
  <si>
    <t xml:space="preserve">Results</t>
  </si>
  <si>
    <t xml:space="preserve">Status</t>
  </si>
  <si>
    <t xml:space="preserve">Customer/Vendor</t>
  </si>
  <si>
    <t xml:space="preserve">User</t>
  </si>
  <si>
    <t xml:space="preserve">PURCHASE</t>
  </si>
  <si>
    <t xml:space="preserve">inventory list</t>
  </si>
  <si>
    <r>
      <rPr>
        <sz val="11"/>
        <color theme="1"/>
        <rFont val="Calibri"/>
        <family val="2"/>
      </rPr>
      <t xml:space="preserve">*</t>
    </r>
    <r>
      <rPr>
        <sz val="11"/>
        <color theme="1"/>
        <rFont val="FreeSans"/>
        <family val="2"/>
      </rPr>
      <t xml:space="preserve">رزاقی</t>
    </r>
    <r>
      <rPr>
        <sz val="11"/>
        <color theme="1"/>
        <rFont val="Calibri"/>
        <family val="2"/>
      </rPr>
      <t xml:space="preserve">*</t>
    </r>
  </si>
  <si>
    <t xml:space="preserve">حمید جهانی محمود</t>
  </si>
  <si>
    <t xml:space="preserve">رسولی سرای</t>
  </si>
  <si>
    <t xml:space="preserve">علی عمو</t>
  </si>
  <si>
    <t xml:space="preserve">احمد کرمی حاج اصغر</t>
  </si>
  <si>
    <t xml:space="preserve">مهران جهانی</t>
  </si>
  <si>
    <t xml:space="preserve">paid</t>
  </si>
  <si>
    <t xml:space="preserve">مهدی رزاقی</t>
  </si>
  <si>
    <t xml:space="preserve">H Jahani</t>
  </si>
  <si>
    <t xml:space="preserve">آقای محمدی</t>
  </si>
  <si>
    <t xml:space="preserve">مهدی رستمی </t>
  </si>
  <si>
    <t xml:space="preserve">رستم زابلی</t>
  </si>
  <si>
    <t xml:space="preserve">محمد رشیدی رازعلی</t>
  </si>
  <si>
    <t xml:space="preserve">حاج آقا</t>
  </si>
  <si>
    <t xml:space="preserve">مهدی کرمی محمد آقا</t>
  </si>
  <si>
    <t xml:space="preserve">معصومه رزاقی</t>
  </si>
  <si>
    <t xml:space="preserve">Order Items</t>
  </si>
  <si>
    <t xml:space="preserve">Row</t>
  </si>
  <si>
    <t xml:space="preserve">SKU/UPC</t>
  </si>
  <si>
    <t xml:space="preserve">Order Row</t>
  </si>
  <si>
    <t xml:space="preserve">برنج مژده</t>
  </si>
  <si>
    <t xml:space="preserve">&lt;&gt;</t>
  </si>
  <si>
    <t xml:space="preserve">نوشابه فانتا خانواده</t>
  </si>
  <si>
    <t xml:space="preserve">برنج جشنواره</t>
  </si>
  <si>
    <t xml:space="preserve">دلستر یک ونیم آناناس</t>
  </si>
  <si>
    <t xml:space="preserve">قند کیلویی</t>
  </si>
  <si>
    <t xml:space="preserve">سس مایونز بزرگ سحر</t>
  </si>
  <si>
    <r>
      <rPr>
        <sz val="11"/>
        <color theme="1"/>
        <rFont val="FreeSans"/>
        <family val="2"/>
      </rPr>
      <t xml:space="preserve">چای فله </t>
    </r>
    <r>
      <rPr>
        <sz val="11"/>
        <color theme="1"/>
        <rFont val="Calibri"/>
        <family val="2"/>
      </rPr>
      <t xml:space="preserve">700</t>
    </r>
  </si>
  <si>
    <r>
      <rPr>
        <sz val="11"/>
        <color theme="1"/>
        <rFont val="FreeSans"/>
        <family val="2"/>
      </rPr>
      <t xml:space="preserve">چای فله </t>
    </r>
    <r>
      <rPr>
        <sz val="11"/>
        <color theme="1"/>
        <rFont val="Calibri"/>
        <family val="2"/>
      </rPr>
      <t xml:space="preserve">750</t>
    </r>
  </si>
  <si>
    <t xml:space="preserve">پودر ماشین لباسشویی آرن</t>
  </si>
  <si>
    <t xml:space="preserve">پودر رختشویی دی</t>
  </si>
  <si>
    <t xml:space="preserve">حشره کش تارومار</t>
  </si>
  <si>
    <t xml:space="preserve">پودر مورچه نابود</t>
  </si>
  <si>
    <t xml:space="preserve">کیکی اسفنجی چیپس شکلات نادری</t>
  </si>
  <si>
    <r>
      <rPr>
        <sz val="11"/>
        <color theme="1"/>
        <rFont val="FreeSans"/>
        <family val="2"/>
      </rPr>
      <t xml:space="preserve">کیک بابا </t>
    </r>
    <r>
      <rPr>
        <sz val="11"/>
        <color theme="1"/>
        <rFont val="Calibri"/>
        <family val="2"/>
      </rPr>
      <t xml:space="preserve">2</t>
    </r>
  </si>
  <si>
    <t xml:space="preserve">کیکی اسفنجی کنجدی نادری</t>
  </si>
  <si>
    <t xml:space="preserve">شامپو حنای صحت متوسط</t>
  </si>
  <si>
    <t xml:space="preserve">شامپو صدر صحت متوسط</t>
  </si>
  <si>
    <t xml:space="preserve">شامپو سیر پرژک</t>
  </si>
  <si>
    <t xml:space="preserve">شامپو شبنم معمولی کوچک پاکسان</t>
  </si>
  <si>
    <t xml:space="preserve">مایع دستشویی رایش</t>
  </si>
  <si>
    <t xml:space="preserve">مایع جرم گیر کوبار</t>
  </si>
  <si>
    <t xml:space="preserve">وایتکس برف</t>
  </si>
  <si>
    <t xml:space="preserve">مایع سفید کننده کوبار</t>
  </si>
  <si>
    <t xml:space="preserve">صابون گلنار بسته ای</t>
  </si>
  <si>
    <t xml:space="preserve">صابون فاکس</t>
  </si>
  <si>
    <t xml:space="preserve">صابون مراغه ای</t>
  </si>
  <si>
    <t xml:space="preserve">مایع ظرف شویی دی لیمو</t>
  </si>
  <si>
    <t xml:space="preserve">کنسرو لوبیا چیتی دونارسی</t>
  </si>
  <si>
    <t xml:space="preserve">لوبیا چیتی با قارچ دونارسی</t>
  </si>
  <si>
    <t xml:space="preserve">رب گوجه فرنگی ایلیکا</t>
  </si>
  <si>
    <t xml:space="preserve">کمپوت گیلاس بهشاد</t>
  </si>
  <si>
    <t xml:space="preserve">کمپوت گلابی مقدس</t>
  </si>
  <si>
    <t xml:space="preserve">گاز فندک بدون بو کاراپارسیان</t>
  </si>
  <si>
    <t xml:space="preserve">مسواک های دنت</t>
  </si>
  <si>
    <t xml:space="preserve">خمیر دندان نسیم</t>
  </si>
  <si>
    <t xml:space="preserve">خمیر دندان پونه</t>
  </si>
  <si>
    <t xml:space="preserve">شیر فافا</t>
  </si>
  <si>
    <t xml:space="preserve">شیر آویسا</t>
  </si>
  <si>
    <r>
      <rPr>
        <sz val="11"/>
        <color theme="1"/>
        <rFont val="FreeSans"/>
        <family val="2"/>
      </rPr>
      <t xml:space="preserve">لامپ </t>
    </r>
    <r>
      <rPr>
        <sz val="11"/>
        <color theme="1"/>
        <rFont val="Calibri"/>
        <family val="2"/>
      </rPr>
      <t xml:space="preserve">15 </t>
    </r>
    <r>
      <rPr>
        <sz val="11"/>
        <color theme="1"/>
        <rFont val="FreeSans"/>
        <family val="2"/>
      </rPr>
      <t xml:space="preserve">وات نارون</t>
    </r>
  </si>
  <si>
    <r>
      <rPr>
        <sz val="11"/>
        <color theme="1"/>
        <rFont val="FreeSans"/>
        <family val="2"/>
      </rPr>
      <t xml:space="preserve">لامپ </t>
    </r>
    <r>
      <rPr>
        <sz val="11"/>
        <color theme="1"/>
        <rFont val="Calibri"/>
        <family val="2"/>
      </rPr>
      <t xml:space="preserve">100 </t>
    </r>
    <r>
      <rPr>
        <sz val="11"/>
        <color theme="1"/>
        <rFont val="FreeSans"/>
        <family val="2"/>
      </rPr>
      <t xml:space="preserve">وات پارس</t>
    </r>
  </si>
  <si>
    <t xml:space="preserve">پودر ژله پرتقالی</t>
  </si>
  <si>
    <t xml:space="preserve">پودر ژله آلوئه ورا</t>
  </si>
  <si>
    <t xml:space="preserve">پودر ژله انگور</t>
  </si>
  <si>
    <t xml:space="preserve">پودر ژله بلوبری</t>
  </si>
  <si>
    <t xml:space="preserve">دستکش تکنسین</t>
  </si>
  <si>
    <t xml:space="preserve">دستکش معمولی</t>
  </si>
  <si>
    <t xml:space="preserve">تن ماهی تام ناب</t>
  </si>
  <si>
    <t xml:space="preserve">تن ماهی چین چین</t>
  </si>
  <si>
    <t xml:space="preserve">کنسرو ماهی تن ایلیکا</t>
  </si>
  <si>
    <t xml:space="preserve">سس مایونز کوچک سحر</t>
  </si>
  <si>
    <t xml:space="preserve">کشک مایع تبرک</t>
  </si>
  <si>
    <t xml:space="preserve">گلاب مه گل</t>
  </si>
  <si>
    <t xml:space="preserve">سس تند سحر</t>
  </si>
  <si>
    <t xml:space="preserve">آبمیوه بدون گاز پرتقال شط</t>
  </si>
  <si>
    <t xml:space="preserve">آبمیوه هلو</t>
  </si>
  <si>
    <t xml:space="preserve">آبمیوه بدون گاز آناناس شط</t>
  </si>
  <si>
    <t xml:space="preserve">آبمیوه سیب موز </t>
  </si>
  <si>
    <r>
      <rPr>
        <sz val="11"/>
        <color theme="1"/>
        <rFont val="FreeSans"/>
        <family val="2"/>
      </rPr>
      <t xml:space="preserve">آبمیوه </t>
    </r>
    <r>
      <rPr>
        <sz val="11"/>
        <color theme="1"/>
        <rFont val="Calibri"/>
        <family val="2"/>
      </rPr>
      <t xml:space="preserve">1 </t>
    </r>
    <r>
      <rPr>
        <sz val="11"/>
        <color theme="1"/>
        <rFont val="FreeSans"/>
        <family val="2"/>
      </rPr>
      <t xml:space="preserve">لیتر آناناس تگ گل</t>
    </r>
  </si>
  <si>
    <r>
      <rPr>
        <sz val="11"/>
        <color theme="1"/>
        <rFont val="FreeSans"/>
        <family val="2"/>
      </rPr>
      <t xml:space="preserve">آبمیوه </t>
    </r>
    <r>
      <rPr>
        <sz val="11"/>
        <color theme="1"/>
        <rFont val="Calibri"/>
        <family val="2"/>
      </rPr>
      <t xml:space="preserve">1 </t>
    </r>
    <r>
      <rPr>
        <sz val="11"/>
        <color theme="1"/>
        <rFont val="FreeSans"/>
        <family val="2"/>
      </rPr>
      <t xml:space="preserve">لیتر هلو تگ گل</t>
    </r>
  </si>
  <si>
    <t xml:space="preserve">اسپری برف شادی نور آرا</t>
  </si>
  <si>
    <t xml:space="preserve">دستمال پرفکت</t>
  </si>
  <si>
    <t xml:space="preserve">چای شهرزاد</t>
  </si>
  <si>
    <t xml:space="preserve">خامه شیرین عسل</t>
  </si>
  <si>
    <t xml:space="preserve">رانی انبه</t>
  </si>
  <si>
    <t xml:space="preserve">رانی هلو</t>
  </si>
  <si>
    <t xml:space="preserve">رانی پرتقال</t>
  </si>
  <si>
    <t xml:space="preserve">نوشابه انرژی زا فایر</t>
  </si>
  <si>
    <t xml:space="preserve">نوشابه انرژی زا استارت</t>
  </si>
  <si>
    <t xml:space="preserve">سویا ملوان</t>
  </si>
  <si>
    <t xml:space="preserve">چیپس خلال سیب زمینی مزمز</t>
  </si>
  <si>
    <t xml:space="preserve">چیپس خلال سیب زمینی باتو</t>
  </si>
  <si>
    <t xml:space="preserve">اسپاگتی زر ماکارون</t>
  </si>
  <si>
    <t xml:space="preserve">ماکارونی شیما</t>
  </si>
  <si>
    <t xml:space="preserve">آبلیمو دست چین</t>
  </si>
  <si>
    <t xml:space="preserve">شیر موز پگاه</t>
  </si>
  <si>
    <t xml:space="preserve">شیر کاکائو پگاه</t>
  </si>
  <si>
    <r>
      <rPr>
        <sz val="11"/>
        <color theme="1"/>
        <rFont val="FreeSans"/>
        <family val="2"/>
      </rPr>
      <t xml:space="preserve">دستمال آدریانا </t>
    </r>
    <r>
      <rPr>
        <sz val="11"/>
        <color theme="1"/>
        <rFont val="Calibri"/>
        <family val="2"/>
      </rPr>
      <t xml:space="preserve">3 </t>
    </r>
    <r>
      <rPr>
        <sz val="11"/>
        <color theme="1"/>
        <rFont val="FreeSans"/>
        <family val="2"/>
      </rPr>
      <t xml:space="preserve">عددی</t>
    </r>
  </si>
  <si>
    <t xml:space="preserve">دستمال توالت روشا</t>
  </si>
  <si>
    <t xml:space="preserve">دستمال کاغذی روشا</t>
  </si>
  <si>
    <t xml:space="preserve">نوار بهداشتی لیدی ناز</t>
  </si>
  <si>
    <t xml:space="preserve">نوار بهداشتی مای لیدی</t>
  </si>
  <si>
    <t xml:space="preserve">سرکه قزوین بطری</t>
  </si>
  <si>
    <t xml:space="preserve">سرکه قزوین دبه</t>
  </si>
  <si>
    <r>
      <rPr>
        <sz val="11"/>
        <color theme="1"/>
        <rFont val="FreeSans"/>
        <family val="2"/>
      </rPr>
      <t xml:space="preserve">روغن لادن </t>
    </r>
    <r>
      <rPr>
        <sz val="11"/>
        <color theme="1"/>
        <rFont val="Calibri"/>
        <family val="2"/>
      </rPr>
      <t xml:space="preserve">5 </t>
    </r>
    <r>
      <rPr>
        <sz val="11"/>
        <color theme="1"/>
        <rFont val="FreeSans"/>
        <family val="2"/>
      </rPr>
      <t xml:space="preserve">کیلو</t>
    </r>
  </si>
  <si>
    <r>
      <rPr>
        <sz val="11"/>
        <color theme="1"/>
        <rFont val="FreeSans"/>
        <family val="2"/>
      </rPr>
      <t xml:space="preserve">روغن </t>
    </r>
    <r>
      <rPr>
        <sz val="11"/>
        <color theme="1"/>
        <rFont val="Calibri"/>
        <family val="2"/>
      </rPr>
      <t xml:space="preserve">5 </t>
    </r>
    <r>
      <rPr>
        <sz val="11"/>
        <color theme="1"/>
        <rFont val="FreeSans"/>
        <family val="2"/>
      </rPr>
      <t xml:space="preserve">کیلو گلناز حلبی</t>
    </r>
  </si>
  <si>
    <t xml:space="preserve">روغن مایع آفتاب </t>
  </si>
  <si>
    <t xml:space="preserve">روغن مایع آفتابگردان لادن</t>
  </si>
  <si>
    <t xml:space="preserve">روغن سرخ کردنی آفتاب</t>
  </si>
  <si>
    <t xml:space="preserve">روغن مایع کوچک نگین</t>
  </si>
  <si>
    <t xml:space="preserve">روغن مایع پانا</t>
  </si>
  <si>
    <t xml:space="preserve">موبر بدون بو برتر</t>
  </si>
  <si>
    <t xml:space="preserve">پودر موبر برتر</t>
  </si>
  <si>
    <t xml:space="preserve">موبر برتر</t>
  </si>
  <si>
    <t xml:space="preserve">ساندیس سیب موز نارونه</t>
  </si>
  <si>
    <t xml:space="preserve">آبمیوه سیب موز بدون گاز نارونه</t>
  </si>
  <si>
    <t xml:space="preserve">ساندیس انگور کریشنا</t>
  </si>
  <si>
    <t xml:space="preserve">کماج</t>
  </si>
  <si>
    <r>
      <rPr>
        <sz val="11"/>
        <color theme="1"/>
        <rFont val="FreeSans"/>
        <family val="2"/>
      </rPr>
      <t xml:space="preserve">شکلات فله </t>
    </r>
    <r>
      <rPr>
        <sz val="11"/>
        <color theme="1"/>
        <rFont val="Calibri"/>
        <family val="2"/>
      </rPr>
      <t xml:space="preserve">150</t>
    </r>
  </si>
  <si>
    <t xml:space="preserve">زرد چوبه</t>
  </si>
  <si>
    <t xml:space="preserve">ویفر موزی نادری</t>
  </si>
  <si>
    <t xml:space="preserve">ویفر کاکائو نادری</t>
  </si>
  <si>
    <t xml:space="preserve">بیسکوئیت موزی آناتا</t>
  </si>
  <si>
    <t xml:space="preserve">بیسکوئیت مادر ویتانا</t>
  </si>
  <si>
    <t xml:space="preserve">کرمدار نارگیل نادری</t>
  </si>
  <si>
    <t xml:space="preserve">ویفر رول رول کاکائو</t>
  </si>
  <si>
    <t xml:space="preserve">بیسکوئیت های بای آناتا</t>
  </si>
  <si>
    <t xml:space="preserve">ساقه طلایی سبوس دار</t>
  </si>
  <si>
    <t xml:space="preserve">دایجستیو کاکائویی</t>
  </si>
  <si>
    <t xml:space="preserve">تخم مرغ</t>
  </si>
  <si>
    <t xml:space="preserve">لواشک زردآلو رها</t>
  </si>
  <si>
    <t xml:space="preserve">کرم کاکائو خوشنوا</t>
  </si>
  <si>
    <t xml:space="preserve">لواشک رز طلا</t>
  </si>
  <si>
    <t xml:space="preserve">لواشک نی نی سون</t>
  </si>
  <si>
    <t xml:space="preserve">آلوچه چند میوه رخسار</t>
  </si>
  <si>
    <t xml:space="preserve">شکلات کارا نانی تلخ</t>
  </si>
  <si>
    <t xml:space="preserve">نمک بلوردانه</t>
  </si>
  <si>
    <r>
      <rPr>
        <sz val="11"/>
        <color theme="1"/>
        <rFont val="FreeSans"/>
        <family val="2"/>
      </rPr>
      <t xml:space="preserve">َ</t>
    </r>
    <r>
      <rPr>
        <sz val="11"/>
        <color theme="1"/>
        <rFont val="Calibri"/>
        <family val="2"/>
      </rPr>
      <t xml:space="preserve">016610021815001</t>
    </r>
    <r>
      <rPr>
        <sz val="11"/>
        <color theme="1"/>
        <rFont val="FreeSans"/>
        <family val="2"/>
      </rPr>
      <t xml:space="preserve">َ</t>
    </r>
  </si>
  <si>
    <t xml:space="preserve">آبنبات</t>
  </si>
  <si>
    <r>
      <rPr>
        <sz val="11"/>
        <color theme="1"/>
        <rFont val="FreeSans"/>
        <family val="2"/>
      </rPr>
      <t xml:space="preserve">ویفر کیلو </t>
    </r>
    <r>
      <rPr>
        <sz val="11"/>
        <color theme="1"/>
        <rFont val="Calibri"/>
        <family val="2"/>
      </rPr>
      <t xml:space="preserve">80</t>
    </r>
  </si>
  <si>
    <r>
      <rPr>
        <sz val="11"/>
        <color theme="1"/>
        <rFont val="FreeSans"/>
        <family val="2"/>
      </rPr>
      <t xml:space="preserve">ویفر کیلو </t>
    </r>
    <r>
      <rPr>
        <sz val="11"/>
        <color theme="1"/>
        <rFont val="Calibri"/>
        <family val="2"/>
      </rPr>
      <t xml:space="preserve">100</t>
    </r>
  </si>
  <si>
    <t xml:space="preserve">نبات</t>
  </si>
  <si>
    <t xml:space="preserve">نقل</t>
  </si>
  <si>
    <t xml:space="preserve">خرما کبکاب</t>
  </si>
  <si>
    <t xml:space="preserve">خرما کیلویی</t>
  </si>
  <si>
    <t xml:space="preserve">چسب زخم مدیفکس</t>
  </si>
  <si>
    <t xml:space="preserve">شکر</t>
  </si>
  <si>
    <t xml:space="preserve">لوبیا کیلویی </t>
  </si>
  <si>
    <t xml:space="preserve">ذرت</t>
  </si>
  <si>
    <t xml:space="preserve">عدس</t>
  </si>
  <si>
    <t xml:space="preserve">نخود</t>
  </si>
  <si>
    <t xml:space="preserve">لپه</t>
  </si>
  <si>
    <t xml:space="preserve">لیموناد بهنوش</t>
  </si>
  <si>
    <t xml:space="preserve">دلستر شیشه ای انگور تاک</t>
  </si>
  <si>
    <t xml:space="preserve">چسب قطره ای</t>
  </si>
  <si>
    <t xml:space="preserve">چیپس سرکه کوچک</t>
  </si>
  <si>
    <t xml:space="preserve">چیپس گوجه کوچک</t>
  </si>
  <si>
    <t xml:space="preserve">چیپس مرغ سوخاری باتو</t>
  </si>
  <si>
    <t xml:space="preserve">چیپس کچاپ مزمز</t>
  </si>
  <si>
    <t xml:space="preserve">پفک نمکی توپوق</t>
  </si>
  <si>
    <t xml:space="preserve">پفک مینی لینا پنیری</t>
  </si>
  <si>
    <t xml:space="preserve">چی توز خلالی</t>
  </si>
  <si>
    <t xml:space="preserve">مولتی غلات عسل و خردل</t>
  </si>
  <si>
    <t xml:space="preserve">پفیلا سرکه ای</t>
  </si>
  <si>
    <t xml:space="preserve">چیپس پیاز جعفری مزمز</t>
  </si>
  <si>
    <t xml:space="preserve">کیک موزی بابانا</t>
  </si>
  <si>
    <t xml:space="preserve">ژله نارسودا</t>
  </si>
  <si>
    <r>
      <rPr>
        <sz val="11"/>
        <color theme="1"/>
        <rFont val="FreeSans"/>
        <family val="2"/>
      </rPr>
      <t xml:space="preserve">تخمه کیلو </t>
    </r>
    <r>
      <rPr>
        <sz val="11"/>
        <color theme="1"/>
        <rFont val="Calibri"/>
        <family val="2"/>
      </rPr>
      <t xml:space="preserve">100</t>
    </r>
  </si>
  <si>
    <r>
      <rPr>
        <sz val="11"/>
        <color theme="1"/>
        <rFont val="FreeSans"/>
        <family val="2"/>
      </rPr>
      <t xml:space="preserve">تخمه کیلو </t>
    </r>
    <r>
      <rPr>
        <sz val="11"/>
        <color theme="1"/>
        <rFont val="Calibri"/>
        <family val="2"/>
      </rPr>
      <t xml:space="preserve">120</t>
    </r>
  </si>
  <si>
    <t xml:space="preserve">نوشابه زمزم مشکی خانواده</t>
  </si>
  <si>
    <t xml:space="preserve">نوشابه کوکاکولا مشکی خانواده</t>
  </si>
  <si>
    <t xml:space="preserve">نوشابه پپسی مشکی خانواده</t>
  </si>
  <si>
    <t xml:space="preserve">دلستر یک ونیم لیمو</t>
  </si>
  <si>
    <t xml:space="preserve">دلستر یک و نیم استوایی</t>
  </si>
  <si>
    <t xml:space="preserve">دلستر سیب اسکای</t>
  </si>
  <si>
    <t xml:space="preserve">دلستر انگور اسکای</t>
  </si>
  <si>
    <t xml:space="preserve">لیموناد خانواده بهنوش</t>
  </si>
  <si>
    <t xml:space="preserve">دلستر گلابی</t>
  </si>
  <si>
    <t xml:space="preserve">دارچین</t>
  </si>
  <si>
    <t xml:space="preserve">آدامس شیک</t>
  </si>
  <si>
    <t xml:space="preserve">باسلوق</t>
  </si>
  <si>
    <r>
      <rPr>
        <sz val="11"/>
        <color theme="1"/>
        <rFont val="FreeSans"/>
        <family val="2"/>
      </rPr>
      <t xml:space="preserve">کاکائو </t>
    </r>
    <r>
      <rPr>
        <sz val="11"/>
        <color theme="1"/>
        <rFont val="Calibri"/>
        <family val="2"/>
      </rPr>
      <t xml:space="preserve">2000</t>
    </r>
  </si>
  <si>
    <t xml:space="preserve">ژله آماد نوبل</t>
  </si>
  <si>
    <t xml:space="preserve">کرم کاکائو آیدین</t>
  </si>
  <si>
    <t xml:space="preserve">آدامس عکس دار</t>
  </si>
  <si>
    <r>
      <rPr>
        <sz val="11"/>
        <color theme="1"/>
        <rFont val="FreeSans"/>
        <family val="2"/>
      </rPr>
      <t xml:space="preserve">ژله </t>
    </r>
    <r>
      <rPr>
        <sz val="11"/>
        <color theme="1"/>
        <rFont val="Calibri"/>
        <family val="2"/>
      </rPr>
      <t xml:space="preserve">4000</t>
    </r>
  </si>
  <si>
    <t xml:space="preserve">آدامس بادکنکی میوه ای</t>
  </si>
  <si>
    <t xml:space="preserve">نسکافه تیم</t>
  </si>
  <si>
    <t xml:space="preserve">آدامس موزی </t>
  </si>
  <si>
    <t xml:space="preserve">آدامس موزی فز</t>
  </si>
  <si>
    <t xml:space="preserve">آدامس موزی اصل</t>
  </si>
  <si>
    <t xml:space="preserve">آدامس توت فرنگی اوینا</t>
  </si>
  <si>
    <t xml:space="preserve">آدامس سکه ای</t>
  </si>
  <si>
    <t xml:space="preserve">آدمس نعنایی</t>
  </si>
  <si>
    <r>
      <rPr>
        <sz val="11"/>
        <color theme="1"/>
        <rFont val="FreeSans"/>
        <family val="2"/>
      </rPr>
      <t xml:space="preserve">آدامس نعنایی </t>
    </r>
    <r>
      <rPr>
        <sz val="11"/>
        <color theme="1"/>
        <rFont val="Calibri"/>
        <family val="2"/>
      </rPr>
      <t xml:space="preserve">smile</t>
    </r>
  </si>
  <si>
    <t xml:space="preserve">خودکار کلارو</t>
  </si>
  <si>
    <r>
      <rPr>
        <sz val="11"/>
        <color theme="1"/>
        <rFont val="FreeSans"/>
        <family val="2"/>
      </rPr>
      <t xml:space="preserve">اسمارتیس </t>
    </r>
    <r>
      <rPr>
        <sz val="11"/>
        <color theme="1"/>
        <rFont val="Calibri"/>
        <family val="2"/>
      </rPr>
      <t xml:space="preserve">sweet day</t>
    </r>
  </si>
  <si>
    <t xml:space="preserve">کاکائو به آمد</t>
  </si>
  <si>
    <t xml:space="preserve">آی آی به آمد</t>
  </si>
  <si>
    <t xml:space="preserve">کبریت تکی</t>
  </si>
  <si>
    <t xml:space="preserve">باتری قلمی موبیت</t>
  </si>
  <si>
    <t xml:space="preserve">باتری نیم قلمی موربیت</t>
  </si>
  <si>
    <t xml:space="preserve">وازلین لیوزیا</t>
  </si>
  <si>
    <t xml:space="preserve">چسب شیشه ای</t>
  </si>
  <si>
    <t xml:space="preserve">فریزر چسبی لیا</t>
  </si>
  <si>
    <t xml:space="preserve">جوراب</t>
  </si>
  <si>
    <t xml:space="preserve">کراکر کاکائو افشنگ</t>
  </si>
  <si>
    <t xml:space="preserve">دستکش صنعتی کاریار </t>
  </si>
  <si>
    <r>
      <rPr>
        <sz val="11"/>
        <color theme="1"/>
        <rFont val="FreeSans"/>
        <family val="2"/>
      </rPr>
      <t xml:space="preserve">دستکش صنعتی کاریار </t>
    </r>
    <r>
      <rPr>
        <sz val="11"/>
        <color theme="1"/>
        <rFont val="Calibri"/>
        <family val="2"/>
      </rPr>
      <t xml:space="preserve">Large</t>
    </r>
  </si>
  <si>
    <t xml:space="preserve">چی توز طلایی متوسط</t>
  </si>
  <si>
    <t xml:space="preserve">کرانچی فلفلی چی توز</t>
  </si>
  <si>
    <t xml:space="preserve">کرانچی پنیری چی توز</t>
  </si>
  <si>
    <t xml:space="preserve">کراکر نمکی فوج</t>
  </si>
  <si>
    <t xml:space="preserve">چیپس لیمویی مزمز</t>
  </si>
  <si>
    <t xml:space="preserve">چی پلت سرکه ای</t>
  </si>
  <si>
    <t xml:space="preserve">چی پلت کچاپ</t>
  </si>
  <si>
    <t xml:space="preserve">چی توز چرخی</t>
  </si>
  <si>
    <t xml:space="preserve">چیپس کچاب متوسط باتو</t>
  </si>
  <si>
    <t xml:space="preserve">چیپس سرکه ای متوسط باتو</t>
  </si>
  <si>
    <t xml:space="preserve">پفیلا پنیری هاگلز</t>
  </si>
  <si>
    <t xml:space="preserve">چیپس کچاب کوچک باتو</t>
  </si>
  <si>
    <t xml:space="preserve">پفیلا کوچک هاگلز</t>
  </si>
  <si>
    <t xml:space="preserve">پفیلا کچاپ لینا</t>
  </si>
  <si>
    <t xml:space="preserve">بالشتی چاکلز</t>
  </si>
  <si>
    <t xml:space="preserve">برنجک لینا</t>
  </si>
  <si>
    <t xml:space="preserve">کیک کاکائویی آلبینا</t>
  </si>
  <si>
    <t xml:space="preserve">شیرین عسل </t>
  </si>
  <si>
    <t xml:space="preserve">پشمک زعفرانی </t>
  </si>
  <si>
    <t xml:space="preserve">پشمک کاکائو</t>
  </si>
  <si>
    <t xml:space="preserve">شیرین عسل چمک</t>
  </si>
  <si>
    <t xml:space="preserve">شیرینی وثوق پرتقالی</t>
  </si>
  <si>
    <t xml:space="preserve">کلوچه گردویی لاهیجان</t>
  </si>
  <si>
    <t xml:space="preserve">مغز تخمه سرکه ای</t>
  </si>
  <si>
    <t xml:space="preserve">بادام زمینی سرکه ای مزمز</t>
  </si>
  <si>
    <t xml:space="preserve">پاستیل پروانه ای</t>
  </si>
  <si>
    <t xml:space="preserve">پاستیل خرسی</t>
  </si>
  <si>
    <r>
      <rPr>
        <sz val="11"/>
        <color theme="1"/>
        <rFont val="FreeSans"/>
        <family val="2"/>
      </rPr>
      <t xml:space="preserve">پاستیل </t>
    </r>
    <r>
      <rPr>
        <sz val="11"/>
        <color theme="1"/>
        <rFont val="Calibri"/>
        <family val="2"/>
      </rPr>
      <t xml:space="preserve">jelifun </t>
    </r>
    <r>
      <rPr>
        <sz val="11"/>
        <color theme="1"/>
        <rFont val="FreeSans"/>
        <family val="2"/>
      </rPr>
      <t xml:space="preserve">شیرین عسل</t>
    </r>
  </si>
  <si>
    <t xml:space="preserve">پاستیل انار</t>
  </si>
  <si>
    <t xml:space="preserve">چی توز موتوری</t>
  </si>
  <si>
    <t xml:space="preserve">چی توز موتوری خانواده</t>
  </si>
  <si>
    <t xml:space="preserve">آبمیوه انبه شنتی</t>
  </si>
  <si>
    <t xml:space="preserve">دلستر پرتقال اسکای</t>
  </si>
  <si>
    <t xml:space="preserve">دوغ خوشگوار</t>
  </si>
  <si>
    <t xml:space="preserve">نوشابه تسنیم مشکی خانواده</t>
  </si>
  <si>
    <t xml:space="preserve">دلستر انار اسکای</t>
  </si>
  <si>
    <t xml:space="preserve">آب معدنی سهند</t>
  </si>
  <si>
    <t xml:space="preserve">شامپو بچه گلرنگ </t>
  </si>
  <si>
    <t xml:space="preserve">جی وان مشکی</t>
  </si>
  <si>
    <r>
      <rPr>
        <sz val="11"/>
        <color theme="1"/>
        <rFont val="Calibri"/>
        <family val="2"/>
      </rPr>
      <t xml:space="preserve">G1 </t>
    </r>
    <r>
      <rPr>
        <sz val="11"/>
        <color theme="1"/>
        <rFont val="FreeSans"/>
        <family val="2"/>
      </rPr>
      <t xml:space="preserve">نقره ای</t>
    </r>
  </si>
  <si>
    <r>
      <rPr>
        <sz val="11"/>
        <color theme="1"/>
        <rFont val="FreeSans"/>
        <family val="2"/>
      </rPr>
      <t xml:space="preserve">موند سفید </t>
    </r>
    <r>
      <rPr>
        <sz val="11"/>
        <color theme="1"/>
        <rFont val="Calibri"/>
        <family val="2"/>
      </rPr>
      <t xml:space="preserve">(</t>
    </r>
    <r>
      <rPr>
        <sz val="11"/>
        <color theme="1"/>
        <rFont val="FreeSans"/>
        <family val="2"/>
      </rPr>
      <t xml:space="preserve">جدید</t>
    </r>
    <r>
      <rPr>
        <sz val="11"/>
        <color theme="1"/>
        <rFont val="Calibri"/>
        <family val="2"/>
      </rPr>
      <t xml:space="preserve">)</t>
    </r>
  </si>
  <si>
    <t xml:space="preserve">موند مشکی</t>
  </si>
  <si>
    <t xml:space="preserve">بیستون سفید</t>
  </si>
  <si>
    <t xml:space="preserve">بیستون نقره ای نانو</t>
  </si>
  <si>
    <t xml:space="preserve">وینستون آبی</t>
  </si>
  <si>
    <t xml:space="preserve">وینستون سیلور</t>
  </si>
  <si>
    <t xml:space="preserve">بیستون مشکی</t>
  </si>
  <si>
    <t xml:space="preserve">بیستون مشکی نانو</t>
  </si>
  <si>
    <t xml:space="preserve">آمور مشکی</t>
  </si>
  <si>
    <t xml:space="preserve">بیستون سیلور</t>
  </si>
  <si>
    <t xml:space="preserve">اسکار مشکی</t>
  </si>
  <si>
    <t xml:space="preserve">اسکار نقره ای</t>
  </si>
  <si>
    <t xml:space="preserve">اچ دی توربو</t>
  </si>
  <si>
    <t xml:space="preserve">ویزدوم مشکی باریک</t>
  </si>
  <si>
    <t xml:space="preserve">مگنا</t>
  </si>
  <si>
    <t xml:space="preserve">بهمن کوچک</t>
  </si>
  <si>
    <t xml:space="preserve">مونتانا گلد</t>
  </si>
  <si>
    <t xml:space="preserve">ویزدوم سیلور</t>
  </si>
  <si>
    <t xml:space="preserve">بهمن پایه بلند</t>
  </si>
  <si>
    <t xml:space="preserve">تنباکو دوسیب</t>
  </si>
  <si>
    <t xml:space="preserve">موند تاج نقره ای</t>
  </si>
  <si>
    <t xml:space="preserve">موند تاج آبی</t>
  </si>
  <si>
    <t xml:space="preserve">موند تاج مشکی</t>
  </si>
  <si>
    <t xml:space="preserve">کره حیوانی کیله چو</t>
  </si>
  <si>
    <t xml:space="preserve">کره گیاهی صبح داران</t>
  </si>
  <si>
    <t xml:space="preserve">کره گیاهی آذربایجان</t>
  </si>
  <si>
    <t xml:space="preserve">کره گیاهی صد گرمی آذر بایجان</t>
  </si>
  <si>
    <t xml:space="preserve">حلوا شکری سیرنگ</t>
  </si>
  <si>
    <t xml:space="preserve">گز بستنی</t>
  </si>
  <si>
    <t xml:space="preserve">بستنی حصیری محلی</t>
  </si>
  <si>
    <t xml:space="preserve">بستنی لیوانی میوه ای چشمه چین</t>
  </si>
  <si>
    <t xml:space="preserve">مینی پاکنوم</t>
  </si>
  <si>
    <t xml:space="preserve">کیمی دو مینو</t>
  </si>
  <si>
    <t xml:space="preserve">بستنی موزی دایتی</t>
  </si>
  <si>
    <t xml:space="preserve">بستنی عروسکی الدورادو</t>
  </si>
  <si>
    <t xml:space="preserve">کیمی استارلا</t>
  </si>
  <si>
    <t xml:space="preserve">بستنی فالوده دومینو</t>
  </si>
  <si>
    <t xml:space="preserve">بستنی توت فرنگی الدورادو</t>
  </si>
  <si>
    <t xml:space="preserve">بستنی چوبی کاکائو الدورادو</t>
  </si>
  <si>
    <t xml:space="preserve">قیفی استارلا</t>
  </si>
  <si>
    <t xml:space="preserve">بستنی پیچی الدورادو</t>
  </si>
  <si>
    <t xml:space="preserve">فریزر نیلی</t>
  </si>
  <si>
    <t xml:space="preserve">سس فرانسوی سحر</t>
  </si>
  <si>
    <t xml:space="preserve">زولبیا و بامیه</t>
  </si>
  <si>
    <r>
      <rPr>
        <sz val="11"/>
        <color theme="1"/>
        <rFont val="FreeSans"/>
        <family val="2"/>
      </rPr>
      <t xml:space="preserve">آدامس نعنائی </t>
    </r>
    <r>
      <rPr>
        <sz val="11"/>
        <color theme="1"/>
        <rFont val="Calibri"/>
        <family val="2"/>
      </rPr>
      <t xml:space="preserve">Smile</t>
    </r>
  </si>
  <si>
    <t xml:space="preserve">فندک</t>
  </si>
  <si>
    <t xml:space="preserve">شکلات داغ تیم</t>
  </si>
  <si>
    <t xml:space="preserve">کاپوچینو </t>
  </si>
  <si>
    <t xml:space="preserve">رانی آناناس</t>
  </si>
  <si>
    <t xml:space="preserve">دلستر هلو لاندا</t>
  </si>
  <si>
    <t xml:space="preserve">دلستر لیمو لاندا</t>
  </si>
  <si>
    <t xml:space="preserve">دلستر استوایی آکوالند</t>
  </si>
  <si>
    <t xml:space="preserve">چیپس سرکه ای مزمز</t>
  </si>
  <si>
    <t xml:space="preserve">برنجک متوسط</t>
  </si>
  <si>
    <t xml:space="preserve">چاکلز پنیر و سبزیجات</t>
  </si>
  <si>
    <t xml:space="preserve">چاکلز جادویی</t>
  </si>
  <si>
    <t xml:space="preserve">لواشک شلاقی</t>
  </si>
  <si>
    <t xml:space="preserve">پاستیل قلبی</t>
  </si>
  <si>
    <t xml:space="preserve">چی توز طلایی خانواده</t>
  </si>
  <si>
    <t xml:space="preserve">چی توز طلایی</t>
  </si>
  <si>
    <t xml:space="preserve">ویفر خانواده نادری</t>
  </si>
  <si>
    <t xml:space="preserve">نودالیت تکی</t>
  </si>
  <si>
    <t xml:space="preserve">نودلیت مرغ</t>
  </si>
  <si>
    <t xml:space="preserve">نودلیت گوشت</t>
  </si>
  <si>
    <t xml:space="preserve">نودلیت تند</t>
  </si>
  <si>
    <t xml:space="preserve">فریزر چسبی خاتون</t>
  </si>
  <si>
    <r>
      <rPr>
        <sz val="11"/>
        <color theme="1"/>
        <rFont val="FreeSans"/>
        <family val="2"/>
      </rPr>
      <t xml:space="preserve">چسب </t>
    </r>
    <r>
      <rPr>
        <sz val="11"/>
        <color theme="1"/>
        <rFont val="Calibri"/>
        <family val="2"/>
      </rPr>
      <t xml:space="preserve">5 </t>
    </r>
    <r>
      <rPr>
        <sz val="11"/>
        <color theme="1"/>
        <rFont val="FreeSans"/>
        <family val="2"/>
      </rPr>
      <t xml:space="preserve">سانتی</t>
    </r>
  </si>
  <si>
    <t xml:space="preserve">ذغال فله</t>
  </si>
  <si>
    <t xml:space="preserve">Customers</t>
  </si>
  <si>
    <t xml:space="preserve">Sorted Custmoms</t>
  </si>
  <si>
    <t xml:space="preserve">Cust. ID</t>
  </si>
  <si>
    <t xml:space="preserve">Customer Name</t>
  </si>
  <si>
    <t xml:space="preserve">Fred Fredders</t>
  </si>
  <si>
    <t xml:space="preserve">Lisa Smith</t>
  </si>
  <si>
    <t xml:space="preserve">David Davids</t>
  </si>
  <si>
    <t xml:space="preserve">Jane Johnson</t>
  </si>
  <si>
    <t xml:space="preserve">Vendors</t>
  </si>
  <si>
    <t xml:space="preserve">Sorted Vendors</t>
  </si>
  <si>
    <t xml:space="preserve">Vend. ID</t>
  </si>
  <si>
    <t xml:space="preserve">Vendor Name</t>
  </si>
  <si>
    <t xml:space="preserve">Farmhouse Produce</t>
  </si>
  <si>
    <t xml:space="preserve">Freddres Dairy</t>
  </si>
  <si>
    <t xml:space="preserve">Jacksons Spirits</t>
  </si>
  <si>
    <t xml:space="preserve">Sally Smith</t>
  </si>
  <si>
    <t xml:space="preserve">Products</t>
  </si>
  <si>
    <t xml:space="preserve">Purchase $</t>
  </si>
  <si>
    <t xml:space="preserve">Sales $</t>
  </si>
  <si>
    <t xml:space="preserve">Category</t>
  </si>
  <si>
    <t xml:space="preserve">Subcategory</t>
  </si>
  <si>
    <t xml:space="preserve">6262003400582</t>
  </si>
  <si>
    <r>
      <rPr>
        <sz val="14"/>
        <color theme="1"/>
        <rFont val="Calibri"/>
        <family val="2"/>
      </rPr>
      <t xml:space="preserve">G1 </t>
    </r>
    <r>
      <rPr>
        <sz val="14"/>
        <color theme="1"/>
        <rFont val="FreeSans"/>
        <family val="2"/>
      </rPr>
      <t xml:space="preserve">مشکی</t>
    </r>
  </si>
  <si>
    <t xml:space="preserve">6263118300088</t>
  </si>
  <si>
    <t xml:space="preserve">6262003400629</t>
  </si>
  <si>
    <r>
      <rPr>
        <sz val="14"/>
        <color theme="1"/>
        <rFont val="Calibri"/>
        <family val="2"/>
      </rPr>
      <t xml:space="preserve">G1 </t>
    </r>
    <r>
      <rPr>
        <sz val="14"/>
        <color theme="1"/>
        <rFont val="FreeSans"/>
        <family val="2"/>
      </rPr>
      <t xml:space="preserve">نقره ای</t>
    </r>
  </si>
  <si>
    <t xml:space="preserve">4300</t>
  </si>
  <si>
    <t xml:space="preserve">اسفند کیلویی</t>
  </si>
  <si>
    <t xml:space="preserve">6260532822097</t>
  </si>
  <si>
    <t xml:space="preserve">6261310300035</t>
  </si>
  <si>
    <t xml:space="preserve">آبلیمو دلیل</t>
  </si>
  <si>
    <t xml:space="preserve">0165210131030003</t>
  </si>
  <si>
    <t xml:space="preserve">6264078400436</t>
  </si>
  <si>
    <t xml:space="preserve">بستنی کیم دومینو</t>
  </si>
  <si>
    <t xml:space="preserve">6260501700401</t>
  </si>
  <si>
    <t xml:space="preserve">آب معدنی لاندا خانواده</t>
  </si>
  <si>
    <t xml:space="preserve">6261928100249</t>
  </si>
  <si>
    <r>
      <rPr>
        <sz val="14"/>
        <color theme="1"/>
        <rFont val="FreeSans"/>
        <family val="2"/>
      </rPr>
      <t xml:space="preserve">بستنی زمستانی </t>
    </r>
    <r>
      <rPr>
        <sz val="14"/>
        <color theme="1"/>
        <rFont val="Calibri"/>
        <family val="2"/>
      </rPr>
      <t xml:space="preserve">Ronak</t>
    </r>
  </si>
  <si>
    <t xml:space="preserve">6260501700418</t>
  </si>
  <si>
    <t xml:space="preserve">آب معدنی لاندا کوچک</t>
  </si>
  <si>
    <t xml:space="preserve">6260166910269</t>
  </si>
  <si>
    <t xml:space="preserve">0160290016690011</t>
  </si>
  <si>
    <t xml:space="preserve">6260166910238</t>
  </si>
  <si>
    <t xml:space="preserve">0160290016690008</t>
  </si>
  <si>
    <t xml:space="preserve">6260567100177</t>
  </si>
  <si>
    <t xml:space="preserve">آبمیوه بدون گاز سیب موز آرامدیس</t>
  </si>
  <si>
    <t xml:space="preserve">0160210056710010</t>
  </si>
  <si>
    <t xml:space="preserve">6260166910252</t>
  </si>
  <si>
    <t xml:space="preserve">آبمیوه بدون گاز هلو شط</t>
  </si>
  <si>
    <t xml:space="preserve">0160290016690010</t>
  </si>
  <si>
    <t xml:space="preserve">6260567100191</t>
  </si>
  <si>
    <t xml:space="preserve">آبمیوه پرتقال بدون گاز آرامدیس</t>
  </si>
  <si>
    <t xml:space="preserve">6262228200028</t>
  </si>
  <si>
    <t xml:space="preserve">6260567100221</t>
  </si>
  <si>
    <t xml:space="preserve">آبمیوه چندمیوه بدون گاز آرامدیس</t>
  </si>
  <si>
    <t xml:space="preserve">آبمیوه چندمیوه بدون گاز نارونه</t>
  </si>
  <si>
    <t xml:space="preserve">60000000000011</t>
  </si>
  <si>
    <r>
      <rPr>
        <sz val="14"/>
        <color theme="1"/>
        <rFont val="FreeSans"/>
        <family val="2"/>
      </rPr>
      <t xml:space="preserve">آدامس </t>
    </r>
    <r>
      <rPr>
        <sz val="14"/>
        <color theme="1"/>
        <rFont val="Calibri"/>
        <family val="2"/>
      </rPr>
      <t xml:space="preserve">500</t>
    </r>
  </si>
  <si>
    <t xml:space="preserve">6261149070314</t>
  </si>
  <si>
    <r>
      <rPr>
        <sz val="14"/>
        <color theme="1"/>
        <rFont val="FreeSans"/>
        <family val="2"/>
      </rPr>
      <t xml:space="preserve">آدامس توت فرنگی </t>
    </r>
    <r>
      <rPr>
        <sz val="14"/>
        <color theme="1"/>
        <rFont val="Calibri"/>
        <family val="2"/>
      </rPr>
      <t xml:space="preserve">Smile</t>
    </r>
  </si>
  <si>
    <t xml:space="preserve">6260246020352</t>
  </si>
  <si>
    <t xml:space="preserve">آدامس توت فرنگی پرستو</t>
  </si>
  <si>
    <t xml:space="preserve">6260360003583</t>
  </si>
  <si>
    <r>
      <rPr>
        <sz val="14"/>
        <color theme="1"/>
        <rFont val="FreeSans"/>
        <family val="2"/>
      </rPr>
      <t xml:space="preserve">آدامس دارچینی </t>
    </r>
    <r>
      <rPr>
        <sz val="14"/>
        <color theme="1"/>
        <rFont val="Calibri"/>
        <family val="2"/>
      </rPr>
      <t xml:space="preserve">Fast</t>
    </r>
  </si>
  <si>
    <t xml:space="preserve">6261149070338</t>
  </si>
  <si>
    <r>
      <rPr>
        <sz val="14"/>
        <color theme="1"/>
        <rFont val="FreeSans"/>
        <family val="2"/>
      </rPr>
      <t xml:space="preserve">آدامس دارچینی </t>
    </r>
    <r>
      <rPr>
        <sz val="14"/>
        <color theme="1"/>
        <rFont val="Calibri"/>
        <family val="2"/>
      </rPr>
      <t xml:space="preserve">Smile</t>
    </r>
  </si>
  <si>
    <t xml:space="preserve">0162240013800049</t>
  </si>
  <si>
    <t xml:space="preserve">آدامس سبیرمنت اوینا</t>
  </si>
  <si>
    <t xml:space="preserve">60000000000010</t>
  </si>
  <si>
    <t xml:space="preserve">آدامس شیک هزار</t>
  </si>
  <si>
    <t xml:space="preserve">6261149070307</t>
  </si>
  <si>
    <r>
      <rPr>
        <sz val="14"/>
        <color theme="1"/>
        <rFont val="FreeSans"/>
        <family val="2"/>
      </rPr>
      <t xml:space="preserve">آدامس موزی </t>
    </r>
    <r>
      <rPr>
        <sz val="14"/>
        <color theme="1"/>
        <rFont val="Calibri"/>
        <family val="2"/>
      </rPr>
      <t xml:space="preserve">Smile</t>
    </r>
  </si>
  <si>
    <t xml:space="preserve">6260360003590</t>
  </si>
  <si>
    <r>
      <rPr>
        <sz val="14"/>
        <color theme="1"/>
        <rFont val="FreeSans"/>
        <family val="2"/>
      </rPr>
      <t xml:space="preserve">آدامس نعنائی </t>
    </r>
    <r>
      <rPr>
        <sz val="14"/>
        <color theme="1"/>
        <rFont val="Calibri"/>
        <family val="2"/>
      </rPr>
      <t xml:space="preserve">Fast</t>
    </r>
  </si>
  <si>
    <t xml:space="preserve">6261149070321</t>
  </si>
  <si>
    <r>
      <rPr>
        <sz val="14"/>
        <color theme="1"/>
        <rFont val="FreeSans"/>
        <family val="2"/>
      </rPr>
      <t xml:space="preserve">آدامس نعنائی </t>
    </r>
    <r>
      <rPr>
        <sz val="14"/>
        <color theme="1"/>
        <rFont val="Calibri"/>
        <family val="2"/>
      </rPr>
      <t xml:space="preserve">Smile</t>
    </r>
  </si>
  <si>
    <t xml:space="preserve">60000000000012</t>
  </si>
  <si>
    <t xml:space="preserve">آلوچه آی پارا</t>
  </si>
  <si>
    <t xml:space="preserve">60000000000045</t>
  </si>
  <si>
    <t xml:space="preserve">آلوچه کبری</t>
  </si>
  <si>
    <t xml:space="preserve">6263336000012</t>
  </si>
  <si>
    <t xml:space="preserve">3900</t>
  </si>
  <si>
    <t xml:space="preserve">بادام زمینی</t>
  </si>
  <si>
    <t xml:space="preserve">6970320874213</t>
  </si>
  <si>
    <r>
      <rPr>
        <sz val="14"/>
        <color theme="1"/>
        <rFont val="FreeSans"/>
        <family val="2"/>
      </rPr>
      <t xml:space="preserve">باطری قلمی </t>
    </r>
    <r>
      <rPr>
        <sz val="14"/>
        <color theme="1"/>
        <rFont val="Calibri"/>
        <family val="2"/>
      </rPr>
      <t xml:space="preserve">Giga cell </t>
    </r>
    <r>
      <rPr>
        <sz val="14"/>
        <color theme="1"/>
        <rFont val="FreeSans"/>
        <family val="2"/>
      </rPr>
      <t xml:space="preserve">تکی</t>
    </r>
  </si>
  <si>
    <t xml:space="preserve">6260543503855</t>
  </si>
  <si>
    <t xml:space="preserve">4400</t>
  </si>
  <si>
    <t xml:space="preserve">برنج</t>
  </si>
  <si>
    <t xml:space="preserve">6264078408258</t>
  </si>
  <si>
    <t xml:space="preserve">بستنی بیسکوادو الدورادو</t>
  </si>
  <si>
    <t xml:space="preserve">6264078408005</t>
  </si>
  <si>
    <t xml:space="preserve">6260176806545</t>
  </si>
  <si>
    <t xml:space="preserve">بستنی چوبی برنارد</t>
  </si>
  <si>
    <t xml:space="preserve">6261163400258</t>
  </si>
  <si>
    <t xml:space="preserve">بستنی حصیری چشمه چین</t>
  </si>
  <si>
    <t xml:space="preserve">60000000000033</t>
  </si>
  <si>
    <t xml:space="preserve">بستنی زمستانی</t>
  </si>
  <si>
    <t xml:space="preserve">6264078400719</t>
  </si>
  <si>
    <t xml:space="preserve">بستنی عروسکی دومینو</t>
  </si>
  <si>
    <t xml:space="preserve">6261163400012</t>
  </si>
  <si>
    <t xml:space="preserve">6261640507784</t>
  </si>
  <si>
    <t xml:space="preserve">بستنی نان خامه ای به تک</t>
  </si>
  <si>
    <t xml:space="preserve">6261163400104</t>
  </si>
  <si>
    <t xml:space="preserve">بستنی وانیل لیوانی چشمه چین</t>
  </si>
  <si>
    <t xml:space="preserve">4500</t>
  </si>
  <si>
    <t xml:space="preserve">بنزین بطری</t>
  </si>
  <si>
    <t xml:space="preserve">4600</t>
  </si>
  <si>
    <t xml:space="preserve">بنزین دو لیتری</t>
  </si>
  <si>
    <t xml:space="preserve">6261204000133</t>
  </si>
  <si>
    <t xml:space="preserve">6269365700077</t>
  </si>
  <si>
    <t xml:space="preserve">6269365700152</t>
  </si>
  <si>
    <t xml:space="preserve">6269365700084</t>
  </si>
  <si>
    <t xml:space="preserve">6269365700138</t>
  </si>
  <si>
    <t xml:space="preserve">بیستون نقره ای پایه بلند</t>
  </si>
  <si>
    <t xml:space="preserve">6269365700091</t>
  </si>
  <si>
    <t xml:space="preserve">6262098700048</t>
  </si>
  <si>
    <t xml:space="preserve">بیسکوئیت پذیرایی پویان فر</t>
  </si>
  <si>
    <t xml:space="preserve">6260501001065</t>
  </si>
  <si>
    <t xml:space="preserve">بیسکوئیت دایجستیو نادری</t>
  </si>
  <si>
    <t xml:space="preserve">2700</t>
  </si>
  <si>
    <t xml:space="preserve">بیسکوئیت فله</t>
  </si>
  <si>
    <t xml:space="preserve">6260501003083</t>
  </si>
  <si>
    <t xml:space="preserve">بیسکوئیت کنجد و ریحان نادری</t>
  </si>
  <si>
    <t xml:space="preserve">6260501003090</t>
  </si>
  <si>
    <t xml:space="preserve">بیسکوئیت کنجد و شوید نادری</t>
  </si>
  <si>
    <t xml:space="preserve">6260003111798</t>
  </si>
  <si>
    <t xml:space="preserve">6261178014044</t>
  </si>
  <si>
    <t xml:space="preserve">6261149065594</t>
  </si>
  <si>
    <r>
      <rPr>
        <sz val="14"/>
        <color theme="1"/>
        <rFont val="FreeSans"/>
        <family val="2"/>
      </rPr>
      <t xml:space="preserve">پاستیل </t>
    </r>
    <r>
      <rPr>
        <sz val="14"/>
        <color theme="1"/>
        <rFont val="Calibri"/>
        <family val="2"/>
      </rPr>
      <t xml:space="preserve">jelifun </t>
    </r>
    <r>
      <rPr>
        <sz val="14"/>
        <color theme="1"/>
        <rFont val="FreeSans"/>
        <family val="2"/>
      </rPr>
      <t xml:space="preserve">شیرین عسل</t>
    </r>
  </si>
  <si>
    <t xml:space="preserve">6931905021019</t>
  </si>
  <si>
    <t xml:space="preserve">پاک کن</t>
  </si>
  <si>
    <t xml:space="preserve">227322517542789</t>
  </si>
  <si>
    <t xml:space="preserve">پاکت فریزر پرفراژ دار نیلی</t>
  </si>
  <si>
    <t xml:space="preserve">228422517542789</t>
  </si>
  <si>
    <t xml:space="preserve">پاکت فریزر نیلی</t>
  </si>
  <si>
    <t xml:space="preserve">60000000000018</t>
  </si>
  <si>
    <t xml:space="preserve">پای سیب</t>
  </si>
  <si>
    <t xml:space="preserve">6260501000563</t>
  </si>
  <si>
    <t xml:space="preserve">پتی بور کاکائو نادری</t>
  </si>
  <si>
    <t xml:space="preserve">6260501000556</t>
  </si>
  <si>
    <t xml:space="preserve">پتی بور وانیلی نادری</t>
  </si>
  <si>
    <t xml:space="preserve">6262894300671</t>
  </si>
  <si>
    <t xml:space="preserve">پرستون</t>
  </si>
  <si>
    <t xml:space="preserve">60000000000036</t>
  </si>
  <si>
    <t xml:space="preserve">پشمک تکی</t>
  </si>
  <si>
    <t xml:space="preserve">6260543504883</t>
  </si>
  <si>
    <t xml:space="preserve">پفک پنیری چاکلز</t>
  </si>
  <si>
    <t xml:space="preserve">6260543504906</t>
  </si>
  <si>
    <t xml:space="preserve">پفک پنیری خانواده چاکلز </t>
  </si>
  <si>
    <t xml:space="preserve">6265663103930</t>
  </si>
  <si>
    <t xml:space="preserve">پفک توپی خانواده لینا </t>
  </si>
  <si>
    <t xml:space="preserve">6260501002024</t>
  </si>
  <si>
    <t xml:space="preserve">پفک توپی نادری</t>
  </si>
  <si>
    <t xml:space="preserve">6260543502865</t>
  </si>
  <si>
    <t xml:space="preserve">پفک توپی و حلقه ای چاکلز</t>
  </si>
  <si>
    <t xml:space="preserve">0162900054350484</t>
  </si>
  <si>
    <t xml:space="preserve">پفک چاکلز جادویی</t>
  </si>
  <si>
    <t xml:space="preserve">6260501002055</t>
  </si>
  <si>
    <t xml:space="preserve">پفک چرخی نادری</t>
  </si>
  <si>
    <t xml:space="preserve">6262477390211</t>
  </si>
  <si>
    <t xml:space="preserve">پفک طلایی پنیری مزمز</t>
  </si>
  <si>
    <t xml:space="preserve">6260501002048</t>
  </si>
  <si>
    <t xml:space="preserve">پفک طلایی نادری</t>
  </si>
  <si>
    <t xml:space="preserve">6265663104609</t>
  </si>
  <si>
    <t xml:space="preserve">پفک لوله ای خانواده لینا </t>
  </si>
  <si>
    <t xml:space="preserve">6260501002017</t>
  </si>
  <si>
    <t xml:space="preserve">پفک لوله ای نادری</t>
  </si>
  <si>
    <t xml:space="preserve">6260501002260</t>
  </si>
  <si>
    <t xml:space="preserve">پفک لوله ای نادری خانواده</t>
  </si>
  <si>
    <t xml:space="preserve">6265663103558</t>
  </si>
  <si>
    <t xml:space="preserve">6265663103565</t>
  </si>
  <si>
    <t xml:space="preserve">6260100109391</t>
  </si>
  <si>
    <t xml:space="preserve">پفک نمکی مینو</t>
  </si>
  <si>
    <t xml:space="preserve">1200</t>
  </si>
  <si>
    <t xml:space="preserve">پنیر</t>
  </si>
  <si>
    <t xml:space="preserve">6260470700013</t>
  </si>
  <si>
    <t xml:space="preserve">پودر بهداشتی سولدی</t>
  </si>
  <si>
    <t xml:space="preserve">6260001400917</t>
  </si>
  <si>
    <r>
      <rPr>
        <sz val="14"/>
        <color theme="1"/>
        <rFont val="FreeSans"/>
        <family val="2"/>
      </rPr>
      <t xml:space="preserve">پودر رخت شویی </t>
    </r>
    <r>
      <rPr>
        <sz val="14"/>
        <color theme="1"/>
        <rFont val="Calibri"/>
        <family val="2"/>
      </rPr>
      <t xml:space="preserve">Home Care</t>
    </r>
  </si>
  <si>
    <t xml:space="preserve">6260232802672</t>
  </si>
  <si>
    <t xml:space="preserve">پودر رختشویی آبان</t>
  </si>
  <si>
    <t xml:space="preserve">6260103123486</t>
  </si>
  <si>
    <t xml:space="preserve">پودر ژله رضوی</t>
  </si>
  <si>
    <t xml:space="preserve">6262554201348</t>
  </si>
  <si>
    <r>
      <rPr>
        <sz val="14"/>
        <color theme="1"/>
        <rFont val="FreeSans"/>
        <family val="2"/>
      </rPr>
      <t xml:space="preserve">پودر ماشین لباسشویی </t>
    </r>
    <r>
      <rPr>
        <sz val="14"/>
        <color theme="1"/>
        <rFont val="Calibri"/>
        <family val="2"/>
      </rPr>
      <t xml:space="preserve">Safari</t>
    </r>
  </si>
  <si>
    <t xml:space="preserve">6263414002501</t>
  </si>
  <si>
    <t xml:space="preserve">پودر ماشین لباسشویی تاژ</t>
  </si>
  <si>
    <t xml:space="preserve">6261005083618</t>
  </si>
  <si>
    <t xml:space="preserve">پودر ماشین لباسشویی یکتا</t>
  </si>
  <si>
    <t xml:space="preserve">6261580000031</t>
  </si>
  <si>
    <t xml:space="preserve">6269432700030</t>
  </si>
  <si>
    <t xml:space="preserve">پودر مورچه آژار</t>
  </si>
  <si>
    <t xml:space="preserve">60000000000009</t>
  </si>
  <si>
    <r>
      <rPr>
        <sz val="14"/>
        <color theme="1"/>
        <rFont val="FreeSans"/>
        <family val="2"/>
      </rPr>
      <t xml:space="preserve">تافی </t>
    </r>
    <r>
      <rPr>
        <sz val="14"/>
        <color theme="1"/>
        <rFont val="Calibri"/>
        <family val="2"/>
      </rPr>
      <t xml:space="preserve">Teehoo</t>
    </r>
  </si>
  <si>
    <t xml:space="preserve">6260170901697</t>
  </si>
  <si>
    <t xml:space="preserve">تافی با روکش کاکائو نادری</t>
  </si>
  <si>
    <t xml:space="preserve">6260170901710</t>
  </si>
  <si>
    <t xml:space="preserve">1300</t>
  </si>
  <si>
    <t xml:space="preserve">60000000000029</t>
  </si>
  <si>
    <t xml:space="preserve">تخمه آفتابگردان</t>
  </si>
  <si>
    <t xml:space="preserve">6959023907183</t>
  </si>
  <si>
    <t xml:space="preserve">تراش</t>
  </si>
  <si>
    <t xml:space="preserve">60000000000006</t>
  </si>
  <si>
    <t xml:space="preserve">تمبر هندی</t>
  </si>
  <si>
    <t xml:space="preserve">6268612400074</t>
  </si>
  <si>
    <t xml:space="preserve">8964000765135</t>
  </si>
  <si>
    <r>
      <rPr>
        <sz val="14"/>
        <color theme="1"/>
        <rFont val="FreeSans"/>
        <family val="2"/>
      </rPr>
      <t xml:space="preserve">تیغ </t>
    </r>
    <r>
      <rPr>
        <sz val="14"/>
        <color theme="1"/>
        <rFont val="Calibri"/>
        <family val="2"/>
      </rPr>
      <t xml:space="preserve">Treet</t>
    </r>
  </si>
  <si>
    <t xml:space="preserve">60000000000019</t>
  </si>
  <si>
    <t xml:space="preserve">جوراب نانو</t>
  </si>
  <si>
    <t xml:space="preserve">6260543502650</t>
  </si>
  <si>
    <t xml:space="preserve">چاکلز فنری</t>
  </si>
  <si>
    <t xml:space="preserve">6260026120036</t>
  </si>
  <si>
    <t xml:space="preserve">چای ارل گری شهرزاد</t>
  </si>
  <si>
    <t xml:space="preserve">60000000000026</t>
  </si>
  <si>
    <t xml:space="preserve">چایی</t>
  </si>
  <si>
    <t xml:space="preserve">6263696200046</t>
  </si>
  <si>
    <r>
      <rPr>
        <sz val="14"/>
        <color theme="1"/>
        <rFont val="FreeSans"/>
        <family val="2"/>
      </rPr>
      <t xml:space="preserve">چسب </t>
    </r>
    <r>
      <rPr>
        <sz val="14"/>
        <color theme="1"/>
        <rFont val="Calibri"/>
        <family val="2"/>
      </rPr>
      <t xml:space="preserve">123 Muta Fix</t>
    </r>
  </si>
  <si>
    <t xml:space="preserve">6260581100023</t>
  </si>
  <si>
    <t xml:space="preserve">چسب زخم فیکو پلاست</t>
  </si>
  <si>
    <t xml:space="preserve">60000000000025</t>
  </si>
  <si>
    <t xml:space="preserve">60000000000022</t>
  </si>
  <si>
    <t xml:space="preserve">6260421200579</t>
  </si>
  <si>
    <t xml:space="preserve">چی پف تخم مرغی دینا</t>
  </si>
  <si>
    <t xml:space="preserve">6261847503909</t>
  </si>
  <si>
    <t xml:space="preserve">چی پف توپی دینا</t>
  </si>
  <si>
    <t xml:space="preserve">6263812802130</t>
  </si>
  <si>
    <t xml:space="preserve">چی پلت  سرکه ای دینا</t>
  </si>
  <si>
    <t xml:space="preserve">6263812802123</t>
  </si>
  <si>
    <t xml:space="preserve">چی پلت کچاپ دینا</t>
  </si>
  <si>
    <t xml:space="preserve">6263812801256</t>
  </si>
  <si>
    <t xml:space="preserve">6260053184018</t>
  </si>
  <si>
    <t xml:space="preserve">چیپس پیاز جعفری چی توز</t>
  </si>
  <si>
    <t xml:space="preserve">6260575902824</t>
  </si>
  <si>
    <t xml:space="preserve">6260002931380</t>
  </si>
  <si>
    <t xml:space="preserve">0162900054350535</t>
  </si>
  <si>
    <t xml:space="preserve">چیپس سرکه ای چاکلز</t>
  </si>
  <si>
    <t xml:space="preserve">6260543502964</t>
  </si>
  <si>
    <t xml:space="preserve">چیپس سرکه چاکلز</t>
  </si>
  <si>
    <t xml:space="preserve">6260543502216</t>
  </si>
  <si>
    <t xml:space="preserve">چیپس سرکه چاکلز خانواده</t>
  </si>
  <si>
    <t xml:space="preserve">0162900054350454</t>
  </si>
  <si>
    <t xml:space="preserve">6260575900554</t>
  </si>
  <si>
    <t xml:space="preserve">چیپس سیب زمینی لیمو باتو</t>
  </si>
  <si>
    <t xml:space="preserve">6260543502902</t>
  </si>
  <si>
    <t xml:space="preserve">چیپس سیر و سبزیحات چاکلز</t>
  </si>
  <si>
    <t xml:space="preserve">6260053183981</t>
  </si>
  <si>
    <t xml:space="preserve">چیپس فلفلی خانواده چی توز </t>
  </si>
  <si>
    <t xml:space="preserve">6260575903227</t>
  </si>
  <si>
    <t xml:space="preserve">چیپس کچاپ باتو</t>
  </si>
  <si>
    <t xml:space="preserve">6260543502940</t>
  </si>
  <si>
    <t xml:space="preserve">چیپس کچاپ چاکلز</t>
  </si>
  <si>
    <t xml:space="preserve">0162900054350533</t>
  </si>
  <si>
    <t xml:space="preserve">6260543502247</t>
  </si>
  <si>
    <t xml:space="preserve">چیپس کچاپ چاکلز خانواده</t>
  </si>
  <si>
    <t xml:space="preserve">0162900054350457</t>
  </si>
  <si>
    <t xml:space="preserve">چیپس لیمو باتو</t>
  </si>
  <si>
    <t xml:space="preserve">6260543502971</t>
  </si>
  <si>
    <t xml:space="preserve">چیپس ماست و ریحان چاکلز</t>
  </si>
  <si>
    <t xml:space="preserve">6269994000012</t>
  </si>
  <si>
    <t xml:space="preserve">حشره کش بایکوت</t>
  </si>
  <si>
    <t xml:space="preserve">6260861800346</t>
  </si>
  <si>
    <t xml:space="preserve">حلواشکری علاقه مند</t>
  </si>
  <si>
    <t xml:space="preserve">6260405200809</t>
  </si>
  <si>
    <t xml:space="preserve">خامه نیم چرب صباح</t>
  </si>
  <si>
    <t xml:space="preserve">1400</t>
  </si>
  <si>
    <t xml:space="preserve">خرما مرسانا</t>
  </si>
  <si>
    <t xml:space="preserve">6260053185954</t>
  </si>
  <si>
    <t xml:space="preserve">خلالی چی توز خانواده</t>
  </si>
  <si>
    <t xml:space="preserve">6261101511152</t>
  </si>
  <si>
    <t xml:space="preserve">8902061154857</t>
  </si>
  <si>
    <r>
      <rPr>
        <sz val="14"/>
        <color theme="1"/>
        <rFont val="FreeSans"/>
        <family val="2"/>
      </rPr>
      <t xml:space="preserve">خودکار آبی </t>
    </r>
    <r>
      <rPr>
        <sz val="14"/>
        <color theme="1"/>
        <rFont val="Calibri"/>
        <family val="2"/>
      </rPr>
      <t xml:space="preserve">Claro</t>
    </r>
  </si>
  <si>
    <t xml:space="preserve">6260556513889</t>
  </si>
  <si>
    <t xml:space="preserve">خودکار آبی الوند</t>
  </si>
  <si>
    <t xml:space="preserve">6260556513940</t>
  </si>
  <si>
    <t xml:space="preserve">خودکار مشکی الوند</t>
  </si>
  <si>
    <t xml:space="preserve">60000000000017</t>
  </si>
  <si>
    <t xml:space="preserve">دارچین </t>
  </si>
  <si>
    <t xml:space="preserve">60000000000028</t>
  </si>
  <si>
    <t xml:space="preserve">دارچین چوبی</t>
  </si>
  <si>
    <t xml:space="preserve">60000000000060</t>
  </si>
  <si>
    <t xml:space="preserve">دراژه کاکائویی افشنگ</t>
  </si>
  <si>
    <t xml:space="preserve">6260501001614</t>
  </si>
  <si>
    <t xml:space="preserve">دراژه کاکائویی بانتی</t>
  </si>
  <si>
    <t xml:space="preserve">6260567199461</t>
  </si>
  <si>
    <t xml:space="preserve">دراژه کاکائویی ورقی به آمد</t>
  </si>
  <si>
    <t xml:space="preserve">60000000000021</t>
  </si>
  <si>
    <t xml:space="preserve">دستکش استاد کار</t>
  </si>
  <si>
    <t xml:space="preserve">6260009110061</t>
  </si>
  <si>
    <t xml:space="preserve">دستکش خانگی ساق بلند پرین</t>
  </si>
  <si>
    <t xml:space="preserve">6260045200610</t>
  </si>
  <si>
    <t xml:space="preserve">دستکش خانگی ساق بلند رز مریم</t>
  </si>
  <si>
    <t xml:space="preserve">6260140300154</t>
  </si>
  <si>
    <r>
      <rPr>
        <sz val="14"/>
        <color theme="1"/>
        <rFont val="FreeSans"/>
        <family val="2"/>
      </rPr>
      <t xml:space="preserve">دستکش صنعتی کاریار </t>
    </r>
    <r>
      <rPr>
        <sz val="14"/>
        <color theme="1"/>
        <rFont val="Calibri"/>
        <family val="2"/>
      </rPr>
      <t xml:space="preserve">Large</t>
    </r>
  </si>
  <si>
    <t xml:space="preserve">6261153400022</t>
  </si>
  <si>
    <t xml:space="preserve">دستکش نخی کالکان</t>
  </si>
  <si>
    <t xml:space="preserve">6261156800027</t>
  </si>
  <si>
    <t xml:space="preserve">6262816600025</t>
  </si>
  <si>
    <r>
      <rPr>
        <sz val="14"/>
        <color theme="1"/>
        <rFont val="FreeSans"/>
        <family val="2"/>
      </rPr>
      <t xml:space="preserve">دستمال کاغذی </t>
    </r>
    <r>
      <rPr>
        <sz val="14"/>
        <color theme="1"/>
        <rFont val="Calibri"/>
        <family val="2"/>
      </rPr>
      <t xml:space="preserve">3 </t>
    </r>
    <r>
      <rPr>
        <sz val="14"/>
        <color theme="1"/>
        <rFont val="FreeSans"/>
        <family val="2"/>
      </rPr>
      <t xml:space="preserve">تایی نازبر</t>
    </r>
  </si>
  <si>
    <t xml:space="preserve">6260162504646</t>
  </si>
  <si>
    <r>
      <rPr>
        <sz val="14"/>
        <color theme="1"/>
        <rFont val="FreeSans"/>
        <family val="2"/>
      </rPr>
      <t xml:space="preserve">دستمال کاغذی </t>
    </r>
    <r>
      <rPr>
        <sz val="14"/>
        <color theme="1"/>
        <rFont val="Calibri"/>
        <family val="2"/>
      </rPr>
      <t xml:space="preserve">50 </t>
    </r>
    <r>
      <rPr>
        <sz val="14"/>
        <color theme="1"/>
        <rFont val="FreeSans"/>
        <family val="2"/>
      </rPr>
      <t xml:space="preserve">ورق بیتا</t>
    </r>
  </si>
  <si>
    <t xml:space="preserve">6260079272645</t>
  </si>
  <si>
    <r>
      <rPr>
        <sz val="14"/>
        <color theme="1"/>
        <rFont val="FreeSans"/>
        <family val="2"/>
      </rPr>
      <t xml:space="preserve">دلستر </t>
    </r>
    <r>
      <rPr>
        <sz val="14"/>
        <color theme="1"/>
        <rFont val="Calibri"/>
        <family val="2"/>
      </rPr>
      <t xml:space="preserve">Blue Tropical </t>
    </r>
    <r>
      <rPr>
        <sz val="14"/>
        <color theme="1"/>
        <rFont val="FreeSans"/>
        <family val="2"/>
      </rPr>
      <t xml:space="preserve">دادلی</t>
    </r>
  </si>
  <si>
    <t xml:space="preserve">6260079211095</t>
  </si>
  <si>
    <t xml:space="preserve">دلستر انبه بهنوش</t>
  </si>
  <si>
    <t xml:space="preserve">6260079216014</t>
  </si>
  <si>
    <t xml:space="preserve">دلستر انگور قرمز گازدار تاک</t>
  </si>
  <si>
    <t xml:space="preserve">6260789600363</t>
  </si>
  <si>
    <t xml:space="preserve">دلستر انگور قرمز گازدار خوش تاک</t>
  </si>
  <si>
    <t xml:space="preserve">6261196090563</t>
  </si>
  <si>
    <t xml:space="preserve">دلستر انگور قرمز گازدار ساندیس</t>
  </si>
  <si>
    <t xml:space="preserve">6260079240781</t>
  </si>
  <si>
    <t xml:space="preserve">دلستر آلوئه ورا بهنوش</t>
  </si>
  <si>
    <t xml:space="preserve">6260079215017</t>
  </si>
  <si>
    <t xml:space="preserve">6260079210043</t>
  </si>
  <si>
    <r>
      <rPr>
        <sz val="14"/>
        <color theme="1"/>
        <rFont val="FreeSans"/>
        <family val="2"/>
      </rPr>
      <t xml:space="preserve">دلستر لیمو شیشه ای  </t>
    </r>
    <r>
      <rPr>
        <sz val="14"/>
        <color theme="1"/>
        <rFont val="Calibri"/>
        <family val="2"/>
      </rPr>
      <t xml:space="preserve">Delester</t>
    </r>
  </si>
  <si>
    <t xml:space="preserve">6260501700197</t>
  </si>
  <si>
    <t xml:space="preserve">دلستر لیمو مرحبا</t>
  </si>
  <si>
    <t xml:space="preserve">7000</t>
  </si>
  <si>
    <t xml:space="preserve">6261422503423</t>
  </si>
  <si>
    <t xml:space="preserve">6261422504086</t>
  </si>
  <si>
    <t xml:space="preserve">رانی سیب</t>
  </si>
  <si>
    <t xml:space="preserve">6261422503782</t>
  </si>
  <si>
    <t xml:space="preserve">6269352100828</t>
  </si>
  <si>
    <t xml:space="preserve">رب گوجه فرنگی خوشبخت</t>
  </si>
  <si>
    <t xml:space="preserve">6260243211029</t>
  </si>
  <si>
    <r>
      <rPr>
        <sz val="14"/>
        <color theme="1"/>
        <rFont val="FreeSans"/>
        <family val="2"/>
      </rPr>
      <t xml:space="preserve">رشته سوپ </t>
    </r>
    <r>
      <rPr>
        <sz val="14"/>
        <color theme="1"/>
        <rFont val="Calibri"/>
        <family val="2"/>
      </rPr>
      <t xml:space="preserve">ADL</t>
    </r>
  </si>
  <si>
    <t xml:space="preserve">6260295101385</t>
  </si>
  <si>
    <r>
      <rPr>
        <sz val="14"/>
        <color theme="1"/>
        <rFont val="FreeSans"/>
        <family val="2"/>
      </rPr>
      <t xml:space="preserve">روغن </t>
    </r>
    <r>
      <rPr>
        <sz val="14"/>
        <color theme="1"/>
        <rFont val="Calibri"/>
        <family val="2"/>
      </rPr>
      <t xml:space="preserve">5 </t>
    </r>
    <r>
      <rPr>
        <sz val="14"/>
        <color theme="1"/>
        <rFont val="FreeSans"/>
        <family val="2"/>
      </rPr>
      <t xml:space="preserve">کیلویی ساعی</t>
    </r>
  </si>
  <si>
    <t xml:space="preserve">6262144201185</t>
  </si>
  <si>
    <t xml:space="preserve">روغن مایع مخلوط خانواده نگین</t>
  </si>
  <si>
    <t xml:space="preserve">6262754000161</t>
  </si>
  <si>
    <t xml:space="preserve">روغن مایع مخلوط کوچک هایلی</t>
  </si>
  <si>
    <t xml:space="preserve">6262144200843</t>
  </si>
  <si>
    <t xml:space="preserve">روغن مخصوص سرخ کردنی خانواده نگین</t>
  </si>
  <si>
    <t xml:space="preserve">6262032507221</t>
  </si>
  <si>
    <t xml:space="preserve">روغن مخصوص سرخ کردنی کوچک فامیلا</t>
  </si>
  <si>
    <t xml:space="preserve">6900</t>
  </si>
  <si>
    <t xml:space="preserve">زاج</t>
  </si>
  <si>
    <t xml:space="preserve">6800</t>
  </si>
  <si>
    <t xml:space="preserve">60000000000061</t>
  </si>
  <si>
    <r>
      <rPr>
        <sz val="14"/>
        <color theme="1"/>
        <rFont val="FreeSans"/>
        <family val="2"/>
      </rPr>
      <t xml:space="preserve">زغال </t>
    </r>
    <r>
      <rPr>
        <sz val="14"/>
        <color theme="1"/>
        <rFont val="Calibri"/>
        <family val="2"/>
      </rPr>
      <t xml:space="preserve">IMAX</t>
    </r>
  </si>
  <si>
    <t xml:space="preserve">60000000000041</t>
  </si>
  <si>
    <t xml:space="preserve">زنجبیل</t>
  </si>
  <si>
    <t xml:space="preserve">6260623920343</t>
  </si>
  <si>
    <t xml:space="preserve">ژله آماده سوتاش</t>
  </si>
  <si>
    <t xml:space="preserve">6501055825012</t>
  </si>
  <si>
    <r>
      <rPr>
        <sz val="14"/>
        <color theme="1"/>
        <rFont val="FreeSans"/>
        <family val="2"/>
      </rPr>
      <t xml:space="preserve">ژیلت </t>
    </r>
    <r>
      <rPr>
        <sz val="14"/>
        <color theme="1"/>
        <rFont val="Calibri"/>
        <family val="2"/>
      </rPr>
      <t xml:space="preserve">GT-H</t>
    </r>
  </si>
  <si>
    <t xml:space="preserve">6162730734892</t>
  </si>
  <si>
    <t xml:space="preserve">ژیلت داروکو </t>
  </si>
  <si>
    <t xml:space="preserve">6269183300114</t>
  </si>
  <si>
    <t xml:space="preserve">سس گوجه فرنگی تند منحصر</t>
  </si>
  <si>
    <t xml:space="preserve">60000000000008</t>
  </si>
  <si>
    <t xml:space="preserve">سس گوجه فرنگی منحصر</t>
  </si>
  <si>
    <t xml:space="preserve">60000000000039</t>
  </si>
  <si>
    <t xml:space="preserve">سنگ فندک</t>
  </si>
  <si>
    <t xml:space="preserve">6260055843234</t>
  </si>
  <si>
    <t xml:space="preserve">سون آپ خانواده</t>
  </si>
  <si>
    <t xml:space="preserve">6261845300227</t>
  </si>
  <si>
    <t xml:space="preserve">سون آپ کوچک</t>
  </si>
  <si>
    <t xml:space="preserve">60000000000014</t>
  </si>
  <si>
    <t xml:space="preserve">سویا</t>
  </si>
  <si>
    <t xml:space="preserve">0236120120400057</t>
  </si>
  <si>
    <t xml:space="preserve">سیگار کیش</t>
  </si>
  <si>
    <t xml:space="preserve">60000000000024</t>
  </si>
  <si>
    <t xml:space="preserve">شاخه نبات</t>
  </si>
  <si>
    <t xml:space="preserve">1500</t>
  </si>
  <si>
    <r>
      <rPr>
        <sz val="14"/>
        <color theme="1"/>
        <rFont val="FreeSans"/>
        <family val="2"/>
      </rPr>
      <t xml:space="preserve">شارژ </t>
    </r>
    <r>
      <rPr>
        <sz val="14"/>
        <color theme="1"/>
        <rFont val="Calibri"/>
        <family val="2"/>
      </rPr>
      <t xml:space="preserve">10 </t>
    </r>
    <r>
      <rPr>
        <sz val="14"/>
        <color theme="1"/>
        <rFont val="FreeSans"/>
        <family val="2"/>
      </rPr>
      <t xml:space="preserve">هزار</t>
    </r>
  </si>
  <si>
    <t xml:space="preserve">1600</t>
  </si>
  <si>
    <r>
      <rPr>
        <sz val="14"/>
        <color theme="1"/>
        <rFont val="FreeSans"/>
        <family val="2"/>
      </rPr>
      <t xml:space="preserve">شارژ </t>
    </r>
    <r>
      <rPr>
        <sz val="14"/>
        <color theme="1"/>
        <rFont val="Calibri"/>
        <family val="2"/>
      </rPr>
      <t xml:space="preserve">2 </t>
    </r>
    <r>
      <rPr>
        <sz val="14"/>
        <color theme="1"/>
        <rFont val="FreeSans"/>
        <family val="2"/>
      </rPr>
      <t xml:space="preserve">هزار</t>
    </r>
  </si>
  <si>
    <t xml:space="preserve">1700</t>
  </si>
  <si>
    <r>
      <rPr>
        <sz val="14"/>
        <color theme="1"/>
        <rFont val="FreeSans"/>
        <family val="2"/>
      </rPr>
      <t xml:space="preserve">شارژ </t>
    </r>
    <r>
      <rPr>
        <sz val="14"/>
        <color theme="1"/>
        <rFont val="Calibri"/>
        <family val="2"/>
      </rPr>
      <t xml:space="preserve">20 </t>
    </r>
    <r>
      <rPr>
        <sz val="14"/>
        <color theme="1"/>
        <rFont val="FreeSans"/>
        <family val="2"/>
      </rPr>
      <t xml:space="preserve">هزار</t>
    </r>
  </si>
  <si>
    <t xml:space="preserve">1800</t>
  </si>
  <si>
    <r>
      <rPr>
        <sz val="14"/>
        <color theme="1"/>
        <rFont val="FreeSans"/>
        <family val="2"/>
      </rPr>
      <t xml:space="preserve">شارژ </t>
    </r>
    <r>
      <rPr>
        <sz val="14"/>
        <color theme="1"/>
        <rFont val="Calibri"/>
        <family val="2"/>
      </rPr>
      <t xml:space="preserve">5 </t>
    </r>
    <r>
      <rPr>
        <sz val="14"/>
        <color theme="1"/>
        <rFont val="FreeSans"/>
        <family val="2"/>
      </rPr>
      <t xml:space="preserve">هزار</t>
    </r>
  </si>
  <si>
    <t xml:space="preserve">6260031021038</t>
  </si>
  <si>
    <t xml:space="preserve">6260374100292</t>
  </si>
  <si>
    <t xml:space="preserve">شامپو سیر ناران</t>
  </si>
  <si>
    <t xml:space="preserve">6261101521205</t>
  </si>
  <si>
    <t xml:space="preserve">شامپو شبنم معمولی بزرگ پاکسان</t>
  </si>
  <si>
    <t xml:space="preserve">6261101521038</t>
  </si>
  <si>
    <t xml:space="preserve">6260031000026</t>
  </si>
  <si>
    <t xml:space="preserve">6700</t>
  </si>
  <si>
    <t xml:space="preserve">60000000000003</t>
  </si>
  <si>
    <t xml:space="preserve">شکلات عسلی</t>
  </si>
  <si>
    <t xml:space="preserve">6261178540284</t>
  </si>
  <si>
    <t xml:space="preserve">6260016340666</t>
  </si>
  <si>
    <t xml:space="preserve">شیشه پاک کن رایت</t>
  </si>
  <si>
    <t xml:space="preserve">6263936300758</t>
  </si>
  <si>
    <t xml:space="preserve">6262616200135</t>
  </si>
  <si>
    <t xml:space="preserve">صابون گل نرگس بسته ای</t>
  </si>
  <si>
    <t xml:space="preserve">2161230261620003</t>
  </si>
  <si>
    <t xml:space="preserve">صابون گل نرگس تکی</t>
  </si>
  <si>
    <t xml:space="preserve">6261101313039</t>
  </si>
  <si>
    <t xml:space="preserve">6600</t>
  </si>
  <si>
    <t xml:space="preserve">صابون گلنار تکی</t>
  </si>
  <si>
    <t xml:space="preserve">60000000000031</t>
  </si>
  <si>
    <t xml:space="preserve">60000000000043</t>
  </si>
  <si>
    <t xml:space="preserve">6260591010381</t>
  </si>
  <si>
    <t xml:space="preserve">فراورده بیسکوئیت با کاکائو تانیان</t>
  </si>
  <si>
    <t xml:space="preserve">60000000000020</t>
  </si>
  <si>
    <t xml:space="preserve">فندک </t>
  </si>
  <si>
    <t xml:space="preserve">60000000000004</t>
  </si>
  <si>
    <t xml:space="preserve">قرص نعنا</t>
  </si>
  <si>
    <t xml:space="preserve">60000000000016</t>
  </si>
  <si>
    <t xml:space="preserve">قلنجان</t>
  </si>
  <si>
    <t xml:space="preserve">60000000000023</t>
  </si>
  <si>
    <t xml:space="preserve">قند</t>
  </si>
  <si>
    <t xml:space="preserve">6260360050358</t>
  </si>
  <si>
    <t xml:space="preserve">قهوه بدون شکر کوپا</t>
  </si>
  <si>
    <t xml:space="preserve">6260360000230</t>
  </si>
  <si>
    <t xml:space="preserve">قهوه شکلاتی کوپا</t>
  </si>
  <si>
    <t xml:space="preserve">6260360000254</t>
  </si>
  <si>
    <t xml:space="preserve">قهوه فندقی کوپا</t>
  </si>
  <si>
    <t xml:space="preserve">6260360000285</t>
  </si>
  <si>
    <t xml:space="preserve">قهوه کلاسیک کوپا</t>
  </si>
  <si>
    <t xml:space="preserve">6260623920886</t>
  </si>
  <si>
    <t xml:space="preserve">کاکائو ساعتی سوتاش</t>
  </si>
  <si>
    <t xml:space="preserve">1169910018400002</t>
  </si>
  <si>
    <t xml:space="preserve">کبریت بسته ای</t>
  </si>
  <si>
    <t xml:space="preserve">1169910018400001</t>
  </si>
  <si>
    <t xml:space="preserve">6260501002598</t>
  </si>
  <si>
    <t xml:space="preserve">کراکر کنجد و زیره سیاه نادری</t>
  </si>
  <si>
    <t xml:space="preserve">6260501002635</t>
  </si>
  <si>
    <t xml:space="preserve">کراکر گوجه و ریحان نادری</t>
  </si>
  <si>
    <t xml:space="preserve">6260543502803</t>
  </si>
  <si>
    <t xml:space="preserve">کرانچی پنیری چاکلز</t>
  </si>
  <si>
    <t xml:space="preserve">6261847503244</t>
  </si>
  <si>
    <t xml:space="preserve">6262477320355</t>
  </si>
  <si>
    <t xml:space="preserve">کرانچی فلفلی مزمز</t>
  </si>
  <si>
    <t xml:space="preserve">6260623900437</t>
  </si>
  <si>
    <t xml:space="preserve">کرم کاکائو سوتاش</t>
  </si>
  <si>
    <t xml:space="preserve">6262532300032</t>
  </si>
  <si>
    <t xml:space="preserve">کره حیوانی آذربایجانه</t>
  </si>
  <si>
    <t xml:space="preserve">6267588100018</t>
  </si>
  <si>
    <t xml:space="preserve">کره حیوانی دامبان</t>
  </si>
  <si>
    <t xml:space="preserve">6261886700925</t>
  </si>
  <si>
    <t xml:space="preserve">کره گیاهی حلوات</t>
  </si>
  <si>
    <t xml:space="preserve">کشمش</t>
  </si>
  <si>
    <t xml:space="preserve">60000000000032</t>
  </si>
  <si>
    <t xml:space="preserve">6260901100313</t>
  </si>
  <si>
    <t xml:space="preserve">کلوچه شارونا لاهیجان</t>
  </si>
  <si>
    <t xml:space="preserve">6260501002840</t>
  </si>
  <si>
    <t xml:space="preserve">کلوچه نارگیلی نادری</t>
  </si>
  <si>
    <t xml:space="preserve">1100</t>
  </si>
  <si>
    <t xml:space="preserve">6260176817824</t>
  </si>
  <si>
    <r>
      <rPr>
        <sz val="14"/>
        <color theme="1"/>
        <rFont val="FreeSans"/>
        <family val="2"/>
      </rPr>
      <t xml:space="preserve">کمپوت آناناس حلقه ای </t>
    </r>
    <r>
      <rPr>
        <sz val="14"/>
        <color theme="1"/>
        <rFont val="Calibri"/>
        <family val="2"/>
      </rPr>
      <t xml:space="preserve">Charli</t>
    </r>
  </si>
  <si>
    <t xml:space="preserve">6260477100472</t>
  </si>
  <si>
    <t xml:space="preserve">کمپوت گیلاس بهدیس</t>
  </si>
  <si>
    <t xml:space="preserve">6260942600025</t>
  </si>
  <si>
    <t xml:space="preserve">کمپوت گیلاس گلرخ</t>
  </si>
  <si>
    <t xml:space="preserve">6269352101368</t>
  </si>
  <si>
    <t xml:space="preserve">کنسرو بادمجان خوشبخت</t>
  </si>
  <si>
    <t xml:space="preserve">6269352100699</t>
  </si>
  <si>
    <t xml:space="preserve">کنسرو لوبیا چیتی خوشبخت</t>
  </si>
  <si>
    <t xml:space="preserve">6269352100675</t>
  </si>
  <si>
    <t xml:space="preserve">کنسرو لوبیا و قارچ خوشبخت</t>
  </si>
  <si>
    <t xml:space="preserve">6265499500040</t>
  </si>
  <si>
    <t xml:space="preserve">6260501000044</t>
  </si>
  <si>
    <t xml:space="preserve">کیک با مغزی کرم کاکائو نادری</t>
  </si>
  <si>
    <t xml:space="preserve">6261583001233</t>
  </si>
  <si>
    <t xml:space="preserve">کیک کرمدار پرتقالی ایستارام</t>
  </si>
  <si>
    <t xml:space="preserve">6260543504562</t>
  </si>
  <si>
    <t xml:space="preserve">کیک لایه ای با کرم کاکائویی چاکلز</t>
  </si>
  <si>
    <t xml:space="preserve">6260501000594</t>
  </si>
  <si>
    <t xml:space="preserve">کیک لایه ای با کرم کاکائویی نادری</t>
  </si>
  <si>
    <t xml:space="preserve">6260501000433</t>
  </si>
  <si>
    <t xml:space="preserve">6260501000440</t>
  </si>
  <si>
    <t xml:space="preserve">6268612401767</t>
  </si>
  <si>
    <t xml:space="preserve">60000000000030</t>
  </si>
  <si>
    <t xml:space="preserve">گردو</t>
  </si>
  <si>
    <t xml:space="preserve">60000000000050</t>
  </si>
  <si>
    <t xml:space="preserve">گز</t>
  </si>
  <si>
    <t xml:space="preserve">6500</t>
  </si>
  <si>
    <t xml:space="preserve">8805634980955</t>
  </si>
  <si>
    <r>
      <rPr>
        <sz val="14"/>
        <color theme="1"/>
        <rFont val="FreeSans"/>
        <family val="2"/>
      </rPr>
      <t xml:space="preserve">لاک غلطگیر </t>
    </r>
    <r>
      <rPr>
        <sz val="14"/>
        <color theme="1"/>
        <rFont val="Calibri"/>
        <family val="2"/>
      </rPr>
      <t xml:space="preserve">duet</t>
    </r>
  </si>
  <si>
    <t xml:space="preserve">60000000000046</t>
  </si>
  <si>
    <t xml:space="preserve">60000000000001</t>
  </si>
  <si>
    <t xml:space="preserve">لواشک آلو بدون هسته</t>
  </si>
  <si>
    <t xml:space="preserve">60000000000015</t>
  </si>
  <si>
    <t xml:space="preserve">لواشک آلو هسته دار</t>
  </si>
  <si>
    <t xml:space="preserve">60000000000040</t>
  </si>
  <si>
    <t xml:space="preserve">لواشک سسی توماج</t>
  </si>
  <si>
    <t xml:space="preserve">01606220095780005</t>
  </si>
  <si>
    <t xml:space="preserve">لواشک سسی هفت باغ</t>
  </si>
  <si>
    <t xml:space="preserve">60000000000002</t>
  </si>
  <si>
    <t xml:space="preserve">لواشک موبایلی ترش نام</t>
  </si>
  <si>
    <t xml:space="preserve">60000000000007</t>
  </si>
  <si>
    <t xml:space="preserve">لواشک موبایلی جهش</t>
  </si>
  <si>
    <t xml:space="preserve">6262422100001</t>
  </si>
  <si>
    <t xml:space="preserve">لواشک میوه ای شورکام</t>
  </si>
  <si>
    <t xml:space="preserve">60000000000044</t>
  </si>
  <si>
    <t xml:space="preserve">لواشک میوه ای ملوسک</t>
  </si>
  <si>
    <t xml:space="preserve">60000000000047</t>
  </si>
  <si>
    <t xml:space="preserve">لوبیا</t>
  </si>
  <si>
    <t xml:space="preserve">6265714700026</t>
  </si>
  <si>
    <r>
      <rPr>
        <sz val="14"/>
        <color theme="1"/>
        <rFont val="FreeSans"/>
        <family val="2"/>
      </rPr>
      <t xml:space="preserve">ماژیک </t>
    </r>
    <r>
      <rPr>
        <sz val="14"/>
        <color theme="1"/>
        <rFont val="Calibri"/>
        <family val="2"/>
      </rPr>
      <t xml:space="preserve">Persia</t>
    </r>
  </si>
  <si>
    <t xml:space="preserve">6954941740010</t>
  </si>
  <si>
    <r>
      <rPr>
        <sz val="14"/>
        <color theme="1"/>
        <rFont val="FreeSans"/>
        <family val="2"/>
      </rPr>
      <t xml:space="preserve">ماژیک شارژی </t>
    </r>
    <r>
      <rPr>
        <sz val="14"/>
        <color theme="1"/>
        <rFont val="Calibri"/>
        <family val="2"/>
      </rPr>
      <t xml:space="preserve">Corona</t>
    </r>
  </si>
  <si>
    <t xml:space="preserve">60000000000052</t>
  </si>
  <si>
    <t xml:space="preserve">ماسک</t>
  </si>
  <si>
    <t xml:space="preserve">6262310800372</t>
  </si>
  <si>
    <t xml:space="preserve">6261119030812</t>
  </si>
  <si>
    <t xml:space="preserve">مایع دستشویی بوژنه</t>
  </si>
  <si>
    <t xml:space="preserve">6262310800334</t>
  </si>
  <si>
    <t xml:space="preserve">6261005081652</t>
  </si>
  <si>
    <t xml:space="preserve">مایع ظرفشویی لیمو آرن</t>
  </si>
  <si>
    <t xml:space="preserve">6263414003645</t>
  </si>
  <si>
    <r>
      <rPr>
        <sz val="14"/>
        <color theme="1"/>
        <rFont val="FreeSans"/>
        <family val="2"/>
      </rPr>
      <t xml:space="preserve">مایع ظرفشویی لیمو</t>
    </r>
    <r>
      <rPr>
        <sz val="14"/>
        <color theme="1"/>
        <rFont val="Calibri"/>
        <family val="2"/>
      </rPr>
      <t xml:space="preserve">+</t>
    </r>
    <r>
      <rPr>
        <sz val="14"/>
        <color theme="1"/>
        <rFont val="FreeSans"/>
        <family val="2"/>
      </rPr>
      <t xml:space="preserve">جوش شیرین تاژ</t>
    </r>
  </si>
  <si>
    <t xml:space="preserve">6260297130024</t>
  </si>
  <si>
    <r>
      <rPr>
        <sz val="14"/>
        <color theme="1"/>
        <rFont val="FreeSans"/>
        <family val="2"/>
      </rPr>
      <t xml:space="preserve">مداد قرمز </t>
    </r>
    <r>
      <rPr>
        <sz val="14"/>
        <color theme="1"/>
        <rFont val="Calibri"/>
        <family val="2"/>
      </rPr>
      <t xml:space="preserve">ARYA</t>
    </r>
  </si>
  <si>
    <t xml:space="preserve">6260297130017</t>
  </si>
  <si>
    <r>
      <rPr>
        <sz val="14"/>
        <color theme="1"/>
        <rFont val="FreeSans"/>
        <family val="2"/>
      </rPr>
      <t xml:space="preserve">مداد مشکی </t>
    </r>
    <r>
      <rPr>
        <sz val="14"/>
        <color theme="1"/>
        <rFont val="Calibri"/>
        <family val="2"/>
      </rPr>
      <t xml:space="preserve">ARYA</t>
    </r>
  </si>
  <si>
    <t xml:space="preserve">6948031122169</t>
  </si>
  <si>
    <r>
      <rPr>
        <sz val="14"/>
        <color theme="1"/>
        <rFont val="FreeSans"/>
        <family val="2"/>
      </rPr>
      <t xml:space="preserve">مسواک </t>
    </r>
    <r>
      <rPr>
        <sz val="14"/>
        <color theme="1"/>
        <rFont val="Calibri"/>
        <family val="2"/>
      </rPr>
      <t xml:space="preserve">Fami Care</t>
    </r>
  </si>
  <si>
    <t xml:space="preserve">6261670803245</t>
  </si>
  <si>
    <r>
      <rPr>
        <sz val="14"/>
        <color theme="1"/>
        <rFont val="FreeSans"/>
        <family val="2"/>
      </rPr>
      <t xml:space="preserve">مسواک </t>
    </r>
    <r>
      <rPr>
        <sz val="14"/>
        <color theme="1"/>
        <rFont val="Calibri"/>
        <family val="2"/>
      </rPr>
      <t xml:space="preserve">Hi Dent</t>
    </r>
  </si>
  <si>
    <t xml:space="preserve">6262003400124</t>
  </si>
  <si>
    <t xml:space="preserve">6260543504289</t>
  </si>
  <si>
    <t xml:space="preserve">6260931400834</t>
  </si>
  <si>
    <t xml:space="preserve">6260931400315</t>
  </si>
  <si>
    <t xml:space="preserve">مونتانا مشکی</t>
  </si>
  <si>
    <t xml:space="preserve">815082008567</t>
  </si>
  <si>
    <t xml:space="preserve">815082008574</t>
  </si>
  <si>
    <t xml:space="preserve">موند تاج سفید</t>
  </si>
  <si>
    <t xml:space="preserve">815082008550</t>
  </si>
  <si>
    <t xml:space="preserve">815082007980</t>
  </si>
  <si>
    <t xml:space="preserve">موند سفید</t>
  </si>
  <si>
    <t xml:space="preserve">8150820079594</t>
  </si>
  <si>
    <t xml:space="preserve">60000000000053</t>
  </si>
  <si>
    <t xml:space="preserve">60000000000054</t>
  </si>
  <si>
    <t xml:space="preserve">نبات نعنایی</t>
  </si>
  <si>
    <t xml:space="preserve">60000000000055</t>
  </si>
  <si>
    <t xml:space="preserve">6262958300012</t>
  </si>
  <si>
    <r>
      <rPr>
        <sz val="14"/>
        <color theme="1"/>
        <rFont val="FreeSans"/>
        <family val="2"/>
      </rPr>
      <t xml:space="preserve">نسکافه </t>
    </r>
    <r>
      <rPr>
        <sz val="14"/>
        <color theme="1"/>
        <rFont val="Calibri"/>
        <family val="2"/>
      </rPr>
      <t xml:space="preserve">Magush</t>
    </r>
  </si>
  <si>
    <t xml:space="preserve">60000000000056</t>
  </si>
  <si>
    <t xml:space="preserve">6260100601116</t>
  </si>
  <si>
    <t xml:space="preserve">نکتار آناناس سن ایچ</t>
  </si>
  <si>
    <t xml:space="preserve">6262181500128</t>
  </si>
  <si>
    <t xml:space="preserve">6260114810092</t>
  </si>
  <si>
    <t xml:space="preserve">نوار بهداشتی بالدار پنبه ریز</t>
  </si>
  <si>
    <t xml:space="preserve">60000000000057</t>
  </si>
  <si>
    <t xml:space="preserve">نوار چسب</t>
  </si>
  <si>
    <t xml:space="preserve">6260313110498</t>
  </si>
  <si>
    <t xml:space="preserve">نوشابه اشی مشی زرد خانواده</t>
  </si>
  <si>
    <t xml:space="preserve">6260313110474</t>
  </si>
  <si>
    <t xml:space="preserve">نوشابه اشی مشی مشکی خانواده</t>
  </si>
  <si>
    <t xml:space="preserve">6260055843036</t>
  </si>
  <si>
    <t xml:space="preserve">6260501700111</t>
  </si>
  <si>
    <t xml:space="preserve">6260079276032</t>
  </si>
  <si>
    <r>
      <rPr>
        <sz val="14"/>
        <color theme="1"/>
        <rFont val="FreeSans"/>
        <family val="2"/>
      </rPr>
      <t xml:space="preserve">نوشابه شیشه ای زرد </t>
    </r>
    <r>
      <rPr>
        <sz val="14"/>
        <color theme="1"/>
        <rFont val="Calibri"/>
        <family val="2"/>
      </rPr>
      <t xml:space="preserve">IRANADA</t>
    </r>
  </si>
  <si>
    <t xml:space="preserve">6260079276025</t>
  </si>
  <si>
    <r>
      <rPr>
        <sz val="14"/>
        <color theme="1"/>
        <rFont val="FreeSans"/>
        <family val="2"/>
      </rPr>
      <t xml:space="preserve">نوشابه شیشه ای مشکی </t>
    </r>
    <r>
      <rPr>
        <sz val="14"/>
        <color theme="1"/>
        <rFont val="Calibri"/>
        <family val="2"/>
      </rPr>
      <t xml:space="preserve">IRANADA</t>
    </r>
  </si>
  <si>
    <t xml:space="preserve">6260806400068</t>
  </si>
  <si>
    <t xml:space="preserve">6261939930071</t>
  </si>
  <si>
    <r>
      <rPr>
        <sz val="14"/>
        <color theme="1"/>
        <rFont val="FreeSans"/>
        <family val="2"/>
      </rPr>
      <t xml:space="preserve">نوشابه قوطی </t>
    </r>
    <r>
      <rPr>
        <sz val="14"/>
        <color theme="1"/>
        <rFont val="Calibri"/>
        <family val="2"/>
      </rPr>
      <t xml:space="preserve">Stina </t>
    </r>
    <r>
      <rPr>
        <sz val="14"/>
        <color theme="1"/>
        <rFont val="FreeSans"/>
        <family val="2"/>
      </rPr>
      <t xml:space="preserve">پرتقال</t>
    </r>
  </si>
  <si>
    <t xml:space="preserve">6261939930149</t>
  </si>
  <si>
    <r>
      <rPr>
        <sz val="14"/>
        <color theme="1"/>
        <rFont val="FreeSans"/>
        <family val="2"/>
      </rPr>
      <t xml:space="preserve">نوشابه قوطی </t>
    </r>
    <r>
      <rPr>
        <sz val="14"/>
        <color theme="1"/>
        <rFont val="Calibri"/>
        <family val="2"/>
      </rPr>
      <t xml:space="preserve">Stina </t>
    </r>
    <r>
      <rPr>
        <sz val="14"/>
        <color theme="1"/>
        <rFont val="FreeSans"/>
        <family val="2"/>
      </rPr>
      <t xml:space="preserve">سیب</t>
    </r>
  </si>
  <si>
    <t xml:space="preserve">6260806400013</t>
  </si>
  <si>
    <t xml:space="preserve">نوشابه کوکا کولا کوچک</t>
  </si>
  <si>
    <t xml:space="preserve">6260806400020</t>
  </si>
  <si>
    <t xml:space="preserve">6260501700104</t>
  </si>
  <si>
    <t xml:space="preserve">نوشابه لاندا زرد خانواده</t>
  </si>
  <si>
    <t xml:space="preserve">60000000000058</t>
  </si>
  <si>
    <t xml:space="preserve">نوشمک</t>
  </si>
  <si>
    <t xml:space="preserve">6268666401201</t>
  </si>
  <si>
    <t xml:space="preserve">ویسدوم</t>
  </si>
  <si>
    <t xml:space="preserve">6268666401645</t>
  </si>
  <si>
    <t xml:space="preserve">ویسدوم مشکی</t>
  </si>
  <si>
    <t xml:space="preserve">6260170900515</t>
  </si>
  <si>
    <t xml:space="preserve">ویفر با مغزی پرتقال نادری</t>
  </si>
  <si>
    <t xml:space="preserve">6260124300453</t>
  </si>
  <si>
    <r>
      <rPr>
        <sz val="14"/>
        <color theme="1"/>
        <rFont val="FreeSans"/>
        <family val="2"/>
      </rPr>
      <t xml:space="preserve">ویفر توت فرنگی </t>
    </r>
    <r>
      <rPr>
        <sz val="14"/>
        <color theme="1"/>
        <rFont val="Calibri"/>
        <family val="2"/>
      </rPr>
      <t xml:space="preserve">Week</t>
    </r>
  </si>
  <si>
    <t xml:space="preserve">6260170901031</t>
  </si>
  <si>
    <t xml:space="preserve">ویفر رول رول کاکائو نادری</t>
  </si>
  <si>
    <t xml:space="preserve">6260170900492</t>
  </si>
  <si>
    <t xml:space="preserve">ویفر رول رول نادری</t>
  </si>
  <si>
    <t xml:space="preserve">60000000000059</t>
  </si>
  <si>
    <t xml:space="preserve">ویفر فله</t>
  </si>
  <si>
    <t xml:space="preserve">6261178046762</t>
  </si>
  <si>
    <t xml:space="preserve">ویفر موزی لاویتا</t>
  </si>
  <si>
    <t xml:space="preserve">6260170900294</t>
  </si>
  <si>
    <t xml:space="preserve">6260308310070</t>
  </si>
  <si>
    <t xml:space="preserve">6260436200762</t>
  </si>
  <si>
    <t xml:space="preserve">کمپوت گلابی خرسند</t>
  </si>
  <si>
    <t xml:space="preserve">6260501000808</t>
  </si>
  <si>
    <t xml:space="preserve">بیسکوئیت کرمدار با آرد گندم نادری</t>
  </si>
  <si>
    <t xml:space="preserve">6260098400906</t>
  </si>
  <si>
    <t xml:space="preserve">کلوچه با مغز گردویی نادری</t>
  </si>
  <si>
    <t xml:space="preserve">6260098400913</t>
  </si>
  <si>
    <t xml:space="preserve">کلوچه با مغزی نارگیلی نادری</t>
  </si>
  <si>
    <t xml:space="preserve">6260053183974</t>
  </si>
  <si>
    <t xml:space="preserve">چیپس نمکی بزرگ چی توز</t>
  </si>
  <si>
    <t xml:space="preserve">0133100192810041</t>
  </si>
  <si>
    <t xml:space="preserve">6260501001942</t>
  </si>
  <si>
    <t xml:space="preserve">دراژه شکلاتی شیری بانتی</t>
  </si>
  <si>
    <t xml:space="preserve">6260501002253</t>
  </si>
  <si>
    <t xml:space="preserve">پفک طلایی خانواده نادری</t>
  </si>
  <si>
    <t xml:space="preserve">6260100109346</t>
  </si>
  <si>
    <t xml:space="preserve">پفک نمکی بزرگ</t>
  </si>
  <si>
    <t xml:space="preserve">6260556513919</t>
  </si>
  <si>
    <t xml:space="preserve">خودکار قرمز الوند</t>
  </si>
  <si>
    <t xml:space="preserve">6263812801393</t>
  </si>
  <si>
    <t xml:space="preserve">0165220188320010</t>
  </si>
  <si>
    <t xml:space="preserve">سرکه زبیح</t>
  </si>
  <si>
    <t xml:space="preserve">6267778100255</t>
  </si>
  <si>
    <t xml:space="preserve">روغن مخلوط ورامین</t>
  </si>
  <si>
    <t xml:space="preserve">6261883201319</t>
  </si>
  <si>
    <t xml:space="preserve">6262753000278</t>
  </si>
  <si>
    <r>
      <rPr>
        <sz val="14"/>
        <color theme="1"/>
        <rFont val="FreeSans"/>
        <family val="2"/>
      </rPr>
      <t xml:space="preserve">روغن </t>
    </r>
    <r>
      <rPr>
        <sz val="14"/>
        <color theme="1"/>
        <rFont val="Calibri"/>
        <family val="2"/>
      </rPr>
      <t xml:space="preserve">4 </t>
    </r>
    <r>
      <rPr>
        <sz val="14"/>
        <color theme="1"/>
        <rFont val="FreeSans"/>
        <family val="2"/>
      </rPr>
      <t xml:space="preserve">کیلو فامیلا</t>
    </r>
  </si>
  <si>
    <t xml:space="preserve">6265826100134</t>
  </si>
  <si>
    <r>
      <rPr>
        <sz val="14"/>
        <color theme="1"/>
        <rFont val="FreeSans"/>
        <family val="2"/>
      </rPr>
      <t xml:space="preserve">موند سفید </t>
    </r>
    <r>
      <rPr>
        <sz val="14"/>
        <color theme="1"/>
        <rFont val="Calibri"/>
        <family val="2"/>
      </rPr>
      <t xml:space="preserve">(</t>
    </r>
    <r>
      <rPr>
        <sz val="14"/>
        <color theme="1"/>
        <rFont val="FreeSans"/>
        <family val="2"/>
      </rPr>
      <t xml:space="preserve">جدید</t>
    </r>
    <r>
      <rPr>
        <sz val="14"/>
        <color theme="1"/>
        <rFont val="Calibri"/>
        <family val="2"/>
      </rPr>
      <t xml:space="preserve">)</t>
    </r>
  </si>
  <si>
    <t xml:space="preserve">6262003402647</t>
  </si>
  <si>
    <t xml:space="preserve">6262003401961</t>
  </si>
  <si>
    <t xml:space="preserve">6269365700251</t>
  </si>
  <si>
    <t xml:space="preserve">6260303716501</t>
  </si>
  <si>
    <r>
      <rPr>
        <sz val="14"/>
        <color theme="1"/>
        <rFont val="FreeSans"/>
        <family val="2"/>
      </rPr>
      <t xml:space="preserve">دفتر </t>
    </r>
    <r>
      <rPr>
        <sz val="14"/>
        <color theme="1"/>
        <rFont val="Calibri"/>
        <family val="2"/>
      </rPr>
      <t xml:space="preserve">40 </t>
    </r>
    <r>
      <rPr>
        <sz val="14"/>
        <color theme="1"/>
        <rFont val="FreeSans"/>
        <family val="2"/>
      </rPr>
      <t xml:space="preserve">برگ</t>
    </r>
  </si>
  <si>
    <t xml:space="preserve">225822517542789</t>
  </si>
  <si>
    <t xml:space="preserve">1661983229391</t>
  </si>
  <si>
    <t xml:space="preserve">0160610198750002</t>
  </si>
  <si>
    <t xml:space="preserve">6260268400170</t>
  </si>
  <si>
    <t xml:space="preserve">6234211201886</t>
  </si>
  <si>
    <t xml:space="preserve">لواشک رها</t>
  </si>
  <si>
    <t xml:space="preserve">6268666400556</t>
  </si>
  <si>
    <t xml:space="preserve">6268666401553</t>
  </si>
  <si>
    <t xml:space="preserve">6268666401188</t>
  </si>
  <si>
    <t xml:space="preserve">6265826100844</t>
  </si>
  <si>
    <t xml:space="preserve">6265826100868</t>
  </si>
  <si>
    <t xml:space="preserve">6260079200914</t>
  </si>
  <si>
    <t xml:space="preserve">6261149146071</t>
  </si>
  <si>
    <t xml:space="preserve">6261149146088</t>
  </si>
  <si>
    <t xml:space="preserve">6261845300173</t>
  </si>
  <si>
    <t xml:space="preserve">6262412625057</t>
  </si>
  <si>
    <t xml:space="preserve">6269988500269</t>
  </si>
  <si>
    <t xml:space="preserve">6261149128138</t>
  </si>
  <si>
    <t xml:space="preserve">شکلات گلدن نانی شیری</t>
  </si>
  <si>
    <t xml:space="preserve">6261149128213</t>
  </si>
  <si>
    <t xml:space="preserve">6260111310106</t>
  </si>
  <si>
    <t xml:space="preserve">6260170901840</t>
  </si>
  <si>
    <t xml:space="preserve">6260170900522</t>
  </si>
  <si>
    <t xml:space="preserve">ویفر پرتقالی نادری</t>
  </si>
  <si>
    <t xml:space="preserve">6260170900461</t>
  </si>
  <si>
    <t xml:space="preserve">6260138000011</t>
  </si>
  <si>
    <t xml:space="preserve">6263414003652</t>
  </si>
  <si>
    <t xml:space="preserve">مایع ظرف شویی تاژ لیموسرکه</t>
  </si>
  <si>
    <t xml:space="preserve">6260151810017</t>
  </si>
  <si>
    <t xml:space="preserve">صابون حمام فاکس</t>
  </si>
  <si>
    <t xml:space="preserve">2282110065170121</t>
  </si>
  <si>
    <r>
      <rPr>
        <sz val="14"/>
        <color theme="1"/>
        <rFont val="FreeSans"/>
        <family val="2"/>
      </rPr>
      <t xml:space="preserve">لامپ </t>
    </r>
    <r>
      <rPr>
        <sz val="14"/>
        <color theme="1"/>
        <rFont val="Calibri"/>
        <family val="2"/>
      </rPr>
      <t xml:space="preserve">15 </t>
    </r>
    <r>
      <rPr>
        <sz val="14"/>
        <color theme="1"/>
        <rFont val="FreeSans"/>
        <family val="2"/>
      </rPr>
      <t xml:space="preserve">وات نارون</t>
    </r>
  </si>
  <si>
    <t xml:space="preserve">6260039016517</t>
  </si>
  <si>
    <r>
      <rPr>
        <sz val="14"/>
        <color theme="1"/>
        <rFont val="FreeSans"/>
        <family val="2"/>
      </rPr>
      <t xml:space="preserve">لامپ </t>
    </r>
    <r>
      <rPr>
        <sz val="14"/>
        <color theme="1"/>
        <rFont val="Calibri"/>
        <family val="2"/>
      </rPr>
      <t xml:space="preserve">100 </t>
    </r>
    <r>
      <rPr>
        <sz val="14"/>
        <color theme="1"/>
        <rFont val="FreeSans"/>
        <family val="2"/>
      </rPr>
      <t xml:space="preserve">وات پارس</t>
    </r>
  </si>
  <si>
    <t xml:space="preserve">6260201170054</t>
  </si>
  <si>
    <t xml:space="preserve">6260201102239</t>
  </si>
  <si>
    <t xml:space="preserve">6260201109535</t>
  </si>
  <si>
    <t xml:space="preserve">6260201109917</t>
  </si>
  <si>
    <t xml:space="preserve">پودر ژله موزی</t>
  </si>
  <si>
    <t xml:space="preserve">6260201109320</t>
  </si>
  <si>
    <t xml:space="preserve">6269988500207</t>
  </si>
  <si>
    <t xml:space="preserve">آبمیوه شنتی آناناس</t>
  </si>
  <si>
    <t xml:space="preserve">6260124301467</t>
  </si>
  <si>
    <t xml:space="preserve">سیب موز کریشنا</t>
  </si>
  <si>
    <t xml:space="preserve">6260313110467</t>
  </si>
  <si>
    <t xml:space="preserve">نوشابه کوچک اشی مشی</t>
  </si>
  <si>
    <t xml:space="preserve">0167220341590011</t>
  </si>
  <si>
    <t xml:space="preserve">6263415901599</t>
  </si>
  <si>
    <t xml:space="preserve">2162314158000003</t>
  </si>
  <si>
    <t xml:space="preserve">2162314047070002</t>
  </si>
  <si>
    <t xml:space="preserve">پودر بهداشتی مطرح</t>
  </si>
  <si>
    <t xml:space="preserve">6260204501633</t>
  </si>
  <si>
    <t xml:space="preserve">جرم گیر راپیدو</t>
  </si>
  <si>
    <t xml:space="preserve">6262310800105</t>
  </si>
  <si>
    <t xml:space="preserve">6261101640340</t>
  </si>
  <si>
    <t xml:space="preserve">6261670803870</t>
  </si>
  <si>
    <t xml:space="preserve">0160100153410010</t>
  </si>
  <si>
    <t xml:space="preserve">6260007463107</t>
  </si>
  <si>
    <t xml:space="preserve">شیر کم چرب پگاه</t>
  </si>
  <si>
    <t xml:space="preserve">6260007406487</t>
  </si>
  <si>
    <t xml:space="preserve">6260007406463</t>
  </si>
  <si>
    <t xml:space="preserve">6260800900588</t>
  </si>
  <si>
    <r>
      <rPr>
        <sz val="14"/>
        <color theme="1"/>
        <rFont val="FreeSans"/>
        <family val="2"/>
      </rPr>
      <t xml:space="preserve">آبمیوه </t>
    </r>
    <r>
      <rPr>
        <sz val="14"/>
        <color theme="1"/>
        <rFont val="Calibri"/>
        <family val="2"/>
      </rPr>
      <t xml:space="preserve">1 </t>
    </r>
    <r>
      <rPr>
        <sz val="14"/>
        <color theme="1"/>
        <rFont val="FreeSans"/>
        <family val="2"/>
      </rPr>
      <t xml:space="preserve">لیتر آناناس تگ گل</t>
    </r>
  </si>
  <si>
    <t xml:space="preserve">6260800900618</t>
  </si>
  <si>
    <r>
      <rPr>
        <sz val="14"/>
        <color theme="1"/>
        <rFont val="FreeSans"/>
        <family val="2"/>
      </rPr>
      <t xml:space="preserve">آبمیوه </t>
    </r>
    <r>
      <rPr>
        <sz val="14"/>
        <color theme="1"/>
        <rFont val="Calibri"/>
        <family val="2"/>
      </rPr>
      <t xml:space="preserve">1 </t>
    </r>
    <r>
      <rPr>
        <sz val="14"/>
        <color theme="1"/>
        <rFont val="FreeSans"/>
        <family val="2"/>
      </rPr>
      <t xml:space="preserve">لیتر هلو تگ گل</t>
    </r>
  </si>
  <si>
    <t xml:space="preserve">6260166910313</t>
  </si>
  <si>
    <t xml:space="preserve">آبمیوه بدون گازانبه شط</t>
  </si>
  <si>
    <t xml:space="preserve">0160290016690013</t>
  </si>
  <si>
    <t xml:space="preserve">آبمیوه آناناس شط</t>
  </si>
  <si>
    <t xml:space="preserve">آبمیوه پرتقال شط</t>
  </si>
  <si>
    <t xml:space="preserve">6260010509878</t>
  </si>
  <si>
    <t xml:space="preserve">6263430600620</t>
  </si>
  <si>
    <t xml:space="preserve">6260750400497</t>
  </si>
  <si>
    <t xml:space="preserve">6265499500101</t>
  </si>
  <si>
    <t xml:space="preserve">0160100205050004</t>
  </si>
  <si>
    <t xml:space="preserve">کمپوت گیلاس سید</t>
  </si>
  <si>
    <t xml:space="preserve">6262050500297</t>
  </si>
  <si>
    <t xml:space="preserve">6260282200220</t>
  </si>
  <si>
    <t xml:space="preserve">کمپوت گیلاس دیموت</t>
  </si>
  <si>
    <t xml:space="preserve">6260750400510</t>
  </si>
  <si>
    <t xml:space="preserve">6262684200778</t>
  </si>
  <si>
    <t xml:space="preserve">0161100268420079</t>
  </si>
  <si>
    <t xml:space="preserve">6261106001399</t>
  </si>
  <si>
    <t xml:space="preserve">تن ماهی ایلیکا</t>
  </si>
  <si>
    <t xml:space="preserve">6260217600866</t>
  </si>
  <si>
    <t xml:space="preserve">6260037310006</t>
  </si>
  <si>
    <t xml:space="preserve">سس گوجه فرنگی بیجام</t>
  </si>
  <si>
    <t xml:space="preserve">6260308301467</t>
  </si>
  <si>
    <t xml:space="preserve">6263057301481</t>
  </si>
  <si>
    <t xml:space="preserve">6260079201225</t>
  </si>
  <si>
    <t xml:space="preserve">6261422503003</t>
  </si>
  <si>
    <t xml:space="preserve">6261422503157</t>
  </si>
  <si>
    <t xml:space="preserve">6260658200564</t>
  </si>
  <si>
    <t xml:space="preserve">خامه خضراء</t>
  </si>
  <si>
    <t xml:space="preserve">6260026101066</t>
  </si>
  <si>
    <t xml:space="preserve">6260140300338</t>
  </si>
  <si>
    <t xml:space="preserve">6260140300130</t>
  </si>
  <si>
    <t xml:space="preserve">6260108300165</t>
  </si>
  <si>
    <r>
      <rPr>
        <sz val="14"/>
        <color theme="1"/>
        <rFont val="FreeSans"/>
        <family val="2"/>
      </rPr>
      <t xml:space="preserve">روغن لادن </t>
    </r>
    <r>
      <rPr>
        <sz val="14"/>
        <color theme="1"/>
        <rFont val="Calibri"/>
        <family val="2"/>
      </rPr>
      <t xml:space="preserve">5 </t>
    </r>
    <r>
      <rPr>
        <sz val="14"/>
        <color theme="1"/>
        <rFont val="FreeSans"/>
        <family val="2"/>
      </rPr>
      <t xml:space="preserve">کیلو</t>
    </r>
  </si>
  <si>
    <t xml:space="preserve">6260108399831</t>
  </si>
  <si>
    <r>
      <rPr>
        <sz val="14"/>
        <color theme="1"/>
        <rFont val="FreeSans"/>
        <family val="2"/>
      </rPr>
      <t xml:space="preserve">روغن لادن </t>
    </r>
    <r>
      <rPr>
        <sz val="14"/>
        <color theme="1"/>
        <rFont val="Calibri"/>
        <family val="2"/>
      </rPr>
      <t xml:space="preserve">5 </t>
    </r>
    <r>
      <rPr>
        <sz val="14"/>
        <color theme="1"/>
        <rFont val="FreeSans"/>
        <family val="2"/>
      </rPr>
      <t xml:space="preserve">کیلو حلبی</t>
    </r>
  </si>
  <si>
    <t xml:space="preserve">6260108300325</t>
  </si>
  <si>
    <t xml:space="preserve">0164200010050787</t>
  </si>
  <si>
    <r>
      <rPr>
        <sz val="14"/>
        <color theme="1"/>
        <rFont val="FreeSans"/>
        <family val="2"/>
      </rPr>
      <t xml:space="preserve">روغن </t>
    </r>
    <r>
      <rPr>
        <sz val="14"/>
        <color theme="1"/>
        <rFont val="Calibri"/>
        <family val="2"/>
      </rPr>
      <t xml:space="preserve">5 </t>
    </r>
    <r>
      <rPr>
        <sz val="14"/>
        <color theme="1"/>
        <rFont val="FreeSans"/>
        <family val="2"/>
      </rPr>
      <t xml:space="preserve">کیلو گلناز حلبی</t>
    </r>
  </si>
  <si>
    <t xml:space="preserve">6260100509023</t>
  </si>
  <si>
    <t xml:space="preserve">6260152300586</t>
  </si>
  <si>
    <t xml:space="preserve">6260152300593</t>
  </si>
  <si>
    <t xml:space="preserve">روغن آفتابگردان لادن</t>
  </si>
  <si>
    <t xml:space="preserve">6260108300271</t>
  </si>
  <si>
    <t xml:space="preserve">6262144200119</t>
  </si>
  <si>
    <t xml:space="preserve">0164200214420011</t>
  </si>
  <si>
    <t xml:space="preserve">2161210023280106</t>
  </si>
  <si>
    <t xml:space="preserve">6261005083984</t>
  </si>
  <si>
    <t xml:space="preserve">6261005083922</t>
  </si>
  <si>
    <t xml:space="preserve">پودر رختشویی آرن</t>
  </si>
  <si>
    <t xml:space="preserve">6260232802689</t>
  </si>
  <si>
    <t xml:space="preserve">پودر ماشین لباسشویی آبان</t>
  </si>
  <si>
    <t xml:space="preserve">6261005083939</t>
  </si>
  <si>
    <t xml:space="preserve">6269771300359</t>
  </si>
  <si>
    <t xml:space="preserve">6260142650523</t>
  </si>
  <si>
    <t xml:space="preserve">2162250019170016</t>
  </si>
  <si>
    <t xml:space="preserve">6260191700767</t>
  </si>
  <si>
    <t xml:space="preserve">6263957100184</t>
  </si>
  <si>
    <t xml:space="preserve">2162250395710003</t>
  </si>
  <si>
    <t xml:space="preserve">نوار بهداشتی گلشن</t>
  </si>
  <si>
    <t xml:space="preserve">2162410261960062</t>
  </si>
  <si>
    <r>
      <rPr>
        <sz val="14"/>
        <color theme="1"/>
        <rFont val="FreeSans"/>
        <family val="2"/>
      </rPr>
      <t xml:space="preserve">دستمال آدریانا </t>
    </r>
    <r>
      <rPr>
        <sz val="14"/>
        <color theme="1"/>
        <rFont val="Calibri"/>
        <family val="2"/>
      </rPr>
      <t xml:space="preserve">3 </t>
    </r>
    <r>
      <rPr>
        <sz val="14"/>
        <color theme="1"/>
        <rFont val="FreeSans"/>
        <family val="2"/>
      </rPr>
      <t xml:space="preserve">عددی</t>
    </r>
  </si>
  <si>
    <t xml:space="preserve">6262619600727</t>
  </si>
  <si>
    <t xml:space="preserve">2112265425554</t>
  </si>
  <si>
    <t xml:space="preserve">2162410115680001</t>
  </si>
  <si>
    <t xml:space="preserve">6269447802224</t>
  </si>
  <si>
    <t xml:space="preserve">1900</t>
  </si>
  <si>
    <r>
      <rPr>
        <sz val="14"/>
        <color theme="1"/>
        <rFont val="FreeSans"/>
        <family val="2"/>
      </rPr>
      <t xml:space="preserve">تخمه کیلو </t>
    </r>
    <r>
      <rPr>
        <sz val="14"/>
        <color theme="1"/>
        <rFont val="Calibri"/>
        <family val="2"/>
      </rPr>
      <t xml:space="preserve">150</t>
    </r>
  </si>
  <si>
    <t xml:space="preserve">2000</t>
  </si>
  <si>
    <r>
      <rPr>
        <sz val="14"/>
        <color theme="1"/>
        <rFont val="FreeSans"/>
        <family val="2"/>
      </rPr>
      <t xml:space="preserve">تخمه کیلو </t>
    </r>
    <r>
      <rPr>
        <sz val="14"/>
        <color theme="1"/>
        <rFont val="Calibri"/>
        <family val="2"/>
      </rPr>
      <t xml:space="preserve">100</t>
    </r>
  </si>
  <si>
    <t xml:space="preserve">2100</t>
  </si>
  <si>
    <r>
      <rPr>
        <sz val="14"/>
        <color theme="1"/>
        <rFont val="FreeSans"/>
        <family val="2"/>
      </rPr>
      <t xml:space="preserve">تخمه کیلو </t>
    </r>
    <r>
      <rPr>
        <sz val="14"/>
        <color theme="1"/>
        <rFont val="Calibri"/>
        <family val="2"/>
      </rPr>
      <t xml:space="preserve">120</t>
    </r>
  </si>
  <si>
    <t xml:space="preserve">2200</t>
  </si>
  <si>
    <t xml:space="preserve">2300</t>
  </si>
  <si>
    <t xml:space="preserve">2400</t>
  </si>
  <si>
    <t xml:space="preserve">2500</t>
  </si>
  <si>
    <r>
      <rPr>
        <sz val="14"/>
        <color theme="1"/>
        <rFont val="FreeSans"/>
        <family val="2"/>
      </rPr>
      <t xml:space="preserve">ویفر کیلو </t>
    </r>
    <r>
      <rPr>
        <sz val="14"/>
        <color theme="1"/>
        <rFont val="Calibri"/>
        <family val="2"/>
      </rPr>
      <t xml:space="preserve">80</t>
    </r>
  </si>
  <si>
    <t xml:space="preserve">2600</t>
  </si>
  <si>
    <r>
      <rPr>
        <sz val="14"/>
        <color theme="1"/>
        <rFont val="FreeSans"/>
        <family val="2"/>
      </rPr>
      <t xml:space="preserve">ویفر کیلو </t>
    </r>
    <r>
      <rPr>
        <sz val="14"/>
        <color theme="1"/>
        <rFont val="Calibri"/>
        <family val="2"/>
      </rPr>
      <t xml:space="preserve">100</t>
    </r>
  </si>
  <si>
    <t xml:space="preserve">بیسکوییت فله </t>
  </si>
  <si>
    <t xml:space="preserve">2800</t>
  </si>
  <si>
    <t xml:space="preserve">2900</t>
  </si>
  <si>
    <t xml:space="preserve">3000</t>
  </si>
  <si>
    <r>
      <rPr>
        <sz val="14"/>
        <color theme="1"/>
        <rFont val="FreeSans"/>
        <family val="2"/>
      </rPr>
      <t xml:space="preserve">چای فله </t>
    </r>
    <r>
      <rPr>
        <sz val="14"/>
        <color theme="1"/>
        <rFont val="Calibri"/>
        <family val="2"/>
      </rPr>
      <t xml:space="preserve">700</t>
    </r>
  </si>
  <si>
    <t xml:space="preserve">3100</t>
  </si>
  <si>
    <t xml:space="preserve">3200</t>
  </si>
  <si>
    <t xml:space="preserve">3300</t>
  </si>
  <si>
    <t xml:space="preserve">3400</t>
  </si>
  <si>
    <t xml:space="preserve">دستکش استاد</t>
  </si>
  <si>
    <t xml:space="preserve">3500</t>
  </si>
  <si>
    <t xml:space="preserve">3600</t>
  </si>
  <si>
    <t xml:space="preserve">کاغذ کادو</t>
  </si>
  <si>
    <t xml:space="preserve">3700</t>
  </si>
  <si>
    <r>
      <rPr>
        <sz val="14"/>
        <color theme="1"/>
        <rFont val="FreeSans"/>
        <family val="2"/>
      </rPr>
      <t xml:space="preserve">شکلات فله </t>
    </r>
    <r>
      <rPr>
        <sz val="14"/>
        <color theme="1"/>
        <rFont val="Calibri"/>
        <family val="2"/>
      </rPr>
      <t xml:space="preserve">150</t>
    </r>
  </si>
  <si>
    <t xml:space="preserve">3800</t>
  </si>
  <si>
    <t xml:space="preserve">لیمو خشک</t>
  </si>
  <si>
    <t xml:space="preserve">4000</t>
  </si>
  <si>
    <t xml:space="preserve">4100</t>
  </si>
  <si>
    <t xml:space="preserve">6260308304437</t>
  </si>
  <si>
    <t xml:space="preserve">سس کچاب سحر</t>
  </si>
  <si>
    <t xml:space="preserve">6260308304444</t>
  </si>
  <si>
    <t xml:space="preserve">6262484608583</t>
  </si>
  <si>
    <t xml:space="preserve">آبنبات چوبی آناناس</t>
  </si>
  <si>
    <t xml:space="preserve">6262484608644</t>
  </si>
  <si>
    <t xml:space="preserve">آبنبات چوبی آلبالو</t>
  </si>
  <si>
    <t xml:space="preserve">6262484608651</t>
  </si>
  <si>
    <t xml:space="preserve">آبنبات چوبی بلوبری</t>
  </si>
  <si>
    <t xml:space="preserve">6262484608613</t>
  </si>
  <si>
    <t xml:space="preserve">آبنبات چوبی کولا</t>
  </si>
  <si>
    <t xml:space="preserve">6262484608606</t>
  </si>
  <si>
    <t xml:space="preserve">آبنبات چوبی سیب</t>
  </si>
  <si>
    <t xml:space="preserve">4200</t>
  </si>
  <si>
    <t xml:space="preserve">آبنبات چوبی</t>
  </si>
  <si>
    <t xml:space="preserve">6262050500211</t>
  </si>
  <si>
    <t xml:space="preserve">کمپوت گیلاس آقاجون</t>
  </si>
  <si>
    <t xml:space="preserve">0160100205050003</t>
  </si>
  <si>
    <t xml:space="preserve">6262916600253</t>
  </si>
  <si>
    <t xml:space="preserve">6269100604011</t>
  </si>
  <si>
    <t xml:space="preserve">0162810910060001</t>
  </si>
  <si>
    <t xml:space="preserve">0162810910060002</t>
  </si>
  <si>
    <t xml:space="preserve">6269100604028</t>
  </si>
  <si>
    <t xml:space="preserve">6261005000257</t>
  </si>
  <si>
    <t xml:space="preserve">6261847503275</t>
  </si>
  <si>
    <t xml:space="preserve">6260575900769</t>
  </si>
  <si>
    <t xml:space="preserve">6263812800334</t>
  </si>
  <si>
    <t xml:space="preserve">6261178014334</t>
  </si>
  <si>
    <t xml:space="preserve">6260575904309</t>
  </si>
  <si>
    <t xml:space="preserve">6260002926331</t>
  </si>
  <si>
    <t xml:space="preserve">6260575904279</t>
  </si>
  <si>
    <t xml:space="preserve">6260575904330</t>
  </si>
  <si>
    <t xml:space="preserve">6260575904323</t>
  </si>
  <si>
    <t xml:space="preserve">چیپس فلفلی باتو</t>
  </si>
  <si>
    <t xml:space="preserve">6260002926348</t>
  </si>
  <si>
    <t xml:space="preserve">6260002931205</t>
  </si>
  <si>
    <t xml:space="preserve">چیپس ماست و ریحان مزمز</t>
  </si>
  <si>
    <t xml:space="preserve">0162900054350626</t>
  </si>
  <si>
    <t xml:space="preserve">6260404400200</t>
  </si>
  <si>
    <t xml:space="preserve">6260469900509</t>
  </si>
  <si>
    <t xml:space="preserve">0162510046990021</t>
  </si>
  <si>
    <t xml:space="preserve">6260176502508</t>
  </si>
  <si>
    <t xml:space="preserve">0162300017650160</t>
  </si>
  <si>
    <t xml:space="preserve">6260918500175</t>
  </si>
  <si>
    <t xml:space="preserve">0162510046990122</t>
  </si>
  <si>
    <r>
      <rPr>
        <sz val="14"/>
        <color theme="1"/>
        <rFont val="FreeSans"/>
        <family val="2"/>
      </rPr>
      <t xml:space="preserve">کیک بابا </t>
    </r>
    <r>
      <rPr>
        <sz val="14"/>
        <color theme="1"/>
        <rFont val="Calibri"/>
        <family val="2"/>
      </rPr>
      <t xml:space="preserve">2</t>
    </r>
  </si>
  <si>
    <t xml:space="preserve">6260469900110</t>
  </si>
  <si>
    <t xml:space="preserve">6260918500182</t>
  </si>
  <si>
    <t xml:space="preserve">کلوچه نارگیلی لاهیجان</t>
  </si>
  <si>
    <t xml:space="preserve">6260103100012</t>
  </si>
  <si>
    <t xml:space="preserve">کیک صبحانه نان رضوی</t>
  </si>
  <si>
    <t xml:space="preserve">کیک اسفنجی کنجدی</t>
  </si>
  <si>
    <t xml:space="preserve">کیک اسفنجی کاکائو</t>
  </si>
  <si>
    <t xml:space="preserve">کیک کاکائویی نادری</t>
  </si>
  <si>
    <t xml:space="preserve">6262477911157</t>
  </si>
  <si>
    <t xml:space="preserve">6262477911973</t>
  </si>
  <si>
    <t xml:space="preserve">6261149065129</t>
  </si>
  <si>
    <t xml:space="preserve">6261149065112</t>
  </si>
  <si>
    <t xml:space="preserve">پاستیل نوشابه ای</t>
  </si>
  <si>
    <t xml:space="preserve">6261149065136</t>
  </si>
  <si>
    <t xml:space="preserve">6261149065679</t>
  </si>
  <si>
    <t xml:space="preserve">6264078411593</t>
  </si>
  <si>
    <t xml:space="preserve">6261163400197</t>
  </si>
  <si>
    <t xml:space="preserve">6264078409163</t>
  </si>
  <si>
    <t xml:space="preserve">بستنی کیمی الدورادو</t>
  </si>
  <si>
    <t xml:space="preserve">6264078408067</t>
  </si>
  <si>
    <t xml:space="preserve">بستنی حصیری الدورادو</t>
  </si>
  <si>
    <t xml:space="preserve">6264078411616</t>
  </si>
  <si>
    <t xml:space="preserve">6264078411609</t>
  </si>
  <si>
    <t xml:space="preserve">بستنی موزی الدورادو</t>
  </si>
  <si>
    <t xml:space="preserve">6264078402324</t>
  </si>
  <si>
    <t xml:space="preserve">6260522306576</t>
  </si>
  <si>
    <t xml:space="preserve">بستنی هندوانه</t>
  </si>
  <si>
    <t xml:space="preserve">0133100116340027</t>
  </si>
  <si>
    <t xml:space="preserve">بستنی قیفی شکلاتی چشمه چین</t>
  </si>
  <si>
    <t xml:space="preserve">6261163400289</t>
  </si>
  <si>
    <t xml:space="preserve">6264078411395</t>
  </si>
  <si>
    <t xml:space="preserve">بستنی بیسکویتی دومینو</t>
  </si>
  <si>
    <t xml:space="preserve">6260522304046</t>
  </si>
  <si>
    <t xml:space="preserve">بستنی کاکائو دایتی</t>
  </si>
  <si>
    <t xml:space="preserve">6263812801249</t>
  </si>
  <si>
    <t xml:space="preserve">6260053158989</t>
  </si>
  <si>
    <t xml:space="preserve">چی توز حلقه ای</t>
  </si>
  <si>
    <t xml:space="preserve">6263812801232</t>
  </si>
  <si>
    <t xml:space="preserve">چی توز موتوری بزرگ</t>
  </si>
  <si>
    <t xml:space="preserve">6260053186241</t>
  </si>
  <si>
    <t xml:space="preserve">6260543505668</t>
  </si>
  <si>
    <t xml:space="preserve">0162900054350822</t>
  </si>
  <si>
    <t xml:space="preserve">6265663103961</t>
  </si>
  <si>
    <t xml:space="preserve">6261178411010</t>
  </si>
  <si>
    <t xml:space="preserve">چی توز طلایی بزرگ</t>
  </si>
  <si>
    <t xml:space="preserve">6263812801225</t>
  </si>
  <si>
    <t xml:space="preserve">6260142610053</t>
  </si>
  <si>
    <t xml:space="preserve">6260396100560</t>
  </si>
  <si>
    <t xml:space="preserve">کاکائو فندقی</t>
  </si>
  <si>
    <t xml:space="preserve">0162230039610011</t>
  </si>
  <si>
    <t xml:space="preserve">6269948100638</t>
  </si>
  <si>
    <t xml:space="preserve">6262690600074</t>
  </si>
  <si>
    <t xml:space="preserve">6260567198587</t>
  </si>
  <si>
    <t xml:space="preserve">0162230056710017</t>
  </si>
  <si>
    <t xml:space="preserve">6260623920510</t>
  </si>
  <si>
    <t xml:space="preserve">کاکائو قاشقی</t>
  </si>
  <si>
    <t xml:space="preserve">4700</t>
  </si>
  <si>
    <t xml:space="preserve">سرکه مهستان قزوین</t>
  </si>
  <si>
    <t xml:space="preserve">4800</t>
  </si>
  <si>
    <r>
      <rPr>
        <sz val="14"/>
        <color theme="1"/>
        <rFont val="FreeSans"/>
        <family val="2"/>
      </rPr>
      <t xml:space="preserve">ژله </t>
    </r>
    <r>
      <rPr>
        <sz val="14"/>
        <color theme="1"/>
        <rFont val="Calibri"/>
        <family val="2"/>
      </rPr>
      <t xml:space="preserve">2000</t>
    </r>
  </si>
  <si>
    <t xml:space="preserve">4900</t>
  </si>
  <si>
    <r>
      <rPr>
        <sz val="14"/>
        <color theme="1"/>
        <rFont val="FreeSans"/>
        <family val="2"/>
      </rPr>
      <t xml:space="preserve">ژله </t>
    </r>
    <r>
      <rPr>
        <sz val="14"/>
        <color theme="1"/>
        <rFont val="Calibri"/>
        <family val="2"/>
      </rPr>
      <t xml:space="preserve">4000</t>
    </r>
  </si>
  <si>
    <t xml:space="preserve">5000</t>
  </si>
  <si>
    <t xml:space="preserve">5100</t>
  </si>
  <si>
    <r>
      <rPr>
        <sz val="14"/>
        <color theme="1"/>
        <rFont val="FreeSans"/>
        <family val="2"/>
      </rPr>
      <t xml:space="preserve">کاکائو </t>
    </r>
    <r>
      <rPr>
        <sz val="14"/>
        <color theme="1"/>
        <rFont val="Calibri"/>
        <family val="2"/>
      </rPr>
      <t xml:space="preserve">2000</t>
    </r>
  </si>
  <si>
    <t xml:space="preserve">5200</t>
  </si>
  <si>
    <t xml:space="preserve">5300</t>
  </si>
  <si>
    <t xml:space="preserve">5400</t>
  </si>
  <si>
    <t xml:space="preserve">بادکنک بزرگ </t>
  </si>
  <si>
    <t xml:space="preserve">5500</t>
  </si>
  <si>
    <t xml:space="preserve">بادکنک کوچک</t>
  </si>
  <si>
    <t xml:space="preserve">5600</t>
  </si>
  <si>
    <r>
      <rPr>
        <sz val="14"/>
        <color theme="1"/>
        <rFont val="FreeSans"/>
        <family val="2"/>
      </rPr>
      <t xml:space="preserve">چای فله </t>
    </r>
    <r>
      <rPr>
        <sz val="14"/>
        <color theme="1"/>
        <rFont val="Calibri"/>
        <family val="2"/>
      </rPr>
      <t xml:space="preserve">750</t>
    </r>
  </si>
  <si>
    <t xml:space="preserve">6261580000017</t>
  </si>
  <si>
    <t xml:space="preserve">2162314158000002</t>
  </si>
  <si>
    <t xml:space="preserve">5800</t>
  </si>
  <si>
    <t xml:space="preserve">آدامس تتو اوینا</t>
  </si>
  <si>
    <t xml:space="preserve">6263380901228</t>
  </si>
  <si>
    <t xml:space="preserve">6260748000371</t>
  </si>
  <si>
    <t xml:space="preserve">6260138002169</t>
  </si>
  <si>
    <t xml:space="preserve">0162240047420017</t>
  </si>
  <si>
    <t xml:space="preserve">6260138002138</t>
  </si>
  <si>
    <t xml:space="preserve">6261149074541</t>
  </si>
  <si>
    <r>
      <rPr>
        <sz val="14"/>
        <color theme="1"/>
        <rFont val="FreeSans"/>
        <family val="2"/>
      </rPr>
      <t xml:space="preserve">آدامس نعنایی </t>
    </r>
    <r>
      <rPr>
        <sz val="14"/>
        <color theme="1"/>
        <rFont val="Calibri"/>
        <family val="2"/>
      </rPr>
      <t xml:space="preserve">smile</t>
    </r>
  </si>
  <si>
    <t xml:space="preserve">6260474216800</t>
  </si>
  <si>
    <t xml:space="preserve">0160610318690001</t>
  </si>
  <si>
    <t xml:space="preserve">6263186900012</t>
  </si>
  <si>
    <t xml:space="preserve">5900</t>
  </si>
  <si>
    <t xml:space="preserve">لواشک سسی</t>
  </si>
  <si>
    <t xml:space="preserve">6260109281555</t>
  </si>
  <si>
    <t xml:space="preserve">6260000700025</t>
  </si>
  <si>
    <t xml:space="preserve">6260000700032</t>
  </si>
  <si>
    <t xml:space="preserve">6260138003319</t>
  </si>
  <si>
    <r>
      <rPr>
        <sz val="14"/>
        <color theme="1"/>
        <rFont val="FreeSans"/>
        <family val="2"/>
      </rPr>
      <t xml:space="preserve">اسمارتیس </t>
    </r>
    <r>
      <rPr>
        <sz val="14"/>
        <color theme="1"/>
        <rFont val="Calibri"/>
        <family val="2"/>
      </rPr>
      <t xml:space="preserve">sweet day</t>
    </r>
  </si>
  <si>
    <t xml:space="preserve">6000</t>
  </si>
  <si>
    <t xml:space="preserve">کبریت ستاره ممتاز</t>
  </si>
  <si>
    <t xml:space="preserve">6100</t>
  </si>
  <si>
    <t xml:space="preserve">8902061156820</t>
  </si>
  <si>
    <t xml:space="preserve">6266264000147</t>
  </si>
  <si>
    <t xml:space="preserve">خودکار کیان</t>
  </si>
  <si>
    <t xml:space="preserve">6260000771995</t>
  </si>
  <si>
    <t xml:space="preserve">6263380900658</t>
  </si>
  <si>
    <t xml:space="preserve">ژله آماده ژیلنا</t>
  </si>
  <si>
    <t xml:space="preserve">6200</t>
  </si>
  <si>
    <t xml:space="preserve">6300</t>
  </si>
  <si>
    <r>
      <rPr>
        <sz val="14"/>
        <color theme="1"/>
        <rFont val="FreeSans"/>
        <family val="2"/>
      </rPr>
      <t xml:space="preserve">چسب </t>
    </r>
    <r>
      <rPr>
        <sz val="14"/>
        <color theme="1"/>
        <rFont val="Calibri"/>
        <family val="2"/>
      </rPr>
      <t xml:space="preserve">5 </t>
    </r>
    <r>
      <rPr>
        <sz val="14"/>
        <color theme="1"/>
        <rFont val="FreeSans"/>
        <family val="2"/>
      </rPr>
      <t xml:space="preserve">سانتی</t>
    </r>
  </si>
  <si>
    <t xml:space="preserve">6400</t>
  </si>
  <si>
    <t xml:space="preserve">6260124301429</t>
  </si>
  <si>
    <t xml:space="preserve">6269893300695</t>
  </si>
  <si>
    <t xml:space="preserve">6262532300070</t>
  </si>
  <si>
    <t xml:space="preserve">6260004276212</t>
  </si>
  <si>
    <t xml:space="preserve">6260079200839</t>
  </si>
  <si>
    <t xml:space="preserve">6261149146101</t>
  </si>
  <si>
    <t xml:space="preserve">0162810216710010</t>
  </si>
  <si>
    <t xml:space="preserve">6262167101516</t>
  </si>
  <si>
    <t xml:space="preserve">6261178017779</t>
  </si>
  <si>
    <t xml:space="preserve">6265826100028</t>
  </si>
  <si>
    <t xml:space="preserve">6262003401954</t>
  </si>
  <si>
    <t xml:space="preserve">6268167900012</t>
  </si>
  <si>
    <t xml:space="preserve">6268167900050</t>
  </si>
  <si>
    <t xml:space="preserve">6260002666725</t>
  </si>
  <si>
    <t xml:space="preserve">6261149190210</t>
  </si>
  <si>
    <t xml:space="preserve">6269948100201</t>
  </si>
  <si>
    <t xml:space="preserve">6260533000067</t>
  </si>
  <si>
    <t xml:space="preserve">0133200064440006</t>
  </si>
  <si>
    <t xml:space="preserve">6260161504913</t>
  </si>
  <si>
    <t xml:space="preserve">شیر پرچرب کاله</t>
  </si>
  <si>
    <t xml:space="preserve">6260161504906</t>
  </si>
  <si>
    <t xml:space="preserve">شیر کم چرب کاله</t>
  </si>
  <si>
    <t xml:space="preserve">6260644400497</t>
  </si>
  <si>
    <t xml:space="preserve">6260166910306</t>
  </si>
  <si>
    <t xml:space="preserve">0160290016690012</t>
  </si>
  <si>
    <t xml:space="preserve">0160310066200020</t>
  </si>
  <si>
    <t xml:space="preserve">6260161506450</t>
  </si>
  <si>
    <t xml:space="preserve">خامه کاله</t>
  </si>
  <si>
    <t xml:space="preserve">6260152300579</t>
  </si>
  <si>
    <t xml:space="preserve">6260308310278</t>
  </si>
  <si>
    <t xml:space="preserve">6260138002121</t>
  </si>
  <si>
    <t xml:space="preserve">5700</t>
  </si>
  <si>
    <r>
      <rPr>
        <sz val="14"/>
        <color theme="1"/>
        <rFont val="FreeSans"/>
        <family val="2"/>
      </rPr>
      <t xml:space="preserve">شکلا فله </t>
    </r>
    <r>
      <rPr>
        <sz val="14"/>
        <color theme="1"/>
        <rFont val="Calibri"/>
        <family val="2"/>
      </rPr>
      <t xml:space="preserve">120</t>
    </r>
  </si>
  <si>
    <t xml:space="preserve">7100</t>
  </si>
  <si>
    <t xml:space="preserve">دستکش ساق بلند تیراژه</t>
  </si>
  <si>
    <t xml:space="preserve">6265663104265</t>
  </si>
  <si>
    <t xml:space="preserve">شیرین عسل</t>
  </si>
  <si>
    <t xml:space="preserve">کیک گردویی لاهیجان</t>
  </si>
  <si>
    <t xml:space="preserve">0162900054350642</t>
  </si>
  <si>
    <t xml:space="preserve">6263812801386</t>
  </si>
  <si>
    <t xml:space="preserve">6260053185640</t>
  </si>
  <si>
    <t xml:space="preserve">6260053186333</t>
  </si>
  <si>
    <t xml:space="preserve">6261149188453</t>
  </si>
  <si>
    <t xml:space="preserve">کیک وانیلی شیرین عسل</t>
  </si>
  <si>
    <t xml:space="preserve">6260000252135</t>
  </si>
  <si>
    <t xml:space="preserve">6260001171039</t>
  </si>
  <si>
    <t xml:space="preserve">نودالیت بسته ای </t>
  </si>
  <si>
    <t xml:space="preserve">6260001171022</t>
  </si>
  <si>
    <t xml:space="preserve">6260001171008</t>
  </si>
  <si>
    <t xml:space="preserve">6260000252166</t>
  </si>
  <si>
    <t xml:space="preserve">0133100116340003</t>
  </si>
  <si>
    <t xml:space="preserve">6261163400036</t>
  </si>
  <si>
    <t xml:space="preserve">6260063201057</t>
  </si>
  <si>
    <t xml:space="preserve">معجون پاک</t>
  </si>
  <si>
    <t xml:space="preserve">6264078410992</t>
  </si>
  <si>
    <t xml:space="preserve">6260063298149</t>
  </si>
  <si>
    <t xml:space="preserve">6260063214255</t>
  </si>
  <si>
    <t xml:space="preserve">6260063225435</t>
  </si>
  <si>
    <t xml:space="preserve">لیوانی پاک</t>
  </si>
  <si>
    <t xml:space="preserve">600000000008</t>
  </si>
  <si>
    <t xml:space="preserve">لیوانی سنتی</t>
  </si>
  <si>
    <t xml:space="preserve">6260063295841</t>
  </si>
  <si>
    <t xml:space="preserve">6260522300031</t>
  </si>
  <si>
    <t xml:space="preserve">6260063202139</t>
  </si>
  <si>
    <t xml:space="preserve">7200</t>
  </si>
  <si>
    <t xml:space="preserve">بستنی لیوانی </t>
  </si>
  <si>
    <t xml:space="preserve">7300</t>
  </si>
  <si>
    <t xml:space="preserve">بستنی حصیری</t>
  </si>
  <si>
    <t xml:space="preserve">6264078409156</t>
  </si>
  <si>
    <t xml:space="preserve">6260138002787</t>
  </si>
  <si>
    <t xml:space="preserve">6260474216404</t>
  </si>
  <si>
    <t xml:space="preserve">7400</t>
  </si>
  <si>
    <t xml:space="preserve">7500</t>
  </si>
  <si>
    <t xml:space="preserve">6260501700753</t>
  </si>
  <si>
    <t xml:space="preserve">6261149146125</t>
  </si>
  <si>
    <t xml:space="preserve">7600</t>
  </si>
  <si>
    <t xml:space="preserve">6260002926362</t>
  </si>
  <si>
    <t xml:space="preserve">8458412400024</t>
  </si>
  <si>
    <t xml:space="preserve">6260488532156</t>
  </si>
  <si>
    <t xml:space="preserve">6261101140215</t>
  </si>
  <si>
    <t xml:space="preserve">0160290222820002</t>
  </si>
  <si>
    <t xml:space="preserve">6260308300460</t>
  </si>
  <si>
    <t xml:space="preserve">6260000685506</t>
  </si>
  <si>
    <t xml:space="preserve">6262723900058</t>
  </si>
  <si>
    <t xml:space="preserve">6260000897275</t>
  </si>
  <si>
    <t xml:space="preserve">6261422504543</t>
  </si>
  <si>
    <t xml:space="preserve">6261178574029</t>
  </si>
  <si>
    <t xml:space="preserve">6261149098806</t>
  </si>
  <si>
    <t xml:space="preserve">6260501003052</t>
  </si>
  <si>
    <t xml:space="preserve">6262036200272</t>
  </si>
  <si>
    <t xml:space="preserve">6261149067529</t>
  </si>
  <si>
    <t xml:space="preserve">پاستیل میوه ای شیرین عسل</t>
  </si>
  <si>
    <t xml:space="preserve">6260002926379</t>
  </si>
  <si>
    <t xml:space="preserve">0162900054350821</t>
  </si>
  <si>
    <t xml:space="preserve">6260543505682</t>
  </si>
  <si>
    <t xml:space="preserve">6260079211316</t>
  </si>
  <si>
    <t xml:space="preserve">6260079211323</t>
  </si>
  <si>
    <t xml:space="preserve">6260079211293</t>
  </si>
  <si>
    <t xml:space="preserve">6260079277138</t>
  </si>
  <si>
    <t xml:space="preserve">6265554201035</t>
  </si>
  <si>
    <t xml:space="preserve">6269007000015</t>
  </si>
  <si>
    <t xml:space="preserve">7700</t>
  </si>
  <si>
    <t xml:space="preserve">6260737001631</t>
  </si>
  <si>
    <t xml:space="preserve">انرژی زا فایر</t>
  </si>
  <si>
    <t xml:space="preserve">2162410115680007</t>
  </si>
  <si>
    <t xml:space="preserve">6261156800089</t>
  </si>
  <si>
    <t xml:space="preserve">7800</t>
  </si>
  <si>
    <t xml:space="preserve">6260575902312</t>
  </si>
  <si>
    <t xml:space="preserve">6260575902404</t>
  </si>
  <si>
    <t xml:space="preserve">6260543505347</t>
  </si>
  <si>
    <t xml:space="preserve">0162900054350801</t>
  </si>
  <si>
    <t xml:space="preserve">6261149146231</t>
  </si>
  <si>
    <t xml:space="preserve">7900</t>
  </si>
  <si>
    <t xml:space="preserve">8936036022933</t>
  </si>
  <si>
    <t xml:space="preserve">6260567101723</t>
  </si>
  <si>
    <t xml:space="preserve">626184750344</t>
  </si>
  <si>
    <t xml:space="preserve">کرانچی پنیری</t>
  </si>
  <si>
    <t xml:space="preserve">6261149024867</t>
  </si>
  <si>
    <t xml:space="preserve">طلایی چی توز</t>
  </si>
  <si>
    <t xml:space="preserve">6261204000164</t>
  </si>
  <si>
    <t xml:space="preserve">6265826100837</t>
  </si>
  <si>
    <t xml:space="preserve">6262532300087</t>
  </si>
  <si>
    <t xml:space="preserve">6269948100195</t>
  </si>
  <si>
    <t xml:space="preserve">6260501700722</t>
  </si>
  <si>
    <t xml:space="preserve">6260501700746</t>
  </si>
  <si>
    <t xml:space="preserve">6265663104715</t>
  </si>
  <si>
    <t xml:space="preserve">6260543505620</t>
  </si>
  <si>
    <t xml:space="preserve">0162900054350816</t>
  </si>
  <si>
    <t xml:space="preserve">6260543504791</t>
  </si>
  <si>
    <t xml:space="preserve">0162900054350751</t>
  </si>
  <si>
    <t xml:space="preserve">6262036200012</t>
  </si>
  <si>
    <t xml:space="preserve">6260170902281</t>
  </si>
  <si>
    <t xml:space="preserve">6260000252128</t>
  </si>
  <si>
    <t xml:space="preserve">6260000252142</t>
  </si>
  <si>
    <t xml:space="preserve">2582525885273</t>
  </si>
  <si>
    <t xml:space="preserve">Users</t>
  </si>
  <si>
    <t xml:space="preserve">User Name</t>
  </si>
  <si>
    <t xml:space="preserve">Nancy Smith</t>
  </si>
</sst>
</file>

<file path=xl/styles.xml><?xml version="1.0" encoding="utf-8"?>
<styleSheet xmlns="http://schemas.openxmlformats.org/spreadsheetml/2006/main">
  <numFmts count="11">
    <numFmt numFmtId="164" formatCode="General"/>
    <numFmt numFmtId="165" formatCode="0%"/>
    <numFmt numFmtId="166" formatCode="0.00%"/>
    <numFmt numFmtId="167" formatCode="[$-429]dd/mm/yyyy;@"/>
    <numFmt numFmtId="168" formatCode="m/d/yyyy\ h:mm"/>
    <numFmt numFmtId="169" formatCode="@"/>
    <numFmt numFmtId="170" formatCode="[$-409]m/d/yy\ h:mm\ AM/PM;@"/>
    <numFmt numFmtId="171" formatCode="0"/>
    <numFmt numFmtId="172" formatCode="_(\$* #,##0.00_);_(\$* \(#,##0.00\);_(\$* \-??_);_(@_)"/>
    <numFmt numFmtId="173" formatCode="_(* #,##0.000_);_(* \(#,##0.000\);_(* \-???_);_(@_)"/>
    <numFmt numFmtId="174" formatCode="\$#,##0.00_);&quot;($&quot;#,##0.00\)"/>
  </numFmts>
  <fonts count="34">
    <font>
      <sz val="11"/>
      <color theme="1"/>
      <name val="Calibri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30"/>
      <color theme="1"/>
      <name val="Arial Rounded MT Bold"/>
      <family val="2"/>
    </font>
    <font>
      <b val="true"/>
      <sz val="11"/>
      <color theme="0"/>
      <name val="Calibri"/>
      <family val="2"/>
    </font>
    <font>
      <sz val="11"/>
      <color theme="0"/>
      <name val="Calibri"/>
      <family val="2"/>
    </font>
    <font>
      <b val="true"/>
      <sz val="11"/>
      <color theme="1"/>
      <name val="Calibri"/>
      <family val="2"/>
    </font>
    <font>
      <b val="true"/>
      <sz val="12"/>
      <color theme="1"/>
      <name val="B Nazanin"/>
      <family val="0"/>
    </font>
    <font>
      <b val="true"/>
      <sz val="8"/>
      <color theme="1"/>
      <name val="Calibri"/>
      <family val="2"/>
    </font>
    <font>
      <sz val="10"/>
      <color theme="1"/>
      <name val="Calibri"/>
      <family val="2"/>
    </font>
    <font>
      <sz val="11"/>
      <color theme="3" tint="-0.25"/>
      <name val="Calibri"/>
      <family val="2"/>
    </font>
    <font>
      <sz val="8"/>
      <color theme="1"/>
      <name val="Calibri"/>
      <family val="2"/>
    </font>
    <font>
      <sz val="12"/>
      <color theme="1"/>
      <name val="Calibri"/>
      <family val="2"/>
    </font>
    <font>
      <b val="true"/>
      <sz val="11"/>
      <color theme="1"/>
      <name val="B Nazanin"/>
      <family val="0"/>
    </font>
    <font>
      <sz val="14"/>
      <color theme="1"/>
      <name val="B Nazanin"/>
      <family val="0"/>
    </font>
    <font>
      <b val="true"/>
      <sz val="14"/>
      <color theme="1"/>
      <name val="B Nazanin"/>
      <family val="0"/>
    </font>
    <font>
      <b val="true"/>
      <sz val="14"/>
      <color theme="1"/>
      <name val="Calibri"/>
      <family val="2"/>
    </font>
    <font>
      <sz val="11"/>
      <color theme="1"/>
      <name val="B Nazanin"/>
      <family val="0"/>
    </font>
    <font>
      <b val="true"/>
      <sz val="11"/>
      <color rgb="FF000000"/>
      <name val="Calibri"/>
      <family val="0"/>
    </font>
    <font>
      <sz val="25"/>
      <color theme="3" tint="-0.25"/>
      <name val="Arial Rounded MT Bold"/>
      <family val="2"/>
    </font>
    <font>
      <sz val="11"/>
      <color theme="1"/>
      <name val="Calibri"/>
      <family val="0"/>
    </font>
    <font>
      <sz val="11"/>
      <color rgb="FFFFFFFF"/>
      <name val="Calibri"/>
      <family val="0"/>
    </font>
    <font>
      <sz val="36"/>
      <color theme="4" tint="-0.5"/>
      <name val="Arial Rounded MT Bold"/>
      <family val="2"/>
    </font>
    <font>
      <sz val="11"/>
      <color rgb="FF000000"/>
      <name val="Calibri"/>
      <family val="0"/>
    </font>
    <font>
      <b val="true"/>
      <u val="single"/>
      <sz val="11"/>
      <color theme="1"/>
      <name val="Calibri"/>
      <family val="0"/>
    </font>
    <font>
      <b val="true"/>
      <u val="single"/>
      <sz val="11"/>
      <color rgb="FF000000"/>
      <name val="Calibri"/>
      <family val="0"/>
    </font>
    <font>
      <sz val="20"/>
      <color rgb="FF000000"/>
      <name val="Code 128"/>
      <family val="0"/>
    </font>
    <font>
      <b val="true"/>
      <sz val="16"/>
      <color theme="1"/>
      <name val="Calibri"/>
      <family val="0"/>
    </font>
    <font>
      <sz val="11"/>
      <color theme="4" tint="-0.5"/>
      <name val="Calibri"/>
      <family val="0"/>
    </font>
    <font>
      <sz val="11"/>
      <color theme="0"/>
      <name val="Calibri"/>
      <family val="0"/>
    </font>
    <font>
      <sz val="11"/>
      <color theme="1"/>
      <name val="FreeSans"/>
      <family val="2"/>
    </font>
    <font>
      <sz val="14"/>
      <color theme="1"/>
      <name val="Calibri"/>
      <family val="2"/>
    </font>
    <font>
      <sz val="14"/>
      <color theme="1"/>
      <name val="FreeSans"/>
      <family val="2"/>
    </font>
  </fonts>
  <fills count="32">
    <fill>
      <patternFill patternType="none"/>
    </fill>
    <fill>
      <patternFill patternType="gray125"/>
    </fill>
    <fill>
      <patternFill patternType="solid">
        <fgColor rgb="FFA7C0DE"/>
        <bgColor rgb="FFAAC7EA"/>
      </patternFill>
    </fill>
    <fill>
      <patternFill patternType="solid">
        <fgColor rgb="FFCBDAEC"/>
        <bgColor rgb="FFCAD9EB"/>
      </patternFill>
    </fill>
    <fill>
      <patternFill patternType="solid">
        <fgColor theme="4" tint="-0.25"/>
        <bgColor rgb="FF274B78"/>
      </patternFill>
    </fill>
    <fill>
      <patternFill patternType="solid">
        <fgColor theme="4" tint="0.7999"/>
        <bgColor rgb="FFE1EAF3"/>
      </patternFill>
    </fill>
    <fill>
      <patternFill patternType="solid">
        <fgColor theme="3" tint="0.5999"/>
        <bgColor rgb="FFA7C0DE"/>
      </patternFill>
    </fill>
    <fill>
      <patternFill patternType="solid">
        <fgColor theme="3" tint="0.3999"/>
        <bgColor rgb="FF71A1DC"/>
      </patternFill>
    </fill>
    <fill>
      <patternFill patternType="solid">
        <fgColor theme="4" tint="0.5999"/>
        <bgColor rgb="FFAAC7EA"/>
      </patternFill>
    </fill>
    <fill>
      <patternFill patternType="solid">
        <fgColor rgb="FF92D050"/>
        <bgColor rgb="FFC3D69B"/>
      </patternFill>
    </fill>
    <fill>
      <patternFill patternType="solid">
        <fgColor rgb="FFCCCCCC"/>
        <bgColor rgb="FFD9D1E3"/>
      </patternFill>
    </fill>
    <fill>
      <patternFill patternType="solid">
        <fgColor theme="0"/>
        <bgColor rgb="FFF7F7F7"/>
      </patternFill>
    </fill>
    <fill>
      <patternFill patternType="solid">
        <fgColor rgb="FFE6E6E6"/>
        <bgColor rgb="FFE5E5E5"/>
      </patternFill>
    </fill>
    <fill>
      <patternFill patternType="solid">
        <fgColor rgb="FFCAD9EB"/>
        <bgColor rgb="FFCBDAEC"/>
      </patternFill>
    </fill>
    <fill>
      <patternFill patternType="solid">
        <fgColor rgb="FFE5E5E5"/>
        <bgColor rgb="FFE6E6E6"/>
      </patternFill>
    </fill>
    <fill>
      <patternFill patternType="solid">
        <fgColor rgb="FFE1EBCE"/>
        <bgColor rgb="FFEBF1DE"/>
      </patternFill>
    </fill>
    <fill>
      <patternFill patternType="solid">
        <fgColor theme="0" tint="-0.05"/>
        <bgColor rgb="FFECF2F8"/>
      </patternFill>
    </fill>
    <fill>
      <patternFill patternType="solid">
        <fgColor rgb="FFFFFF00"/>
        <bgColor rgb="FFCDDDAC"/>
      </patternFill>
    </fill>
    <fill>
      <patternFill patternType="solid">
        <fgColor rgb="FF4BD0FF"/>
        <bgColor rgb="FF93CDDD"/>
      </patternFill>
    </fill>
    <fill>
      <patternFill patternType="solid">
        <fgColor rgb="FF71A1DC"/>
        <bgColor rgb="FF558ED5"/>
      </patternFill>
    </fill>
    <fill>
      <patternFill patternType="solid">
        <fgColor rgb="FFAAC7EA"/>
        <bgColor rgb="FFA7C0DE"/>
      </patternFill>
    </fill>
    <fill>
      <patternFill patternType="solid">
        <fgColor theme="3" tint="0.7999"/>
        <bgColor rgb="FFCAD9EB"/>
      </patternFill>
    </fill>
    <fill>
      <patternFill patternType="solid">
        <fgColor rgb="FFCDDDAC"/>
        <bgColor rgb="FFD7E4BD"/>
      </patternFill>
    </fill>
    <fill>
      <patternFill patternType="solid">
        <fgColor theme="6" tint="0.5999"/>
        <bgColor rgb="FFE1EBCE"/>
      </patternFill>
    </fill>
    <fill>
      <patternFill patternType="solid">
        <fgColor theme="6" tint="0.7999"/>
        <bgColor rgb="FFF2F2F2"/>
      </patternFill>
    </fill>
    <fill>
      <patternFill patternType="solid">
        <fgColor rgb="FFA5D6E3"/>
        <bgColor rgb="FFB7DEE8"/>
      </patternFill>
    </fill>
    <fill>
      <patternFill patternType="solid">
        <fgColor theme="8" tint="0.3999"/>
        <bgColor rgb="FFA5D6E3"/>
      </patternFill>
    </fill>
    <fill>
      <patternFill patternType="solid">
        <fgColor rgb="FFC9E6EE"/>
        <bgColor rgb="FFCBDAEC"/>
      </patternFill>
    </fill>
    <fill>
      <patternFill patternType="solid">
        <fgColor theme="8" tint="0.5999"/>
        <bgColor rgb="FFC6D9F1"/>
      </patternFill>
    </fill>
    <fill>
      <patternFill patternType="solid">
        <fgColor theme="6" tint="0.3999"/>
        <bgColor rgb="FFCDDDAC"/>
      </patternFill>
    </fill>
    <fill>
      <patternFill patternType="solid">
        <fgColor rgb="FFC0B2D1"/>
        <bgColor rgb="FFA7C0DE"/>
      </patternFill>
    </fill>
    <fill>
      <patternFill patternType="solid">
        <fgColor rgb="FFD9D1E3"/>
        <bgColor rgb="FFCAD9EB"/>
      </patternFill>
    </fill>
  </fills>
  <borders count="16">
    <border diagonalUp="false" diagonalDown="false">
      <left/>
      <right/>
      <top/>
      <bottom/>
      <diagonal/>
    </border>
    <border diagonalUp="false" diagonalDown="false">
      <left style="medium">
        <color theme="3" tint="-0.25"/>
      </left>
      <right style="medium">
        <color theme="3" tint="-0.25"/>
      </right>
      <top style="medium">
        <color theme="3" tint="-0.25"/>
      </top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>
        <color theme="3" tint="-0.25"/>
      </left>
      <right style="thin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medium">
        <color theme="3" tint="-0.25"/>
      </left>
      <right style="thin"/>
      <top style="thin"/>
      <bottom style="medium">
        <color theme="3" tint="-0.25"/>
      </bottom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/>
      <top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72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2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4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7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5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7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4" xfId="19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6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8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4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7" fillId="1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1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11" borderId="4" xfId="0" applyFont="false" applyBorder="true" applyAlignment="true" applyProtection="false">
      <alignment horizontal="left" vertical="center" textRotation="0" wrapText="false" indent="1" shrinkToFit="false"/>
      <protection locked="true" hidden="false"/>
    </xf>
    <xf numFmtId="164" fontId="0" fillId="5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5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7" fillId="12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4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5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8" fillId="5" borderId="4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5" borderId="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5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5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5" borderId="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9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13" borderId="4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70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14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5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14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12" fillId="5" borderId="12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3" fillId="5" borderId="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3" fontId="14" fillId="5" borderId="9" xfId="17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14" fillId="5" borderId="9" xfId="19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3" fontId="14" fillId="5" borderId="0" xfId="17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4" fillId="5" borderId="1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3" fillId="5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12" fillId="5" borderId="14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3" fillId="5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14" fillId="5" borderId="0" xfId="19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4" fillId="5" borderId="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3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4" fontId="13" fillId="5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1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7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17" borderId="4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15" fillId="17" borderId="4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8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12" fillId="5" borderId="14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73" fontId="14" fillId="5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5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1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1" fontId="12" fillId="5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16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3" fontId="16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3" fontId="18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12" fillId="5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3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19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19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1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3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3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4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5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27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8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2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9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8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8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5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32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33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33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33" fillId="0" borderId="0" xfId="0" applyFont="true" applyBorder="false" applyAlignment="true" applyProtection="false">
      <alignment horizontal="right" vertical="center" textRotation="0" wrapText="true" indent="0" shrinkToFit="false"/>
      <protection locked="true" hidden="false"/>
    </xf>
    <xf numFmtId="169" fontId="33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9" fontId="33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33" fillId="0" borderId="0" xfId="0" applyFont="true" applyBorder="false" applyAlignment="true" applyProtection="false">
      <alignment horizontal="right" vertical="bottom" textRotation="0" wrapText="true" indent="0" shrinkToFit="false"/>
      <protection locked="true" hidden="false"/>
    </xf>
    <xf numFmtId="169" fontId="31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" fillId="3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31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5">
    <dxf>
      <font>
        <name val="Calibri"/>
        <family val="2"/>
        <color rgb="FF000000"/>
        <sz val="11"/>
      </font>
      <fill>
        <patternFill>
          <bgColor rgb="FFECF2F8"/>
        </patternFill>
      </fill>
      <border diagonalUp="false" diagonalDown="false">
        <left style="thin"/>
        <right style="thin"/>
        <top style="hair"/>
        <bottom style="hair"/>
        <diagonal/>
      </border>
    </dxf>
    <dxf>
      <font>
        <name val="Calibri"/>
        <family val="2"/>
        <color rgb="FF000000"/>
        <sz val="11"/>
      </font>
      <fill>
        <patternFill>
          <bgColor rgb="FFF4F7FA"/>
        </patternFill>
      </fill>
      <border diagonalUp="false" diagonalDown="false">
        <left style="thin"/>
        <right style="thin"/>
        <top style="hair"/>
        <bottom style="hair"/>
        <diagonal/>
      </border>
    </dxf>
    <dxf>
      <font>
        <name val="Calibri"/>
        <family val="2"/>
        <b val="1"/>
        <i val="0"/>
        <color rgb="FFFFFFFF"/>
        <sz val="11"/>
      </font>
      <fill>
        <patternFill>
          <bgColor rgb="FF274B78"/>
        </patternFill>
      </fill>
    </dxf>
    <dxf>
      <font>
        <name val="Calibri"/>
        <family val="2"/>
        <color rgb="FF000000"/>
        <sz val="11"/>
      </font>
      <fill>
        <patternFill>
          <bgColor rgb="FFF7F7F7"/>
        </patternFill>
      </fill>
    </dxf>
    <dxf>
      <font>
        <name val="Calibri"/>
        <family val="2"/>
        <color rgb="FF000000"/>
        <sz val="11"/>
      </font>
      <fill>
        <patternFill>
          <bgColor theme="0"/>
        </patternFill>
      </fill>
    </dxf>
    <dxf>
      <font>
        <name val="Calibri"/>
        <family val="2"/>
        <b val="0"/>
        <i val="1"/>
        <color rgb="FFA6A6A6"/>
        <sz val="11"/>
      </font>
    </dxf>
    <dxf>
      <font>
        <name val="Calibri"/>
        <family val="2"/>
        <b val="1"/>
        <i val="0"/>
        <color rgb="FF000000"/>
        <sz val="11"/>
      </font>
      <fill>
        <patternFill>
          <bgColor rgb="FFE1EAF3"/>
        </patternFill>
      </fill>
    </dxf>
    <dxf>
      <font>
        <name val="Calibri"/>
        <family val="2"/>
        <color rgb="FF000000"/>
        <sz val="11"/>
      </font>
      <border diagonalUp="false" diagonalDown="false">
        <left/>
        <right/>
        <top/>
        <bottom/>
        <diagonal/>
      </border>
    </dxf>
    <dxf>
      <font>
        <name val="Calibri"/>
        <family val="2"/>
        <color rgb="FF000000"/>
        <sz val="11"/>
      </font>
      <fill>
        <patternFill>
          <bgColor rgb="FFF7F7F7"/>
        </patternFill>
      </fill>
    </dxf>
    <dxf>
      <font>
        <name val="Calibri"/>
        <family val="2"/>
        <color rgb="FF000000"/>
        <sz val="11"/>
      </font>
      <fill>
        <patternFill>
          <bgColor theme="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AAC7EA"/>
          <bgColor rgb="FF000000"/>
        </patternFill>
      </fill>
    </dxf>
    <dxf>
      <fill>
        <patternFill patternType="solid">
          <fgColor rgb="FFE1EBCE"/>
          <bgColor rgb="FF000000"/>
        </patternFill>
      </fill>
    </dxf>
    <dxf>
      <fill>
        <patternFill patternType="solid">
          <fgColor rgb="FFDCE6F2"/>
          <bgColor rgb="FF000000"/>
        </patternFill>
      </fill>
    </dxf>
  </dxfs>
  <colors>
    <indexedColors>
      <rgbColor rgb="FF000000"/>
      <rgbColor rgb="FFFFFFFF"/>
      <rgbColor rgb="FFFF0000"/>
      <rgbColor rgb="FFE5E5E5"/>
      <rgbColor rgb="FF0000FF"/>
      <rgbColor rgb="FFFFFF00"/>
      <rgbColor rgb="FFFF00FF"/>
      <rgbColor rgb="FFB7DEE8"/>
      <rgbColor rgb="FF800000"/>
      <rgbColor rgb="FF008000"/>
      <rgbColor rgb="FF000080"/>
      <rgbColor rgb="FFAAC7EA"/>
      <rgbColor rgb="FF800080"/>
      <rgbColor rgb="FFF2F2F2"/>
      <rgbColor rgb="FFCCCCCC"/>
      <rgbColor rgb="FF558ED5"/>
      <rgbColor rgb="FF8EB4E3"/>
      <rgbColor rgb="FFE6E6E6"/>
      <rgbColor rgb="FFF7F7F7"/>
      <rgbColor rgb="FFC9E6EE"/>
      <rgbColor rgb="FF660066"/>
      <rgbColor rgb="FFA7C0DE"/>
      <rgbColor rgb="FF0066CC"/>
      <rgbColor rgb="FFC6D9F1"/>
      <rgbColor rgb="FF000080"/>
      <rgbColor rgb="FFFF00FF"/>
      <rgbColor rgb="FFD7E4BD"/>
      <rgbColor rgb="FFCAD9EB"/>
      <rgbColor rgb="FF800080"/>
      <rgbColor rgb="FF800000"/>
      <rgbColor rgb="FFF4F7FA"/>
      <rgbColor rgb="FF0000FF"/>
      <rgbColor rgb="FFA5D6E3"/>
      <rgbColor rgb="FFE1EAF3"/>
      <rgbColor rgb="FFE1EBCE"/>
      <rgbColor rgb="FFEBF1DE"/>
      <rgbColor rgb="FF93CDDD"/>
      <rgbColor rgb="FFD9D1E3"/>
      <rgbColor rgb="FFC0B2D1"/>
      <rgbColor rgb="FFCDDDAC"/>
      <rgbColor rgb="FFDCE6F2"/>
      <rgbColor rgb="FF4BD0FF"/>
      <rgbColor rgb="FF92D050"/>
      <rgbColor rgb="FFC3D69B"/>
      <rgbColor rgb="FFB9CDE5"/>
      <rgbColor rgb="FFCBDAEC"/>
      <rgbColor rgb="FF376092"/>
      <rgbColor rgb="FFA6A6A6"/>
      <rgbColor rgb="FF17375E"/>
      <rgbColor rgb="FF71A1DC"/>
      <rgbColor rgb="FF003300"/>
      <rgbColor rgb="FF333300"/>
      <rgbColor rgb="FF993300"/>
      <rgbColor rgb="FFECF2F8"/>
      <rgbColor rgb="FF274B78"/>
      <rgbColor rgb="FF254061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7" Type="http://schemas.openxmlformats.org/officeDocument/2006/relationships/image" Target="../media/image7.png"/><Relationship Id="rId8" Type="http://schemas.openxmlformats.org/officeDocument/2006/relationships/image" Target="../media/image8.png"/><Relationship Id="rId9" Type="http://schemas.openxmlformats.org/officeDocument/2006/relationships/image" Target="../media/image9.png"/><Relationship Id="rId10" Type="http://schemas.openxmlformats.org/officeDocument/2006/relationships/image" Target="../media/image10.png"/><Relationship Id="rId11" Type="http://schemas.openxmlformats.org/officeDocument/2006/relationships/image" Target="../media/image11.png"/><Relationship Id="rId12" Type="http://schemas.openxmlformats.org/officeDocument/2006/relationships/image" Target="../media/image12.png"/><Relationship Id="rId13" Type="http://schemas.openxmlformats.org/officeDocument/2006/relationships/image" Target="../media/image13.png"/><Relationship Id="rId14" Type="http://schemas.openxmlformats.org/officeDocument/2006/relationships/image" Target="../media/image14.png"/><Relationship Id="rId15" Type="http://schemas.openxmlformats.org/officeDocument/2006/relationships/image" Target="../media/image15.png"/><Relationship Id="rId16" Type="http://schemas.openxmlformats.org/officeDocument/2006/relationships/image" Target="../media/image16.png"/><Relationship Id="rId17" Type="http://schemas.openxmlformats.org/officeDocument/2006/relationships/image" Target="../media/image17.png"/><Relationship Id="rId18" Type="http://schemas.openxmlformats.org/officeDocument/2006/relationships/image" Target="../media/image18.png"/><Relationship Id="rId19" Type="http://schemas.openxmlformats.org/officeDocument/2006/relationships/image" Target="../media/image19.png"/><Relationship Id="rId20" Type="http://schemas.openxmlformats.org/officeDocument/2006/relationships/image" Target="../media/image20.png"/><Relationship Id="rId21" Type="http://schemas.openxmlformats.org/officeDocument/2006/relationships/image" Target="../media/image2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8</xdr:col>
      <xdr:colOff>533520</xdr:colOff>
      <xdr:row>1</xdr:row>
      <xdr:rowOff>166680</xdr:rowOff>
    </xdr:from>
    <xdr:to>
      <xdr:col>9</xdr:col>
      <xdr:colOff>129240</xdr:colOff>
      <xdr:row>1</xdr:row>
      <xdr:rowOff>394920</xdr:rowOff>
    </xdr:to>
    <xdr:sp>
      <xdr:nvSpPr>
        <xdr:cNvPr id="0" name="ToggleBack"/>
        <xdr:cNvSpPr/>
      </xdr:nvSpPr>
      <xdr:spPr>
        <a:xfrm>
          <a:off x="3060360" y="728640"/>
          <a:ext cx="320760" cy="228240"/>
        </a:xfrm>
        <a:prstGeom prst="rect">
          <a:avLst/>
        </a:prstGeom>
        <a:solidFill>
          <a:schemeClr val="lt1"/>
        </a:solidFill>
        <a:ln w="6480">
          <a:solidFill>
            <a:srgbClr val="000000"/>
          </a:solidFill>
          <a:round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8</xdr:col>
      <xdr:colOff>533520</xdr:colOff>
      <xdr:row>1</xdr:row>
      <xdr:rowOff>166680</xdr:rowOff>
    </xdr:from>
    <xdr:to>
      <xdr:col>8</xdr:col>
      <xdr:colOff>683640</xdr:colOff>
      <xdr:row>1</xdr:row>
      <xdr:rowOff>394920</xdr:rowOff>
    </xdr:to>
    <xdr:sp>
      <xdr:nvSpPr>
        <xdr:cNvPr id="1" name="ToggleSwitch"/>
        <xdr:cNvSpPr/>
      </xdr:nvSpPr>
      <xdr:spPr>
        <a:xfrm>
          <a:off x="3060360" y="728640"/>
          <a:ext cx="150120" cy="228240"/>
        </a:xfrm>
        <a:prstGeom prst="rect">
          <a:avLst/>
        </a:prstGeom>
        <a:solidFill>
          <a:srgbClr val="0070c0"/>
        </a:solidFill>
        <a:ln w="6480">
          <a:solidFill>
            <a:srgbClr val="000000"/>
          </a:solidFill>
          <a:round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8</xdr:col>
      <xdr:colOff>47520</xdr:colOff>
      <xdr:row>1</xdr:row>
      <xdr:rowOff>166680</xdr:rowOff>
    </xdr:from>
    <xdr:to>
      <xdr:col>8</xdr:col>
      <xdr:colOff>504360</xdr:colOff>
      <xdr:row>1</xdr:row>
      <xdr:rowOff>394920</xdr:rowOff>
    </xdr:to>
    <xdr:sp>
      <xdr:nvSpPr>
        <xdr:cNvPr id="2" name="TextBox 463"/>
        <xdr:cNvSpPr/>
      </xdr:nvSpPr>
      <xdr:spPr>
        <a:xfrm>
          <a:off x="2574360" y="728640"/>
          <a:ext cx="456840" cy="228240"/>
        </a:xfrm>
        <a:prstGeom prst="rect">
          <a:avLst/>
        </a:prstGeom>
        <a:noFill/>
        <a:ln w="9360">
          <a:noFill/>
        </a:ln>
      </xdr:spPr>
      <xdr:style>
        <a:lnRef idx="0"/>
        <a:fillRef idx="0"/>
        <a:effectRef idx="0"/>
        <a:fontRef idx="minor"/>
      </xdr:style>
      <xdr:txBody>
        <a:bodyPr vertOverflow="clip" lIns="18360" rIns="18360" tIns="0" bIns="0" anchor="ctr">
          <a:noAutofit/>
        </a:bodyPr>
        <a:p>
          <a:pPr algn="r">
            <a:lnSpc>
              <a:spcPct val="100000"/>
            </a:lnSpc>
          </a:pPr>
          <a:r>
            <a:rPr b="1" lang="en-US" sz="1100" strike="noStrike" u="none">
              <a:solidFill>
                <a:srgbClr val="000000"/>
              </a:solidFill>
              <a:uFillTx/>
              <a:latin typeface="Calibri"/>
            </a:rPr>
            <a:t>SALE</a:t>
          </a:r>
          <a:endParaRPr b="0" lang="en-US" sz="11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9</xdr:col>
      <xdr:colOff>142920</xdr:colOff>
      <xdr:row>1</xdr:row>
      <xdr:rowOff>166680</xdr:rowOff>
    </xdr:from>
    <xdr:to>
      <xdr:col>9</xdr:col>
      <xdr:colOff>919800</xdr:colOff>
      <xdr:row>1</xdr:row>
      <xdr:rowOff>394920</xdr:rowOff>
    </xdr:to>
    <xdr:sp>
      <xdr:nvSpPr>
        <xdr:cNvPr id="3" name="TextBox 464"/>
        <xdr:cNvSpPr/>
      </xdr:nvSpPr>
      <xdr:spPr>
        <a:xfrm>
          <a:off x="3394800" y="728640"/>
          <a:ext cx="776880" cy="228240"/>
        </a:xfrm>
        <a:prstGeom prst="rect">
          <a:avLst/>
        </a:prstGeom>
        <a:noFill/>
        <a:ln w="9360">
          <a:noFill/>
        </a:ln>
      </xdr:spPr>
      <xdr:style>
        <a:lnRef idx="0"/>
        <a:fillRef idx="0"/>
        <a:effectRef idx="0"/>
        <a:fontRef idx="minor"/>
      </xdr:style>
      <xdr:txBody>
        <a:bodyPr vertOverflow="clip" lIns="18360" rIns="18360" tIns="0" bIns="0" anchor="ctr">
          <a:noAutofit/>
        </a:bodyPr>
        <a:p>
          <a:pPr>
            <a:lnSpc>
              <a:spcPct val="100000"/>
            </a:lnSpc>
          </a:pPr>
          <a:r>
            <a:rPr b="1" lang="en-US" sz="1100" strike="noStrike" u="none">
              <a:solidFill>
                <a:srgbClr val="000000"/>
              </a:solidFill>
              <a:uFillTx/>
              <a:latin typeface="Calibri"/>
            </a:rPr>
            <a:t>PURCHASE</a:t>
          </a:r>
          <a:endParaRPr b="0" lang="en-US" sz="11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9</xdr:col>
      <xdr:colOff>1133640</xdr:colOff>
      <xdr:row>1</xdr:row>
      <xdr:rowOff>100080</xdr:rowOff>
    </xdr:from>
    <xdr:to>
      <xdr:col>12</xdr:col>
      <xdr:colOff>276120</xdr:colOff>
      <xdr:row>1</xdr:row>
      <xdr:rowOff>447480</xdr:rowOff>
    </xdr:to>
    <xdr:sp>
      <xdr:nvSpPr>
        <xdr:cNvPr id="4" name="TextBox 465"/>
        <xdr:cNvSpPr/>
      </xdr:nvSpPr>
      <xdr:spPr>
        <a:xfrm>
          <a:off x="4385520" y="662040"/>
          <a:ext cx="2647080" cy="347400"/>
        </a:xfrm>
        <a:prstGeom prst="rect">
          <a:avLst/>
        </a:prstGeom>
        <a:noFill/>
        <a:ln w="9360">
          <a:noFill/>
        </a:ln>
      </xdr:spPr>
      <xdr:style>
        <a:lnRef idx="0"/>
        <a:fillRef idx="0"/>
        <a:effectRef idx="0"/>
        <a:fontRef idx="minor"/>
      </xdr:style>
      <xdr:txBody>
        <a:bodyPr vertOverflow="clip" lIns="18360" rIns="18360" tIns="0" bIns="0" anchor="ctr">
          <a:noAutofit/>
        </a:bodyPr>
        <a:p>
          <a:pPr algn="ctr">
            <a:lnSpc>
              <a:spcPct val="100000"/>
            </a:lnSpc>
          </a:pPr>
          <a:r>
            <a:rPr b="0" lang="en-US" sz="2500" strike="noStrike" u="none">
              <a:solidFill>
                <a:schemeClr val="dk2">
                  <a:lumMod val="75000"/>
                </a:schemeClr>
              </a:solidFill>
              <a:uFillTx/>
              <a:latin typeface="Arial Rounded MT Bold"/>
            </a:rPr>
            <a:t>SALE</a:t>
          </a:r>
          <a:endParaRPr b="0" lang="en-US" sz="25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22</xdr:col>
      <xdr:colOff>0</xdr:colOff>
      <xdr:row>0</xdr:row>
      <xdr:rowOff>0</xdr:rowOff>
    </xdr:from>
    <xdr:to>
      <xdr:col>22</xdr:col>
      <xdr:colOff>731160</xdr:colOff>
      <xdr:row>0</xdr:row>
      <xdr:rowOff>360</xdr:rowOff>
    </xdr:to>
    <xdr:sp>
      <xdr:nvSpPr>
        <xdr:cNvPr id="5" name="Rectangle 473"/>
        <xdr:cNvSpPr/>
      </xdr:nvSpPr>
      <xdr:spPr>
        <a:xfrm>
          <a:off x="13531680" y="0"/>
          <a:ext cx="731160" cy="360"/>
        </a:xfrm>
        <a:prstGeom prst="rect">
          <a:avLst/>
        </a:prstGeom>
        <a:gradFill rotWithShape="0">
          <a:gsLst>
            <a:gs pos="0">
              <a:srgbClr val="bcbcbc"/>
            </a:gs>
            <a:gs pos="35000">
              <a:srgbClr val="d0d0d0"/>
            </a:gs>
            <a:gs pos="100000">
              <a:srgbClr val="ededed"/>
            </a:gs>
          </a:gsLst>
          <a:lin ang="16200000"/>
        </a:gradFill>
        <a:ln w="9360">
          <a:solidFill>
            <a:srgbClr val="000000"/>
          </a:solidFill>
          <a:round/>
        </a:ln>
        <a:effectLst>
          <a:outerShdw dist="20160" dir="5400000" blurRad="39960" rotWithShape="0">
            <a:srgbClr val="000000">
              <a:alpha val="38000"/>
            </a:srgbClr>
          </a:outerShdw>
        </a:effectLst>
      </xdr:spPr>
      <xdr:style>
        <a:lnRef idx="0"/>
        <a:fillRef idx="0"/>
        <a:effectRef idx="0"/>
        <a:fontRef idx="minor"/>
      </xdr:style>
      <xdr:txBody>
        <a:bodyPr vertOverflow="clip" lIns="90000" rIns="90000" tIns="-44280" bIns="-44280" anchor="ctr">
          <a:noAutofit/>
        </a:bodyPr>
        <a:p>
          <a:pPr algn="r">
            <a:lnSpc>
              <a:spcPct val="100000"/>
            </a:lnSpc>
          </a:pPr>
          <a:r>
            <a:rPr b="0" lang="en-US" sz="1100" strike="noStrike" u="none">
              <a:solidFill>
                <a:schemeClr val="dk1"/>
              </a:solidFill>
              <a:uFillTx/>
              <a:latin typeface="Calibri"/>
            </a:rPr>
            <a:t>Logout</a:t>
          </a:r>
          <a:endParaRPr b="0" lang="en-US" sz="1100" strike="noStrike" u="none">
            <a:uFillTx/>
            <a:latin typeface="Times New Roman"/>
          </a:endParaRPr>
        </a:p>
      </xdr:txBody>
    </xdr:sp>
    <xdr:clientData/>
  </xdr:twoCellAnchor>
  <xdr:twoCellAnchor editAs="oneCell">
    <xdr:from>
      <xdr:col>18</xdr:col>
      <xdr:colOff>0</xdr:colOff>
      <xdr:row>1</xdr:row>
      <xdr:rowOff>128520</xdr:rowOff>
    </xdr:from>
    <xdr:to>
      <xdr:col>18</xdr:col>
      <xdr:colOff>685440</xdr:colOff>
      <xdr:row>3</xdr:row>
      <xdr:rowOff>42480</xdr:rowOff>
    </xdr:to>
    <xdr:grpSp>
      <xdr:nvGrpSpPr>
        <xdr:cNvPr id="6" name="CategoryGrp2"/>
        <xdr:cNvGrpSpPr/>
      </xdr:nvGrpSpPr>
      <xdr:grpSpPr>
        <a:xfrm>
          <a:off x="10229760" y="690480"/>
          <a:ext cx="685440" cy="685440"/>
          <a:chOff x="10229760" y="690480"/>
          <a:chExt cx="685440" cy="685440"/>
        </a:xfrm>
      </xdr:grpSpPr>
      <xdr:sp>
        <xdr:nvSpPr>
          <xdr:cNvPr id="7" name="Category2"/>
          <xdr:cNvSpPr/>
        </xdr:nvSpPr>
        <xdr:spPr>
          <a:xfrm>
            <a:off x="10229760" y="690480"/>
            <a:ext cx="685440" cy="685440"/>
          </a:xfrm>
          <a:prstGeom prst="rect">
            <a:avLst/>
          </a:prstGeom>
          <a:solidFill>
            <a:schemeClr val="dk2"/>
          </a:solidFill>
          <a:ln w="9360">
            <a:solidFill>
              <a:srgbClr val="4a7ebb"/>
            </a:solidFill>
            <a:round/>
          </a:ln>
          <a:effectLst>
            <a:outerShdw dist="23040" dir="5400000" blurRad="39960" rotWithShape="0">
              <a:srgbClr val="000000">
                <a:alpha val="35000"/>
              </a:srgbClr>
            </a:outerShdw>
          </a:effectLst>
        </xdr:spPr>
        <xdr:style>
          <a:lnRef idx="0"/>
          <a:fillRef idx="0"/>
          <a:effectRef idx="0"/>
          <a:fontRef idx="minor"/>
        </xdr:style>
        <xdr:txBody>
          <a:bodyPr vertOverflow="clip" lIns="0" rIns="0" tIns="0" bIns="18360" anchor="b">
            <a:noAutofit/>
          </a:bodyPr>
          <a:p>
            <a:pPr algn="ctr">
              <a:lnSpc>
                <a:spcPct val="100000"/>
              </a:lnSpc>
            </a:pPr>
            <a:r>
              <a:rPr b="0" lang="en-US" sz="1100" strike="noStrike" u="none">
                <a:solidFill>
                  <a:srgbClr val="ffffff"/>
                </a:solidFill>
                <a:uFillTx/>
                <a:latin typeface="Calibri"/>
              </a:rPr>
              <a:t>Drinks &amp; Beverages</a:t>
            </a:r>
            <a:endParaRPr b="0" lang="en-US" sz="1100" strike="noStrike" u="none">
              <a:uFillTx/>
              <a:latin typeface="Times New Roman"/>
            </a:endParaRPr>
          </a:p>
        </xdr:txBody>
      </xdr:sp>
      <xdr:pic>
        <xdr:nvPicPr>
          <xdr:cNvPr id="8" name="CatIcon2" descr=""/>
          <xdr:cNvPicPr/>
        </xdr:nvPicPr>
        <xdr:blipFill>
          <a:blip r:embed="rId1"/>
          <a:stretch/>
        </xdr:blipFill>
        <xdr:spPr>
          <a:xfrm>
            <a:off x="10370880" y="716760"/>
            <a:ext cx="411120" cy="292320"/>
          </a:xfrm>
          <a:prstGeom prst="rect">
            <a:avLst/>
          </a:prstGeom>
          <a:noFill/>
          <a:ln w="0">
            <a:noFill/>
          </a:ln>
        </xdr:spPr>
      </xdr:pic>
    </xdr:grpSp>
    <xdr:clientData/>
  </xdr:twoCellAnchor>
  <xdr:twoCellAnchor editAs="oneCell">
    <xdr:from>
      <xdr:col>20</xdr:col>
      <xdr:colOff>0</xdr:colOff>
      <xdr:row>1</xdr:row>
      <xdr:rowOff>128520</xdr:rowOff>
    </xdr:from>
    <xdr:to>
      <xdr:col>20</xdr:col>
      <xdr:colOff>685440</xdr:colOff>
      <xdr:row>3</xdr:row>
      <xdr:rowOff>42480</xdr:rowOff>
    </xdr:to>
    <xdr:grpSp>
      <xdr:nvGrpSpPr>
        <xdr:cNvPr id="9" name="CategoryGrp4"/>
        <xdr:cNvGrpSpPr/>
      </xdr:nvGrpSpPr>
      <xdr:grpSpPr>
        <a:xfrm>
          <a:off x="11880720" y="690480"/>
          <a:ext cx="685440" cy="685440"/>
          <a:chOff x="11880720" y="690480"/>
          <a:chExt cx="685440" cy="685440"/>
        </a:xfrm>
      </xdr:grpSpPr>
      <xdr:sp>
        <xdr:nvSpPr>
          <xdr:cNvPr id="10" name="Category4"/>
          <xdr:cNvSpPr/>
        </xdr:nvSpPr>
        <xdr:spPr>
          <a:xfrm>
            <a:off x="11880720" y="690480"/>
            <a:ext cx="685440" cy="685440"/>
          </a:xfrm>
          <a:prstGeom prst="rect">
            <a:avLst/>
          </a:prstGeom>
          <a:solidFill>
            <a:schemeClr val="dk2"/>
          </a:solidFill>
          <a:ln w="9360">
            <a:solidFill>
              <a:srgbClr val="4a7ebb"/>
            </a:solidFill>
            <a:round/>
          </a:ln>
          <a:effectLst>
            <a:outerShdw dist="23040" dir="5400000" blurRad="39960" rotWithShape="0">
              <a:srgbClr val="000000">
                <a:alpha val="35000"/>
              </a:srgbClr>
            </a:outerShdw>
          </a:effectLst>
        </xdr:spPr>
        <xdr:style>
          <a:lnRef idx="0"/>
          <a:fillRef idx="0"/>
          <a:effectRef idx="0"/>
          <a:fontRef idx="minor"/>
        </xdr:style>
        <xdr:txBody>
          <a:bodyPr vertOverflow="clip" lIns="0" rIns="0" tIns="0" bIns="18360" anchor="b">
            <a:noAutofit/>
          </a:bodyPr>
          <a:p>
            <a:pPr algn="ctr">
              <a:lnSpc>
                <a:spcPct val="100000"/>
              </a:lnSpc>
            </a:pPr>
            <a:r>
              <a:rPr b="0" lang="en-US" sz="1100" strike="noStrike" u="none">
                <a:solidFill>
                  <a:srgbClr val="ffffff"/>
                </a:solidFill>
                <a:uFillTx/>
                <a:latin typeface="Calibri"/>
              </a:rPr>
              <a:t>Dairy &amp; Eggs</a:t>
            </a:r>
            <a:endParaRPr b="0" lang="en-US" sz="1100" strike="noStrike" u="none">
              <a:uFillTx/>
              <a:latin typeface="Times New Roman"/>
            </a:endParaRPr>
          </a:p>
        </xdr:txBody>
      </xdr:sp>
      <xdr:pic>
        <xdr:nvPicPr>
          <xdr:cNvPr id="11" name="CatIcon4" descr=""/>
          <xdr:cNvPicPr/>
        </xdr:nvPicPr>
        <xdr:blipFill>
          <a:blip r:embed="rId2"/>
          <a:stretch/>
        </xdr:blipFill>
        <xdr:spPr>
          <a:xfrm>
            <a:off x="12082320" y="716760"/>
            <a:ext cx="292320" cy="292320"/>
          </a:xfrm>
          <a:prstGeom prst="rect">
            <a:avLst/>
          </a:prstGeom>
          <a:noFill/>
          <a:ln w="0">
            <a:noFill/>
          </a:ln>
        </xdr:spPr>
      </xdr:pic>
    </xdr:grpSp>
    <xdr:clientData/>
  </xdr:twoCellAnchor>
  <xdr:twoCellAnchor editAs="oneCell">
    <xdr:from>
      <xdr:col>22</xdr:col>
      <xdr:colOff>0</xdr:colOff>
      <xdr:row>1</xdr:row>
      <xdr:rowOff>128520</xdr:rowOff>
    </xdr:from>
    <xdr:to>
      <xdr:col>22</xdr:col>
      <xdr:colOff>685440</xdr:colOff>
      <xdr:row>3</xdr:row>
      <xdr:rowOff>42480</xdr:rowOff>
    </xdr:to>
    <xdr:grpSp>
      <xdr:nvGrpSpPr>
        <xdr:cNvPr id="12" name="CategoryGrp6"/>
        <xdr:cNvGrpSpPr/>
      </xdr:nvGrpSpPr>
      <xdr:grpSpPr>
        <a:xfrm>
          <a:off x="13531680" y="690480"/>
          <a:ext cx="685440" cy="685440"/>
          <a:chOff x="13531680" y="690480"/>
          <a:chExt cx="685440" cy="685440"/>
        </a:xfrm>
      </xdr:grpSpPr>
      <xdr:sp>
        <xdr:nvSpPr>
          <xdr:cNvPr id="13" name="Category6"/>
          <xdr:cNvSpPr/>
        </xdr:nvSpPr>
        <xdr:spPr>
          <a:xfrm>
            <a:off x="13531680" y="690480"/>
            <a:ext cx="685440" cy="685440"/>
          </a:xfrm>
          <a:prstGeom prst="rect">
            <a:avLst/>
          </a:prstGeom>
          <a:solidFill>
            <a:schemeClr val="dk2"/>
          </a:solidFill>
          <a:ln w="9360">
            <a:solidFill>
              <a:srgbClr val="4a7ebb"/>
            </a:solidFill>
            <a:round/>
          </a:ln>
          <a:effectLst>
            <a:outerShdw dist="23040" dir="5400000" blurRad="39960" rotWithShape="0">
              <a:srgbClr val="000000">
                <a:alpha val="35000"/>
              </a:srgbClr>
            </a:outerShdw>
          </a:effectLst>
        </xdr:spPr>
        <xdr:style>
          <a:lnRef idx="0"/>
          <a:fillRef idx="0"/>
          <a:effectRef idx="0"/>
          <a:fontRef idx="minor"/>
        </xdr:style>
        <xdr:txBody>
          <a:bodyPr vertOverflow="clip" lIns="0" rIns="0" tIns="0" bIns="18360" anchor="b">
            <a:noAutofit/>
          </a:bodyPr>
          <a:p>
            <a:pPr algn="ctr">
              <a:lnSpc>
                <a:spcPct val="100000"/>
              </a:lnSpc>
            </a:pPr>
            <a:r>
              <a:rPr b="0" lang="en-US" sz="1100" strike="noStrike" u="none">
                <a:solidFill>
                  <a:srgbClr val="ffffff"/>
                </a:solidFill>
                <a:uFillTx/>
                <a:latin typeface="Calibri"/>
              </a:rPr>
              <a:t>Fruits &amp; Vegetables</a:t>
            </a:r>
            <a:endParaRPr b="0" lang="en-US" sz="1100" strike="noStrike" u="none">
              <a:uFillTx/>
              <a:latin typeface="Times New Roman"/>
            </a:endParaRPr>
          </a:p>
        </xdr:txBody>
      </xdr:sp>
      <xdr:pic>
        <xdr:nvPicPr>
          <xdr:cNvPr id="14" name="CatIcon6" descr=""/>
          <xdr:cNvPicPr/>
        </xdr:nvPicPr>
        <xdr:blipFill>
          <a:blip r:embed="rId3"/>
          <a:stretch/>
        </xdr:blipFill>
        <xdr:spPr>
          <a:xfrm>
            <a:off x="13707720" y="707040"/>
            <a:ext cx="292320" cy="292320"/>
          </a:xfrm>
          <a:prstGeom prst="rect">
            <a:avLst/>
          </a:prstGeom>
          <a:noFill/>
          <a:ln w="0">
            <a:noFill/>
          </a:ln>
        </xdr:spPr>
      </xdr:pic>
    </xdr:grpSp>
    <xdr:clientData/>
  </xdr:twoCellAnchor>
  <xdr:twoCellAnchor editAs="oneCell">
    <xdr:from>
      <xdr:col>17</xdr:col>
      <xdr:colOff>0</xdr:colOff>
      <xdr:row>1</xdr:row>
      <xdr:rowOff>128520</xdr:rowOff>
    </xdr:from>
    <xdr:to>
      <xdr:col>17</xdr:col>
      <xdr:colOff>685440</xdr:colOff>
      <xdr:row>3</xdr:row>
      <xdr:rowOff>42480</xdr:rowOff>
    </xdr:to>
    <xdr:grpSp>
      <xdr:nvGrpSpPr>
        <xdr:cNvPr id="15" name="CategoryGrp1"/>
        <xdr:cNvGrpSpPr/>
      </xdr:nvGrpSpPr>
      <xdr:grpSpPr>
        <a:xfrm>
          <a:off x="9404280" y="690480"/>
          <a:ext cx="685440" cy="685440"/>
          <a:chOff x="9404280" y="690480"/>
          <a:chExt cx="685440" cy="685440"/>
        </a:xfrm>
      </xdr:grpSpPr>
      <xdr:sp>
        <xdr:nvSpPr>
          <xdr:cNvPr id="16" name="Category1"/>
          <xdr:cNvSpPr/>
        </xdr:nvSpPr>
        <xdr:spPr>
          <a:xfrm>
            <a:off x="9404280" y="690480"/>
            <a:ext cx="685440" cy="685440"/>
          </a:xfrm>
          <a:prstGeom prst="rect">
            <a:avLst/>
          </a:prstGeom>
          <a:gradFill rotWithShape="0">
            <a:gsLst>
              <a:gs pos="0">
                <a:srgbClr val="2e5f99"/>
              </a:gs>
              <a:gs pos="80000">
                <a:srgbClr val="3c7ac7"/>
              </a:gs>
              <a:gs pos="100000">
                <a:srgbClr val="397bca"/>
              </a:gs>
            </a:gsLst>
            <a:lin ang="16200000"/>
          </a:gradFill>
          <a:ln w="9360">
            <a:solidFill>
              <a:srgbClr val="4a7ebb"/>
            </a:solidFill>
            <a:round/>
          </a:ln>
          <a:effectLst>
            <a:outerShdw dist="23040" dir="5400000" blurRad="39960" rotWithShape="0">
              <a:srgbClr val="000000">
                <a:alpha val="35000"/>
              </a:srgbClr>
            </a:outerShdw>
          </a:effectLst>
        </xdr:spPr>
        <xdr:style>
          <a:lnRef idx="0"/>
          <a:fillRef idx="0"/>
          <a:effectRef idx="0"/>
          <a:fontRef idx="minor"/>
        </xdr:style>
        <xdr:txBody>
          <a:bodyPr vertOverflow="clip" lIns="0" rIns="0" tIns="0" bIns="18360" anchor="b">
            <a:noAutofit/>
          </a:bodyPr>
          <a:p>
            <a:pPr algn="ctr">
              <a:lnSpc>
                <a:spcPct val="100000"/>
              </a:lnSpc>
            </a:pPr>
            <a:r>
              <a:rPr b="0" lang="en-US" sz="1100" strike="noStrike" u="none">
                <a:solidFill>
                  <a:srgbClr val="ffffff"/>
                </a:solidFill>
                <a:uFillTx/>
                <a:latin typeface="Calibri"/>
              </a:rPr>
              <a:t>Non Barcodes</a:t>
            </a:r>
            <a:endParaRPr b="0" lang="en-US" sz="1100" strike="noStrike" u="none">
              <a:uFillTx/>
              <a:latin typeface="Times New Roman"/>
            </a:endParaRPr>
          </a:p>
        </xdr:txBody>
      </xdr:sp>
      <xdr:pic>
        <xdr:nvPicPr>
          <xdr:cNvPr id="17" name="CatIcon1" descr=""/>
          <xdr:cNvPicPr/>
        </xdr:nvPicPr>
        <xdr:blipFill>
          <a:blip r:embed="rId4"/>
          <a:stretch/>
        </xdr:blipFill>
        <xdr:spPr>
          <a:xfrm>
            <a:off x="9597240" y="707040"/>
            <a:ext cx="292320" cy="292320"/>
          </a:xfrm>
          <a:prstGeom prst="rect">
            <a:avLst/>
          </a:prstGeom>
          <a:noFill/>
          <a:ln w="0">
            <a:noFill/>
          </a:ln>
        </xdr:spPr>
      </xdr:pic>
    </xdr:grpSp>
    <xdr:clientData/>
  </xdr:twoCellAnchor>
  <xdr:twoCellAnchor editAs="oneCell">
    <xdr:from>
      <xdr:col>13</xdr:col>
      <xdr:colOff>514440</xdr:colOff>
      <xdr:row>1</xdr:row>
      <xdr:rowOff>196200</xdr:rowOff>
    </xdr:from>
    <xdr:to>
      <xdr:col>14</xdr:col>
      <xdr:colOff>53640</xdr:colOff>
      <xdr:row>1</xdr:row>
      <xdr:rowOff>424440</xdr:rowOff>
    </xdr:to>
    <xdr:grpSp>
      <xdr:nvGrpSpPr>
        <xdr:cNvPr id="18" name="LogoutBtn"/>
        <xdr:cNvGrpSpPr/>
      </xdr:nvGrpSpPr>
      <xdr:grpSpPr>
        <a:xfrm>
          <a:off x="7804080" y="758160"/>
          <a:ext cx="797760" cy="228240"/>
          <a:chOff x="7804080" y="758160"/>
          <a:chExt cx="797760" cy="228240"/>
        </a:xfrm>
      </xdr:grpSpPr>
      <xdr:sp>
        <xdr:nvSpPr>
          <xdr:cNvPr id="19" name="Rectangle 472"/>
          <xdr:cNvSpPr/>
        </xdr:nvSpPr>
        <xdr:spPr>
          <a:xfrm>
            <a:off x="7804080" y="758160"/>
            <a:ext cx="797760" cy="228240"/>
          </a:xfrm>
          <a:prstGeom prst="rect">
            <a:avLst/>
          </a:prstGeom>
          <a:gradFill rotWithShape="0">
            <a:gsLst>
              <a:gs pos="0">
                <a:srgbClr val="bcbcbc"/>
              </a:gs>
              <a:gs pos="35000">
                <a:srgbClr val="d0d0d0"/>
              </a:gs>
              <a:gs pos="100000">
                <a:srgbClr val="ededed"/>
              </a:gs>
            </a:gsLst>
            <a:lin ang="16200000"/>
          </a:gradFill>
          <a:ln w="9360">
            <a:solidFill>
              <a:srgbClr val="000000"/>
            </a:solidFill>
            <a:round/>
          </a:ln>
          <a:effectLst>
            <a:outerShdw dist="20160" dir="5400000" blurRad="39960" rotWithShape="0">
              <a:srgbClr val="000000">
                <a:alpha val="38000"/>
              </a:srgbClr>
            </a:outerShdw>
          </a:effectLst>
        </xdr:spPr>
        <xdr:style>
          <a:lnRef idx="0"/>
          <a:fillRef idx="0"/>
          <a:effectRef idx="0"/>
          <a:fontRef idx="minor"/>
        </xdr:style>
        <xdr:txBody>
          <a:bodyPr vertOverflow="clip" lIns="90000" rIns="90000" tIns="45000" bIns="45000" anchor="ctr">
            <a:noAutofit/>
          </a:bodyPr>
          <a:p>
            <a:pPr algn="r">
              <a:lnSpc>
                <a:spcPct val="100000"/>
              </a:lnSpc>
            </a:pPr>
            <a:r>
              <a:rPr b="0" lang="en-US" sz="1100" strike="noStrike" u="none">
                <a:solidFill>
                  <a:schemeClr val="dk1"/>
                </a:solidFill>
                <a:uFillTx/>
                <a:latin typeface="Calibri"/>
              </a:rPr>
              <a:t>Logout</a:t>
            </a:r>
            <a:endParaRPr b="0" lang="en-US" sz="1100" strike="noStrike" u="none">
              <a:uFillTx/>
              <a:latin typeface="Times New Roman"/>
            </a:endParaRPr>
          </a:p>
        </xdr:txBody>
      </xdr:sp>
      <xdr:pic>
        <xdr:nvPicPr>
          <xdr:cNvPr id="20" name="Picture 72" descr=""/>
          <xdr:cNvPicPr/>
        </xdr:nvPicPr>
        <xdr:blipFill>
          <a:blip r:embed="rId5"/>
          <a:stretch/>
        </xdr:blipFill>
        <xdr:spPr>
          <a:xfrm>
            <a:off x="7824600" y="780840"/>
            <a:ext cx="199080" cy="182520"/>
          </a:xfrm>
          <a:prstGeom prst="rect">
            <a:avLst/>
          </a:prstGeom>
          <a:noFill/>
          <a:ln w="0">
            <a:noFill/>
          </a:ln>
        </xdr:spPr>
      </xdr:pic>
    </xdr:grpSp>
    <xdr:clientData/>
  </xdr:twoCellAnchor>
  <xdr:twoCellAnchor editAs="oneCell">
    <xdr:from>
      <xdr:col>21</xdr:col>
      <xdr:colOff>0</xdr:colOff>
      <xdr:row>1</xdr:row>
      <xdr:rowOff>128520</xdr:rowOff>
    </xdr:from>
    <xdr:to>
      <xdr:col>21</xdr:col>
      <xdr:colOff>685440</xdr:colOff>
      <xdr:row>3</xdr:row>
      <xdr:rowOff>42480</xdr:rowOff>
    </xdr:to>
    <xdr:grpSp>
      <xdr:nvGrpSpPr>
        <xdr:cNvPr id="21" name="CategoryGrp5"/>
        <xdr:cNvGrpSpPr/>
      </xdr:nvGrpSpPr>
      <xdr:grpSpPr>
        <a:xfrm>
          <a:off x="12706200" y="690480"/>
          <a:ext cx="685440" cy="685440"/>
          <a:chOff x="12706200" y="690480"/>
          <a:chExt cx="685440" cy="685440"/>
        </a:xfrm>
      </xdr:grpSpPr>
      <xdr:sp>
        <xdr:nvSpPr>
          <xdr:cNvPr id="22" name="Category5"/>
          <xdr:cNvSpPr/>
        </xdr:nvSpPr>
        <xdr:spPr>
          <a:xfrm>
            <a:off x="12706200" y="690480"/>
            <a:ext cx="685440" cy="685440"/>
          </a:xfrm>
          <a:prstGeom prst="rect">
            <a:avLst/>
          </a:prstGeom>
          <a:solidFill>
            <a:schemeClr val="dk2"/>
          </a:solidFill>
          <a:ln w="9360">
            <a:solidFill>
              <a:srgbClr val="4a7ebb"/>
            </a:solidFill>
            <a:round/>
          </a:ln>
          <a:effectLst>
            <a:outerShdw dist="23040" dir="5400000" blurRad="39960" rotWithShape="0">
              <a:srgbClr val="000000">
                <a:alpha val="35000"/>
              </a:srgbClr>
            </a:outerShdw>
          </a:effectLst>
        </xdr:spPr>
        <xdr:style>
          <a:lnRef idx="0"/>
          <a:fillRef idx="0"/>
          <a:effectRef idx="0"/>
          <a:fontRef idx="minor"/>
        </xdr:style>
        <xdr:txBody>
          <a:bodyPr vertOverflow="clip" lIns="0" rIns="0" tIns="0" bIns="18360" anchor="b">
            <a:noAutofit/>
          </a:bodyPr>
          <a:p>
            <a:pPr algn="ctr">
              <a:lnSpc>
                <a:spcPct val="100000"/>
              </a:lnSpc>
            </a:pPr>
            <a:r>
              <a:rPr b="0" lang="en-US" sz="1100" strike="noStrike" u="none">
                <a:solidFill>
                  <a:srgbClr val="ffffff"/>
                </a:solidFill>
                <a:uFillTx/>
                <a:latin typeface="Calibri"/>
              </a:rPr>
              <a:t>Frozen Food</a:t>
            </a:r>
            <a:endParaRPr b="0" lang="en-US" sz="1100" strike="noStrike" u="none">
              <a:uFillTx/>
              <a:latin typeface="Times New Roman"/>
            </a:endParaRPr>
          </a:p>
        </xdr:txBody>
      </xdr:sp>
      <xdr:pic>
        <xdr:nvPicPr>
          <xdr:cNvPr id="23" name="CatIcon5" descr=""/>
          <xdr:cNvPicPr/>
        </xdr:nvPicPr>
        <xdr:blipFill>
          <a:blip r:embed="rId6"/>
          <a:stretch/>
        </xdr:blipFill>
        <xdr:spPr>
          <a:xfrm>
            <a:off x="12962880" y="707040"/>
            <a:ext cx="177840" cy="292320"/>
          </a:xfrm>
          <a:prstGeom prst="rect">
            <a:avLst/>
          </a:prstGeom>
          <a:noFill/>
          <a:ln w="0">
            <a:noFill/>
          </a:ln>
        </xdr:spPr>
      </xdr:pic>
    </xdr:grpSp>
    <xdr:clientData/>
  </xdr:twoCellAnchor>
  <xdr:twoCellAnchor editAs="oneCell">
    <xdr:from>
      <xdr:col>19</xdr:col>
      <xdr:colOff>0</xdr:colOff>
      <xdr:row>1</xdr:row>
      <xdr:rowOff>128520</xdr:rowOff>
    </xdr:from>
    <xdr:to>
      <xdr:col>19</xdr:col>
      <xdr:colOff>685440</xdr:colOff>
      <xdr:row>3</xdr:row>
      <xdr:rowOff>42480</xdr:rowOff>
    </xdr:to>
    <xdr:grpSp>
      <xdr:nvGrpSpPr>
        <xdr:cNvPr id="24" name="CategoryGrp3"/>
        <xdr:cNvGrpSpPr/>
      </xdr:nvGrpSpPr>
      <xdr:grpSpPr>
        <a:xfrm>
          <a:off x="11055240" y="690480"/>
          <a:ext cx="685440" cy="685440"/>
          <a:chOff x="11055240" y="690480"/>
          <a:chExt cx="685440" cy="685440"/>
        </a:xfrm>
      </xdr:grpSpPr>
      <xdr:sp>
        <xdr:nvSpPr>
          <xdr:cNvPr id="25" name="Category3"/>
          <xdr:cNvSpPr/>
        </xdr:nvSpPr>
        <xdr:spPr>
          <a:xfrm>
            <a:off x="11055240" y="690480"/>
            <a:ext cx="685440" cy="685440"/>
          </a:xfrm>
          <a:prstGeom prst="rect">
            <a:avLst/>
          </a:prstGeom>
          <a:solidFill>
            <a:schemeClr val="dk2"/>
          </a:solidFill>
          <a:ln w="9360">
            <a:solidFill>
              <a:srgbClr val="4a7ebb"/>
            </a:solidFill>
            <a:round/>
          </a:ln>
          <a:effectLst>
            <a:outerShdw dist="23040" dir="5400000" blurRad="39960" rotWithShape="0">
              <a:srgbClr val="000000">
                <a:alpha val="35000"/>
              </a:srgbClr>
            </a:outerShdw>
          </a:effectLst>
        </xdr:spPr>
        <xdr:style>
          <a:lnRef idx="0"/>
          <a:fillRef idx="0"/>
          <a:effectRef idx="0"/>
          <a:fontRef idx="minor"/>
        </xdr:style>
        <xdr:txBody>
          <a:bodyPr vertOverflow="clip" lIns="0" rIns="0" tIns="0" bIns="18360" anchor="b">
            <a:noAutofit/>
          </a:bodyPr>
          <a:p>
            <a:pPr algn="ctr">
              <a:lnSpc>
                <a:spcPct val="100000"/>
              </a:lnSpc>
            </a:pPr>
            <a:r>
              <a:rPr b="0" lang="en-US" sz="1100" strike="noStrike" u="none">
                <a:solidFill>
                  <a:srgbClr val="ffffff"/>
                </a:solidFill>
                <a:uFillTx/>
                <a:latin typeface="Calibri"/>
              </a:rPr>
              <a:t>Meats &amp; Seafood</a:t>
            </a:r>
            <a:endParaRPr b="0" lang="en-US" sz="1100" strike="noStrike" u="none">
              <a:uFillTx/>
              <a:latin typeface="Times New Roman"/>
            </a:endParaRPr>
          </a:p>
        </xdr:txBody>
      </xdr:sp>
      <xdr:pic>
        <xdr:nvPicPr>
          <xdr:cNvPr id="26" name="CatIcon3" descr=""/>
          <xdr:cNvPicPr/>
        </xdr:nvPicPr>
        <xdr:blipFill>
          <a:blip r:embed="rId7"/>
          <a:stretch/>
        </xdr:blipFill>
        <xdr:spPr>
          <a:xfrm>
            <a:off x="11294280" y="707040"/>
            <a:ext cx="189360" cy="292320"/>
          </a:xfrm>
          <a:prstGeom prst="rect">
            <a:avLst/>
          </a:prstGeom>
          <a:noFill/>
          <a:ln w="0">
            <a:noFill/>
          </a:ln>
        </xdr:spPr>
      </xdr:pic>
    </xdr:grpSp>
    <xdr:clientData/>
  </xdr:twoCellAnchor>
  <xdr:twoCellAnchor editAs="absolute">
    <xdr:from>
      <xdr:col>10</xdr:col>
      <xdr:colOff>0</xdr:colOff>
      <xdr:row>11</xdr:row>
      <xdr:rowOff>12600</xdr:rowOff>
    </xdr:from>
    <xdr:to>
      <xdr:col>13</xdr:col>
      <xdr:colOff>664560</xdr:colOff>
      <xdr:row>11</xdr:row>
      <xdr:rowOff>195120</xdr:rowOff>
    </xdr:to>
    <xdr:grpSp>
      <xdr:nvGrpSpPr>
        <xdr:cNvPr id="27" name="SelItemGrp"/>
        <xdr:cNvGrpSpPr/>
      </xdr:nvGrpSpPr>
      <xdr:grpSpPr>
        <a:xfrm>
          <a:off x="4893480" y="3174840"/>
          <a:ext cx="3060720" cy="182520"/>
          <a:chOff x="4893480" y="3174840"/>
          <a:chExt cx="3060720" cy="182520"/>
        </a:xfrm>
      </xdr:grpSpPr>
      <xdr:pic>
        <xdr:nvPicPr>
          <xdr:cNvPr id="28" name="Picture 81" descr=""/>
          <xdr:cNvPicPr/>
        </xdr:nvPicPr>
        <xdr:blipFill>
          <a:blip r:embed="rId8"/>
          <a:stretch/>
        </xdr:blipFill>
        <xdr:spPr>
          <a:xfrm>
            <a:off x="7763040" y="3174840"/>
            <a:ext cx="191160" cy="182520"/>
          </a:xfrm>
          <a:prstGeom prst="rect">
            <a:avLst/>
          </a:prstGeom>
          <a:noFill/>
          <a:ln w="0">
            <a:noFill/>
          </a:ln>
        </xdr:spPr>
      </xdr:pic>
      <xdr:pic>
        <xdr:nvPicPr>
          <xdr:cNvPr id="29" name="Picture 83" descr=""/>
          <xdr:cNvPicPr/>
        </xdr:nvPicPr>
        <xdr:blipFill>
          <a:blip r:embed="rId9"/>
          <a:stretch/>
        </xdr:blipFill>
        <xdr:spPr>
          <a:xfrm>
            <a:off x="5424480" y="3174840"/>
            <a:ext cx="191160" cy="182520"/>
          </a:xfrm>
          <a:prstGeom prst="rect">
            <a:avLst/>
          </a:prstGeom>
          <a:noFill/>
          <a:ln w="0">
            <a:noFill/>
          </a:ln>
        </xdr:spPr>
      </xdr:pic>
      <xdr:pic>
        <xdr:nvPicPr>
          <xdr:cNvPr id="30" name="Picture 85" descr=""/>
          <xdr:cNvPicPr/>
        </xdr:nvPicPr>
        <xdr:blipFill>
          <a:blip r:embed="rId10"/>
          <a:stretch/>
        </xdr:blipFill>
        <xdr:spPr>
          <a:xfrm>
            <a:off x="4893480" y="3174840"/>
            <a:ext cx="191160" cy="182520"/>
          </a:xfrm>
          <a:prstGeom prst="rect">
            <a:avLst/>
          </a:prstGeom>
          <a:noFill/>
          <a:ln w="0">
            <a:noFill/>
          </a:ln>
        </xdr:spPr>
      </xdr:pic>
    </xdr:grpSp>
    <xdr:clientData/>
  </xdr:twoCellAnchor>
  <xdr:twoCellAnchor editAs="oneCell">
    <xdr:from>
      <xdr:col>2</xdr:col>
      <xdr:colOff>68760</xdr:colOff>
      <xdr:row>0</xdr:row>
      <xdr:rowOff>19080</xdr:rowOff>
    </xdr:from>
    <xdr:to>
      <xdr:col>22</xdr:col>
      <xdr:colOff>200160</xdr:colOff>
      <xdr:row>1</xdr:row>
      <xdr:rowOff>75600</xdr:rowOff>
    </xdr:to>
    <xdr:grpSp>
      <xdr:nvGrpSpPr>
        <xdr:cNvPr id="31" name="Group 1122"/>
        <xdr:cNvGrpSpPr/>
      </xdr:nvGrpSpPr>
      <xdr:grpSpPr>
        <a:xfrm>
          <a:off x="2424600" y="19080"/>
          <a:ext cx="11307240" cy="618480"/>
          <a:chOff x="2424600" y="19080"/>
          <a:chExt cx="11307240" cy="618480"/>
        </a:xfrm>
      </xdr:grpSpPr>
      <xdr:sp>
        <xdr:nvSpPr>
          <xdr:cNvPr id="32" name="TextBox 6"/>
          <xdr:cNvSpPr/>
        </xdr:nvSpPr>
        <xdr:spPr>
          <a:xfrm>
            <a:off x="2462760" y="19080"/>
            <a:ext cx="11269080" cy="525600"/>
          </a:xfrm>
          <a:prstGeom prst="rect">
            <a:avLst/>
          </a:prstGeom>
          <a:noFill/>
          <a:ln w="9360">
            <a:noFill/>
          </a:ln>
        </xdr:spPr>
        <xdr:style>
          <a:lnRef idx="0"/>
          <a:fillRef idx="0"/>
          <a:effectRef idx="0"/>
          <a:fontRef idx="minor"/>
        </xdr:style>
        <xdr:txBody>
          <a:bodyPr vertOverflow="clip" lIns="90000" rIns="90000" tIns="45000" bIns="45000" anchor="t">
            <a:noAutofit/>
          </a:bodyPr>
          <a:p>
            <a:pPr algn="ctr">
              <a:lnSpc>
                <a:spcPct val="100000"/>
              </a:lnSpc>
            </a:pPr>
            <a:r>
              <a:rPr b="0" lang="en-US" sz="3600" strike="noStrike" u="none">
                <a:solidFill>
                  <a:schemeClr val="accent1">
                    <a:lumMod val="50000"/>
                  </a:schemeClr>
                </a:solidFill>
                <a:uFillTx/>
                <a:latin typeface="Arial Rounded MT Bold"/>
              </a:rPr>
              <a:t>POINT OF SALE (WITH INVENTORY)</a:t>
            </a:r>
            <a:endParaRPr b="0" lang="en-US" sz="3600" strike="noStrike" u="none">
              <a:uFillTx/>
              <a:latin typeface="Times New Roman"/>
            </a:endParaRPr>
          </a:p>
        </xdr:txBody>
      </xdr:sp>
      <xdr:pic>
        <xdr:nvPicPr>
          <xdr:cNvPr id="33" name="Picture 86" descr=""/>
          <xdr:cNvPicPr/>
        </xdr:nvPicPr>
        <xdr:blipFill>
          <a:blip r:embed="rId11"/>
          <a:stretch/>
        </xdr:blipFill>
        <xdr:spPr>
          <a:xfrm>
            <a:off x="2424600" y="20880"/>
            <a:ext cx="642600" cy="616680"/>
          </a:xfrm>
          <a:prstGeom prst="rect">
            <a:avLst/>
          </a:prstGeom>
          <a:noFill/>
          <a:ln w="0">
            <a:noFill/>
          </a:ln>
        </xdr:spPr>
      </xdr:pic>
    </xdr:grpSp>
    <xdr:clientData/>
  </xdr:twoCellAnchor>
  <xdr:twoCellAnchor editAs="oneCell">
    <xdr:from>
      <xdr:col>9</xdr:col>
      <xdr:colOff>1123560</xdr:colOff>
      <xdr:row>2</xdr:row>
      <xdr:rowOff>18720</xdr:rowOff>
    </xdr:from>
    <xdr:to>
      <xdr:col>9</xdr:col>
      <xdr:colOff>1352520</xdr:colOff>
      <xdr:row>2</xdr:row>
      <xdr:rowOff>201240</xdr:rowOff>
    </xdr:to>
    <xdr:pic>
      <xdr:nvPicPr>
        <xdr:cNvPr id="34" name="Picture 91" descr=""/>
        <xdr:cNvPicPr/>
      </xdr:nvPicPr>
      <xdr:blipFill>
        <a:blip r:embed="rId12"/>
        <a:stretch/>
      </xdr:blipFill>
      <xdr:spPr>
        <a:xfrm>
          <a:off x="4375440" y="1123560"/>
          <a:ext cx="228960" cy="18252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9</xdr:col>
      <xdr:colOff>15120</xdr:colOff>
      <xdr:row>2</xdr:row>
      <xdr:rowOff>25920</xdr:rowOff>
    </xdr:from>
    <xdr:to>
      <xdr:col>9</xdr:col>
      <xdr:colOff>176760</xdr:colOff>
      <xdr:row>2</xdr:row>
      <xdr:rowOff>208440</xdr:rowOff>
    </xdr:to>
    <xdr:pic>
      <xdr:nvPicPr>
        <xdr:cNvPr id="35" name="Picture 92" descr=""/>
        <xdr:cNvPicPr/>
      </xdr:nvPicPr>
      <xdr:blipFill>
        <a:blip r:embed="rId13"/>
        <a:stretch/>
      </xdr:blipFill>
      <xdr:spPr>
        <a:xfrm>
          <a:off x="3267000" y="1130760"/>
          <a:ext cx="161640" cy="18252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absolute">
    <xdr:from>
      <xdr:col>13</xdr:col>
      <xdr:colOff>514440</xdr:colOff>
      <xdr:row>1</xdr:row>
      <xdr:rowOff>200160</xdr:rowOff>
    </xdr:from>
    <xdr:to>
      <xdr:col>14</xdr:col>
      <xdr:colOff>53640</xdr:colOff>
      <xdr:row>1</xdr:row>
      <xdr:rowOff>428400</xdr:rowOff>
    </xdr:to>
    <xdr:grpSp>
      <xdr:nvGrpSpPr>
        <xdr:cNvPr id="36" name="LoginBtn"/>
        <xdr:cNvGrpSpPr/>
      </xdr:nvGrpSpPr>
      <xdr:grpSpPr>
        <a:xfrm>
          <a:off x="7804080" y="762120"/>
          <a:ext cx="797760" cy="228240"/>
          <a:chOff x="7804080" y="762120"/>
          <a:chExt cx="797760" cy="228240"/>
        </a:xfrm>
      </xdr:grpSpPr>
      <xdr:sp>
        <xdr:nvSpPr>
          <xdr:cNvPr id="37" name="Rectangle 474" hidden="1"/>
          <xdr:cNvSpPr/>
        </xdr:nvSpPr>
        <xdr:spPr>
          <a:xfrm>
            <a:off x="7804080" y="762120"/>
            <a:ext cx="797760" cy="228240"/>
          </a:xfrm>
          <a:prstGeom prst="rect">
            <a:avLst/>
          </a:prstGeom>
          <a:gradFill rotWithShape="0">
            <a:gsLst>
              <a:gs pos="0">
                <a:srgbClr val="bcbcbc"/>
              </a:gs>
              <a:gs pos="35000">
                <a:srgbClr val="d0d0d0"/>
              </a:gs>
              <a:gs pos="100000">
                <a:srgbClr val="ededed"/>
              </a:gs>
            </a:gsLst>
            <a:lin ang="16200000"/>
          </a:gradFill>
          <a:ln w="9360">
            <a:solidFill>
              <a:srgbClr val="000000"/>
            </a:solidFill>
            <a:round/>
          </a:ln>
          <a:effectLst>
            <a:outerShdw dist="20160" dir="5400000" blurRad="39960" rotWithShape="0">
              <a:srgbClr val="000000">
                <a:alpha val="38000"/>
              </a:srgbClr>
            </a:outerShdw>
          </a:effectLst>
        </xdr:spPr>
        <xdr:style>
          <a:lnRef idx="0"/>
          <a:fillRef idx="0"/>
          <a:effectRef idx="0"/>
          <a:fontRef idx="minor"/>
        </xdr:style>
        <xdr:txBody>
          <a:bodyPr vertOverflow="clip" lIns="90000" rIns="90000" tIns="45000" bIns="45000" anchor="ctr">
            <a:noAutofit/>
          </a:bodyPr>
          <a:p>
            <a:pPr algn="r">
              <a:lnSpc>
                <a:spcPct val="100000"/>
              </a:lnSpc>
            </a:pPr>
            <a:r>
              <a:rPr b="0" lang="en-US" sz="1100" strike="noStrike" u="none">
                <a:solidFill>
                  <a:schemeClr val="dk1"/>
                </a:solidFill>
                <a:uFillTx/>
                <a:latin typeface="Calibri"/>
              </a:rPr>
              <a:t>Login</a:t>
            </a:r>
            <a:endParaRPr b="0" lang="en-US" sz="1100" strike="noStrike" u="none">
              <a:uFillTx/>
              <a:latin typeface="Times New Roman"/>
            </a:endParaRPr>
          </a:p>
        </xdr:txBody>
      </xdr:sp>
      <xdr:pic>
        <xdr:nvPicPr>
          <xdr:cNvPr id="38" name="Picture 93" descr=""/>
          <xdr:cNvPicPr/>
        </xdr:nvPicPr>
        <xdr:blipFill>
          <a:blip r:embed="rId14"/>
          <a:stretch/>
        </xdr:blipFill>
        <xdr:spPr>
          <a:xfrm>
            <a:off x="7891920" y="785520"/>
            <a:ext cx="199080" cy="182520"/>
          </a:xfrm>
          <a:prstGeom prst="rect">
            <a:avLst/>
          </a:prstGeom>
          <a:noFill/>
          <a:ln w="0">
            <a:noFill/>
          </a:ln>
        </xdr:spPr>
      </xdr:pic>
    </xdr:grpSp>
    <xdr:clientData/>
  </xdr:twoCellAnchor>
  <xdr:twoCellAnchor editAs="oneCell">
    <xdr:from>
      <xdr:col>8</xdr:col>
      <xdr:colOff>0</xdr:colOff>
      <xdr:row>6</xdr:row>
      <xdr:rowOff>203040</xdr:rowOff>
    </xdr:from>
    <xdr:to>
      <xdr:col>14</xdr:col>
      <xdr:colOff>231480</xdr:colOff>
      <xdr:row>13</xdr:row>
      <xdr:rowOff>120960</xdr:rowOff>
    </xdr:to>
    <xdr:grpSp>
      <xdr:nvGrpSpPr>
        <xdr:cNvPr id="39" name="FooterGrp"/>
        <xdr:cNvGrpSpPr/>
      </xdr:nvGrpSpPr>
      <xdr:grpSpPr>
        <a:xfrm>
          <a:off x="2526840" y="2222280"/>
          <a:ext cx="6252840" cy="1518120"/>
          <a:chOff x="2526840" y="2222280"/>
          <a:chExt cx="6252840" cy="1518120"/>
        </a:xfrm>
      </xdr:grpSpPr>
      <xdr:sp>
        <xdr:nvSpPr>
          <xdr:cNvPr id="40" name="Rectangle 45"/>
          <xdr:cNvSpPr/>
        </xdr:nvSpPr>
        <xdr:spPr>
          <a:xfrm>
            <a:off x="2537640" y="2222280"/>
            <a:ext cx="6242040" cy="1142640"/>
          </a:xfrm>
          <a:prstGeom prst="rect">
            <a:avLst/>
          </a:prstGeom>
          <a:solidFill>
            <a:schemeClr val="lt1"/>
          </a:solidFill>
          <a:ln w="6480">
            <a:solidFill>
              <a:srgbClr val="000000"/>
            </a:solidFill>
            <a:round/>
          </a:ln>
        </xdr:spPr>
        <xdr:style>
          <a:lnRef idx="0"/>
          <a:fillRef idx="0"/>
          <a:effectRef idx="0"/>
          <a:fontRef idx="minor"/>
        </xdr:style>
      </xdr:sp>
      <xdr:sp>
        <xdr:nvSpPr>
          <xdr:cNvPr id="41" name="TextBox 63"/>
          <xdr:cNvSpPr/>
        </xdr:nvSpPr>
        <xdr:spPr>
          <a:xfrm>
            <a:off x="6827400" y="2232000"/>
            <a:ext cx="1052640" cy="228240"/>
          </a:xfrm>
          <a:prstGeom prst="rect">
            <a:avLst/>
          </a:prstGeom>
          <a:solidFill>
            <a:schemeClr val="lt1"/>
          </a:solidFill>
          <a:ln w="9360">
            <a:noFill/>
          </a:ln>
        </xdr:spPr>
        <xdr:style>
          <a:lnRef idx="0"/>
          <a:fillRef idx="0"/>
          <a:effectRef idx="0"/>
          <a:fontRef idx="minor"/>
        </xdr:style>
        <xdr:txBody>
          <a:bodyPr vertOverflow="clip" lIns="18360" rIns="18360" tIns="0" bIns="0" anchor="ctr">
            <a:noAutofit/>
          </a:bodyPr>
          <a:p>
            <a:pPr algn="r">
              <a:lnSpc>
                <a:spcPct val="100000"/>
              </a:lnSpc>
            </a:pPr>
            <a:r>
              <a:rPr b="0" lang="en-US" sz="1100" strike="noStrike" u="none">
                <a:solidFill>
                  <a:schemeClr val="dk1"/>
                </a:solidFill>
                <a:uFillTx/>
                <a:latin typeface="Calibri"/>
              </a:rPr>
              <a:t>Sub-Total:</a:t>
            </a:r>
            <a:endParaRPr b="0" lang="en-US" sz="1100" strike="noStrike" u="none">
              <a:uFillTx/>
              <a:latin typeface="Times New Roman"/>
            </a:endParaRPr>
          </a:p>
        </xdr:txBody>
      </xdr:sp>
      <xdr:sp>
        <xdr:nvSpPr>
          <xdr:cNvPr id="42" name="TextBox 441"/>
          <xdr:cNvSpPr/>
        </xdr:nvSpPr>
        <xdr:spPr>
          <a:xfrm>
            <a:off x="6827400" y="2450880"/>
            <a:ext cx="1052640" cy="228240"/>
          </a:xfrm>
          <a:prstGeom prst="rect">
            <a:avLst/>
          </a:prstGeom>
          <a:solidFill>
            <a:schemeClr val="lt1"/>
          </a:solidFill>
          <a:ln w="9360">
            <a:noFill/>
          </a:ln>
        </xdr:spPr>
        <xdr:style>
          <a:lnRef idx="0"/>
          <a:fillRef idx="0"/>
          <a:effectRef idx="0"/>
          <a:fontRef idx="minor"/>
        </xdr:style>
        <xdr:txBody>
          <a:bodyPr vertOverflow="clip" lIns="18360" rIns="18360" tIns="0" bIns="0" anchor="ctr">
            <a:noAutofit/>
          </a:bodyPr>
          <a:p>
            <a:pPr algn="r">
              <a:lnSpc>
                <a:spcPct val="100000"/>
              </a:lnSpc>
            </a:pPr>
            <a:r>
              <a:rPr b="0" lang="en-US" sz="1100" strike="noStrike" u="none">
                <a:solidFill>
                  <a:srgbClr val="000000"/>
                </a:solidFill>
                <a:uFillTx/>
                <a:latin typeface="Calibri"/>
              </a:rPr>
              <a:t>Tax(0.00%):</a:t>
            </a:r>
            <a:endParaRPr b="0" lang="en-US" sz="1100" strike="noStrike" u="none">
              <a:uFillTx/>
              <a:latin typeface="Times New Roman"/>
            </a:endParaRPr>
          </a:p>
        </xdr:txBody>
      </xdr:sp>
      <xdr:sp>
        <xdr:nvSpPr>
          <xdr:cNvPr id="43" name="TextBox 442"/>
          <xdr:cNvSpPr/>
        </xdr:nvSpPr>
        <xdr:spPr>
          <a:xfrm>
            <a:off x="7880400" y="2232000"/>
            <a:ext cx="894960" cy="228240"/>
          </a:xfrm>
          <a:prstGeom prst="rect">
            <a:avLst/>
          </a:prstGeom>
          <a:solidFill>
            <a:schemeClr val="lt1"/>
          </a:solidFill>
          <a:ln w="9360">
            <a:noFill/>
          </a:ln>
        </xdr:spPr>
        <xdr:style>
          <a:lnRef idx="0"/>
          <a:fillRef idx="0"/>
          <a:effectRef idx="0"/>
          <a:fontRef idx="minor"/>
        </xdr:style>
        <xdr:txBody>
          <a:bodyPr vertOverflow="clip" lIns="18360" rIns="18360" tIns="0" bIns="0" anchor="ctr">
            <a:noAutofit/>
          </a:bodyPr>
          <a:p>
            <a:pPr algn="r">
              <a:lnSpc>
                <a:spcPct val="100000"/>
              </a:lnSpc>
            </a:pPr>
            <a:r>
              <a:rPr b="0" lang="en-US" sz="1100" strike="noStrike" u="none">
                <a:solidFill>
                  <a:srgbClr val="000000"/>
                </a:solidFill>
                <a:uFillTx/>
                <a:latin typeface="Calibri"/>
              </a:rPr>
              <a:t> </a:t>
            </a:r>
            <a:r>
              <a:rPr b="0" lang="en-US" sz="1100" strike="noStrike" u="none">
                <a:solidFill>
                  <a:srgbClr val="000000"/>
                </a:solidFill>
                <a:uFillTx/>
                <a:latin typeface="Calibri"/>
              </a:rPr>
              <a:t>-    </a:t>
            </a:r>
            <a:endParaRPr b="0" lang="en-US" sz="1100" strike="noStrike" u="none">
              <a:uFillTx/>
              <a:latin typeface="Times New Roman"/>
            </a:endParaRPr>
          </a:p>
        </xdr:txBody>
      </xdr:sp>
      <xdr:sp>
        <xdr:nvSpPr>
          <xdr:cNvPr id="44" name="TextBox 443"/>
          <xdr:cNvSpPr/>
        </xdr:nvSpPr>
        <xdr:spPr>
          <a:xfrm>
            <a:off x="7880400" y="2450880"/>
            <a:ext cx="894960" cy="228240"/>
          </a:xfrm>
          <a:prstGeom prst="rect">
            <a:avLst/>
          </a:prstGeom>
          <a:solidFill>
            <a:schemeClr val="lt1"/>
          </a:solidFill>
          <a:ln w="9360">
            <a:noFill/>
          </a:ln>
        </xdr:spPr>
        <xdr:style>
          <a:lnRef idx="0"/>
          <a:fillRef idx="0"/>
          <a:effectRef idx="0"/>
          <a:fontRef idx="minor"/>
        </xdr:style>
        <xdr:txBody>
          <a:bodyPr vertOverflow="clip" lIns="18360" rIns="18360" tIns="0" bIns="0" anchor="ctr">
            <a:noAutofit/>
          </a:bodyPr>
          <a:p>
            <a:pPr algn="r">
              <a:lnSpc>
                <a:spcPct val="100000"/>
              </a:lnSpc>
            </a:pPr>
            <a:r>
              <a:rPr b="0" lang="en-US" sz="1100" strike="noStrike" u="none">
                <a:solidFill>
                  <a:srgbClr val="000000"/>
                </a:solidFill>
                <a:uFillTx/>
                <a:latin typeface="Calibri"/>
              </a:rPr>
              <a:t> </a:t>
            </a:r>
            <a:r>
              <a:rPr b="0" lang="en-US" sz="1100" strike="noStrike" u="none">
                <a:solidFill>
                  <a:srgbClr val="000000"/>
                </a:solidFill>
                <a:uFillTx/>
                <a:latin typeface="Calibri"/>
              </a:rPr>
              <a:t>-    </a:t>
            </a:r>
            <a:endParaRPr b="0" lang="en-US" sz="1100" strike="noStrike" u="none">
              <a:uFillTx/>
              <a:latin typeface="Times New Roman"/>
            </a:endParaRPr>
          </a:p>
        </xdr:txBody>
      </xdr:sp>
      <xdr:sp>
        <xdr:nvSpPr>
          <xdr:cNvPr id="45" name="TextBox 444"/>
          <xdr:cNvSpPr/>
        </xdr:nvSpPr>
        <xdr:spPr>
          <a:xfrm>
            <a:off x="6827400" y="2679480"/>
            <a:ext cx="1052640" cy="228240"/>
          </a:xfrm>
          <a:prstGeom prst="rect">
            <a:avLst/>
          </a:prstGeom>
          <a:solidFill>
            <a:schemeClr val="lt1"/>
          </a:solidFill>
          <a:ln w="9360">
            <a:noFill/>
          </a:ln>
        </xdr:spPr>
        <xdr:style>
          <a:lnRef idx="0"/>
          <a:fillRef idx="0"/>
          <a:effectRef idx="0"/>
          <a:fontRef idx="minor"/>
        </xdr:style>
        <xdr:txBody>
          <a:bodyPr vertOverflow="clip" lIns="18360" rIns="18360" tIns="0" bIns="0" anchor="ctr">
            <a:noAutofit/>
          </a:bodyPr>
          <a:p>
            <a:pPr algn="r">
              <a:lnSpc>
                <a:spcPct val="100000"/>
              </a:lnSpc>
            </a:pPr>
            <a:r>
              <a:rPr b="1" lang="en-US" sz="1100" strike="noStrike" u="sng">
                <a:solidFill>
                  <a:schemeClr val="dk1"/>
                </a:solidFill>
                <a:uFillTx/>
                <a:latin typeface="Calibri"/>
              </a:rPr>
              <a:t>Total:</a:t>
            </a:r>
            <a:endParaRPr b="0" lang="en-US" sz="1100" strike="noStrike" u="none">
              <a:uFillTx/>
              <a:latin typeface="Times New Roman"/>
            </a:endParaRPr>
          </a:p>
        </xdr:txBody>
      </xdr:sp>
      <xdr:sp>
        <xdr:nvSpPr>
          <xdr:cNvPr id="46" name="TextBox 445"/>
          <xdr:cNvSpPr/>
        </xdr:nvSpPr>
        <xdr:spPr>
          <a:xfrm>
            <a:off x="7880400" y="2679480"/>
            <a:ext cx="894960" cy="228240"/>
          </a:xfrm>
          <a:prstGeom prst="rect">
            <a:avLst/>
          </a:prstGeom>
          <a:solidFill>
            <a:schemeClr val="lt1"/>
          </a:solidFill>
          <a:ln w="9360">
            <a:noFill/>
          </a:ln>
        </xdr:spPr>
        <xdr:style>
          <a:lnRef idx="0"/>
          <a:fillRef idx="0"/>
          <a:effectRef idx="0"/>
          <a:fontRef idx="minor"/>
        </xdr:style>
        <xdr:txBody>
          <a:bodyPr vertOverflow="clip" lIns="18360" rIns="18360" tIns="0" bIns="0" anchor="ctr">
            <a:noAutofit/>
          </a:bodyPr>
          <a:p>
            <a:pPr algn="r">
              <a:lnSpc>
                <a:spcPct val="100000"/>
              </a:lnSpc>
            </a:pPr>
            <a:r>
              <a:rPr b="1" lang="en-US" sz="1100" strike="noStrike" u="sng">
                <a:solidFill>
                  <a:srgbClr val="000000"/>
                </a:solidFill>
                <a:uFillTx/>
                <a:latin typeface="Calibri"/>
              </a:rPr>
              <a:t> </a:t>
            </a:r>
            <a:r>
              <a:rPr b="1" lang="en-US" sz="1100" strike="noStrike" u="sng">
                <a:solidFill>
                  <a:srgbClr val="000000"/>
                </a:solidFill>
                <a:uFillTx/>
                <a:latin typeface="Calibri"/>
              </a:rPr>
              <a:t>-    </a:t>
            </a:r>
            <a:endParaRPr b="0" lang="en-US" sz="1100" strike="noStrike" u="none">
              <a:uFillTx/>
              <a:latin typeface="Times New Roman"/>
            </a:endParaRPr>
          </a:p>
        </xdr:txBody>
      </xdr:sp>
      <xdr:sp>
        <xdr:nvSpPr>
          <xdr:cNvPr id="47" name="TextBox 446"/>
          <xdr:cNvSpPr/>
        </xdr:nvSpPr>
        <xdr:spPr>
          <a:xfrm>
            <a:off x="7880400" y="2908080"/>
            <a:ext cx="894960" cy="228240"/>
          </a:xfrm>
          <a:prstGeom prst="rect">
            <a:avLst/>
          </a:prstGeom>
          <a:solidFill>
            <a:schemeClr val="lt1"/>
          </a:solidFill>
          <a:ln w="9360">
            <a:noFill/>
          </a:ln>
        </xdr:spPr>
        <xdr:style>
          <a:lnRef idx="0"/>
          <a:fillRef idx="0"/>
          <a:effectRef idx="0"/>
          <a:fontRef idx="minor"/>
        </xdr:style>
        <xdr:txBody>
          <a:bodyPr vertOverflow="clip" lIns="18360" rIns="18360" tIns="0" bIns="0" anchor="ctr">
            <a:noAutofit/>
          </a:bodyPr>
          <a:p>
            <a:pPr algn="r">
              <a:lnSpc>
                <a:spcPct val="100000"/>
              </a:lnSpc>
            </a:pPr>
            <a:r>
              <a:rPr b="0" lang="en-US" sz="1100" strike="noStrike" u="none">
                <a:solidFill>
                  <a:srgbClr val="000000"/>
                </a:solidFill>
                <a:uFillTx/>
                <a:latin typeface="Calibri"/>
              </a:rPr>
              <a:t> </a:t>
            </a:r>
            <a:endParaRPr b="0" lang="en-US" sz="1100" strike="noStrike" u="none">
              <a:uFillTx/>
              <a:latin typeface="Times New Roman"/>
            </a:endParaRPr>
          </a:p>
        </xdr:txBody>
      </xdr:sp>
      <xdr:sp>
        <xdr:nvSpPr>
          <xdr:cNvPr id="48" name="TextBox 447"/>
          <xdr:cNvSpPr/>
        </xdr:nvSpPr>
        <xdr:spPr>
          <a:xfrm>
            <a:off x="7880400" y="3136680"/>
            <a:ext cx="894960" cy="228240"/>
          </a:xfrm>
          <a:prstGeom prst="rect">
            <a:avLst/>
          </a:prstGeom>
          <a:solidFill>
            <a:schemeClr val="lt1"/>
          </a:solidFill>
          <a:ln w="9360">
            <a:noFill/>
          </a:ln>
        </xdr:spPr>
        <xdr:style>
          <a:lnRef idx="0"/>
          <a:fillRef idx="0"/>
          <a:effectRef idx="0"/>
          <a:fontRef idx="minor"/>
        </xdr:style>
        <xdr:txBody>
          <a:bodyPr vertOverflow="clip" lIns="18360" rIns="18360" tIns="0" bIns="0" anchor="ctr">
            <a:noAutofit/>
          </a:bodyPr>
          <a:p>
            <a:pPr algn="r">
              <a:lnSpc>
                <a:spcPct val="100000"/>
              </a:lnSpc>
            </a:pPr>
            <a:r>
              <a:rPr b="0" lang="en-US" sz="1100" strike="noStrike" u="none">
                <a:solidFill>
                  <a:srgbClr val="000000"/>
                </a:solidFill>
                <a:uFillTx/>
                <a:latin typeface="Calibri"/>
              </a:rPr>
              <a:t> </a:t>
            </a:r>
            <a:endParaRPr b="0" lang="en-US" sz="1100" strike="noStrike" u="none">
              <a:uFillTx/>
              <a:latin typeface="Times New Roman"/>
            </a:endParaRPr>
          </a:p>
        </xdr:txBody>
      </xdr:sp>
      <xdr:sp>
        <xdr:nvSpPr>
          <xdr:cNvPr id="49" name="TextBox 448"/>
          <xdr:cNvSpPr/>
        </xdr:nvSpPr>
        <xdr:spPr>
          <a:xfrm>
            <a:off x="6827400" y="2908080"/>
            <a:ext cx="1052640" cy="228240"/>
          </a:xfrm>
          <a:prstGeom prst="rect">
            <a:avLst/>
          </a:prstGeom>
          <a:solidFill>
            <a:schemeClr val="lt1"/>
          </a:solidFill>
          <a:ln w="9360">
            <a:noFill/>
          </a:ln>
        </xdr:spPr>
        <xdr:style>
          <a:lnRef idx="0"/>
          <a:fillRef idx="0"/>
          <a:effectRef idx="0"/>
          <a:fontRef idx="minor"/>
        </xdr:style>
        <xdr:txBody>
          <a:bodyPr vertOverflow="clip" lIns="18360" rIns="18360" tIns="0" bIns="0" anchor="ctr">
            <a:noAutofit/>
          </a:bodyPr>
          <a:p>
            <a:pPr algn="r">
              <a:lnSpc>
                <a:spcPct val="100000"/>
              </a:lnSpc>
            </a:pPr>
            <a:r>
              <a:rPr b="0" lang="en-US" sz="1100" strike="noStrike" u="none">
                <a:solidFill>
                  <a:schemeClr val="dk1"/>
                </a:solidFill>
                <a:uFillTx/>
                <a:latin typeface="Calibri"/>
              </a:rPr>
              <a:t>Total Paid:</a:t>
            </a:r>
            <a:endParaRPr b="0" lang="en-US" sz="1100" strike="noStrike" u="none">
              <a:uFillTx/>
              <a:latin typeface="Times New Roman"/>
            </a:endParaRPr>
          </a:p>
        </xdr:txBody>
      </xdr:sp>
      <xdr:sp>
        <xdr:nvSpPr>
          <xdr:cNvPr id="50" name="TextBox 449"/>
          <xdr:cNvSpPr/>
        </xdr:nvSpPr>
        <xdr:spPr>
          <a:xfrm>
            <a:off x="6827400" y="3136680"/>
            <a:ext cx="1052640" cy="228240"/>
          </a:xfrm>
          <a:prstGeom prst="rect">
            <a:avLst/>
          </a:prstGeom>
          <a:solidFill>
            <a:schemeClr val="lt1"/>
          </a:solidFill>
          <a:ln w="9360">
            <a:noFill/>
          </a:ln>
        </xdr:spPr>
        <xdr:style>
          <a:lnRef idx="0"/>
          <a:fillRef idx="0"/>
          <a:effectRef idx="0"/>
          <a:fontRef idx="minor"/>
        </xdr:style>
        <xdr:txBody>
          <a:bodyPr vertOverflow="clip" lIns="18360" rIns="18360" tIns="0" bIns="0" anchor="ctr">
            <a:noAutofit/>
          </a:bodyPr>
          <a:p>
            <a:pPr algn="r">
              <a:lnSpc>
                <a:spcPct val="100000"/>
              </a:lnSpc>
            </a:pPr>
            <a:r>
              <a:rPr b="0" lang="en-US" sz="1100" strike="noStrike" u="none">
                <a:solidFill>
                  <a:schemeClr val="dk1"/>
                </a:solidFill>
                <a:uFillTx/>
                <a:latin typeface="Calibri"/>
              </a:rPr>
              <a:t>Change:</a:t>
            </a:r>
            <a:endParaRPr b="0" lang="en-US" sz="1100" strike="noStrike" u="none">
              <a:uFillTx/>
              <a:latin typeface="Times New Roman"/>
            </a:endParaRPr>
          </a:p>
        </xdr:txBody>
      </xdr:sp>
      <xdr:sp>
        <xdr:nvSpPr>
          <xdr:cNvPr id="51" name="TextBox 450"/>
          <xdr:cNvSpPr/>
        </xdr:nvSpPr>
        <xdr:spPr>
          <a:xfrm>
            <a:off x="2548800" y="2232000"/>
            <a:ext cx="4300200" cy="228240"/>
          </a:xfrm>
          <a:prstGeom prst="rect">
            <a:avLst/>
          </a:prstGeom>
          <a:solidFill>
            <a:schemeClr val="lt1"/>
          </a:solidFill>
          <a:ln w="9360">
            <a:noFill/>
          </a:ln>
        </xdr:spPr>
        <xdr:style>
          <a:lnRef idx="0"/>
          <a:fillRef idx="0"/>
          <a:effectRef idx="0"/>
          <a:fontRef idx="minor"/>
        </xdr:style>
        <xdr:txBody>
          <a:bodyPr vertOverflow="clip" lIns="18360" rIns="18360" tIns="0" bIns="0" anchor="ctr">
            <a:noAutofit/>
          </a:bodyPr>
          <a:p>
            <a:pPr>
              <a:lnSpc>
                <a:spcPct val="100000"/>
              </a:lnSpc>
            </a:pPr>
            <a:r>
              <a:rPr b="1" lang="en-US" sz="1100" strike="noStrike" u="none">
                <a:solidFill>
                  <a:srgbClr val="000000"/>
                </a:solidFill>
                <a:uFillTx/>
                <a:latin typeface="Calibri"/>
              </a:rPr>
              <a:t>Thank You For Your Business</a:t>
            </a:r>
            <a:endParaRPr b="0" lang="en-US" sz="1100" strike="noStrike" u="none">
              <a:uFillTx/>
              <a:latin typeface="Times New Roman"/>
            </a:endParaRPr>
          </a:p>
        </xdr:txBody>
      </xdr:sp>
      <xdr:sp>
        <xdr:nvSpPr>
          <xdr:cNvPr id="52" name="TextBox 451"/>
          <xdr:cNvSpPr/>
        </xdr:nvSpPr>
        <xdr:spPr>
          <a:xfrm>
            <a:off x="2548800" y="2450880"/>
            <a:ext cx="1842840" cy="914040"/>
          </a:xfrm>
          <a:prstGeom prst="rect">
            <a:avLst/>
          </a:prstGeom>
          <a:solidFill>
            <a:schemeClr val="lt1"/>
          </a:solidFill>
          <a:ln w="9360">
            <a:noFill/>
          </a:ln>
        </xdr:spPr>
        <xdr:style>
          <a:lnRef idx="0"/>
          <a:fillRef idx="0"/>
          <a:effectRef idx="0"/>
          <a:fontRef idx="minor"/>
        </xdr:style>
        <xdr:txBody>
          <a:bodyPr vertOverflow="clip" lIns="18360" rIns="18360" tIns="0" bIns="0" anchor="t">
            <a:noAutofit/>
          </a:bodyPr>
          <a:p>
            <a:pPr algn="r" rtl="1">
              <a:lnSpc>
                <a:spcPct val="100000"/>
              </a:lnSpc>
            </a:pPr>
            <a:r>
              <a:rPr b="0" lang="en-US" sz="1100" strike="noStrike" u="none">
                <a:solidFill>
                  <a:srgbClr val="000000"/>
                </a:solidFill>
                <a:uFillTx/>
                <a:latin typeface="Calibri"/>
              </a:rPr>
              <a:t>  </a:t>
            </a:r>
            <a:r>
              <a:rPr b="0" lang="fa-IR" sz="1100" strike="noStrike" u="none">
                <a:solidFill>
                  <a:srgbClr val="000000"/>
                </a:solidFill>
                <a:uFillTx/>
                <a:latin typeface="Calibri"/>
                <a:cs typeface="Calibri"/>
              </a:rPr>
              <a:t>سوپر مارکت جهانی</a:t>
            </a:r>
            <a:endParaRPr b="0" lang="en-US" sz="1100" strike="noStrike" u="none">
              <a:uFillTx/>
              <a:latin typeface="Times New Roman"/>
            </a:endParaRPr>
          </a:p>
        </xdr:txBody>
      </xdr:sp>
      <xdr:sp>
        <xdr:nvSpPr>
          <xdr:cNvPr id="53" name="TextBox 452"/>
          <xdr:cNvSpPr/>
        </xdr:nvSpPr>
        <xdr:spPr>
          <a:xfrm>
            <a:off x="4370040" y="2450880"/>
            <a:ext cx="1052640" cy="228240"/>
          </a:xfrm>
          <a:prstGeom prst="rect">
            <a:avLst/>
          </a:prstGeom>
          <a:solidFill>
            <a:schemeClr val="lt1"/>
          </a:solidFill>
          <a:ln w="9360">
            <a:noFill/>
          </a:ln>
        </xdr:spPr>
        <xdr:style>
          <a:lnRef idx="0"/>
          <a:fillRef idx="0"/>
          <a:effectRef idx="0"/>
          <a:fontRef idx="minor"/>
        </xdr:style>
        <xdr:txBody>
          <a:bodyPr vertOverflow="clip" lIns="18360" rIns="18360" tIns="0" bIns="0" anchor="ctr">
            <a:noAutofit/>
          </a:bodyPr>
          <a:p>
            <a:pPr algn="r">
              <a:lnSpc>
                <a:spcPct val="100000"/>
              </a:lnSpc>
            </a:pPr>
            <a:r>
              <a:rPr b="0" lang="en-US" sz="1100" strike="noStrike" u="none">
                <a:solidFill>
                  <a:srgbClr val="000000"/>
                </a:solidFill>
                <a:uFillTx/>
                <a:latin typeface="Calibri"/>
              </a:rPr>
              <a:t>Receipt #:</a:t>
            </a:r>
            <a:endParaRPr b="0" lang="en-US" sz="1100" strike="noStrike" u="none">
              <a:uFillTx/>
              <a:latin typeface="Times New Roman"/>
            </a:endParaRPr>
          </a:p>
        </xdr:txBody>
      </xdr:sp>
      <xdr:sp>
        <xdr:nvSpPr>
          <xdr:cNvPr id="54" name="TextBox 453"/>
          <xdr:cNvSpPr/>
        </xdr:nvSpPr>
        <xdr:spPr>
          <a:xfrm>
            <a:off x="4370040" y="2679480"/>
            <a:ext cx="1052640" cy="228240"/>
          </a:xfrm>
          <a:prstGeom prst="rect">
            <a:avLst/>
          </a:prstGeom>
          <a:solidFill>
            <a:schemeClr val="lt1"/>
          </a:solidFill>
          <a:ln w="9360">
            <a:noFill/>
          </a:ln>
        </xdr:spPr>
        <xdr:style>
          <a:lnRef idx="0"/>
          <a:fillRef idx="0"/>
          <a:effectRef idx="0"/>
          <a:fontRef idx="minor"/>
        </xdr:style>
        <xdr:txBody>
          <a:bodyPr vertOverflow="clip" lIns="18360" rIns="18360" tIns="0" bIns="0" anchor="ctr">
            <a:noAutofit/>
          </a:bodyPr>
          <a:p>
            <a:pPr algn="r">
              <a:lnSpc>
                <a:spcPct val="100000"/>
              </a:lnSpc>
            </a:pPr>
            <a:r>
              <a:rPr b="0" lang="en-US" sz="1100" strike="noStrike" u="none">
                <a:solidFill>
                  <a:srgbClr val="000000"/>
                </a:solidFill>
                <a:uFillTx/>
                <a:latin typeface="Calibri"/>
              </a:rPr>
              <a:t>Order On:</a:t>
            </a:r>
            <a:endParaRPr b="0" lang="en-US" sz="1100" strike="noStrike" u="none">
              <a:uFillTx/>
              <a:latin typeface="Times New Roman"/>
            </a:endParaRPr>
          </a:p>
        </xdr:txBody>
      </xdr:sp>
      <xdr:sp>
        <xdr:nvSpPr>
          <xdr:cNvPr id="55" name="TextBox 454"/>
          <xdr:cNvSpPr/>
        </xdr:nvSpPr>
        <xdr:spPr>
          <a:xfrm>
            <a:off x="4370040" y="2908080"/>
            <a:ext cx="1052640" cy="228240"/>
          </a:xfrm>
          <a:prstGeom prst="rect">
            <a:avLst/>
          </a:prstGeom>
          <a:solidFill>
            <a:schemeClr val="lt1"/>
          </a:solidFill>
          <a:ln w="9360">
            <a:noFill/>
          </a:ln>
        </xdr:spPr>
        <xdr:style>
          <a:lnRef idx="0"/>
          <a:fillRef idx="0"/>
          <a:effectRef idx="0"/>
          <a:fontRef idx="minor"/>
        </xdr:style>
        <xdr:txBody>
          <a:bodyPr vertOverflow="clip" lIns="18360" rIns="18360" tIns="0" bIns="0" anchor="ctr">
            <a:noAutofit/>
          </a:bodyPr>
          <a:p>
            <a:pPr algn="r">
              <a:lnSpc>
                <a:spcPct val="100000"/>
              </a:lnSpc>
            </a:pPr>
            <a:r>
              <a:rPr b="0" lang="en-US" sz="1100" strike="noStrike" u="none">
                <a:solidFill>
                  <a:srgbClr val="000000"/>
                </a:solidFill>
                <a:uFillTx/>
                <a:latin typeface="Calibri"/>
              </a:rPr>
              <a:t>Cashier:</a:t>
            </a:r>
            <a:endParaRPr b="0" lang="en-US" sz="1100" strike="noStrike" u="none">
              <a:uFillTx/>
              <a:latin typeface="Times New Roman"/>
            </a:endParaRPr>
          </a:p>
        </xdr:txBody>
      </xdr:sp>
      <xdr:sp>
        <xdr:nvSpPr>
          <xdr:cNvPr id="56" name="TextBox 455"/>
          <xdr:cNvSpPr/>
        </xdr:nvSpPr>
        <xdr:spPr>
          <a:xfrm>
            <a:off x="4370040" y="3136680"/>
            <a:ext cx="2457000" cy="228240"/>
          </a:xfrm>
          <a:prstGeom prst="rect">
            <a:avLst/>
          </a:prstGeom>
          <a:solidFill>
            <a:schemeClr val="lt1"/>
          </a:solidFill>
          <a:ln w="9360">
            <a:noFill/>
          </a:ln>
        </xdr:spPr>
        <xdr:style>
          <a:lnRef idx="0"/>
          <a:fillRef idx="0"/>
          <a:effectRef idx="0"/>
          <a:fontRef idx="minor"/>
        </xdr:style>
        <xdr:txBody>
          <a:bodyPr vertOverflow="clip" lIns="18360" rIns="18360" tIns="0" bIns="0" anchor="ctr">
            <a:noAutofit/>
          </a:bodyPr>
          <a:p>
            <a:pPr algn="ctr">
              <a:lnSpc>
                <a:spcPct val="100000"/>
              </a:lnSpc>
            </a:pPr>
            <a:r>
              <a:rPr b="0" lang="en-US" sz="2000" strike="noStrike" u="none">
                <a:solidFill>
                  <a:srgbClr val="000000"/>
                </a:solidFill>
                <a:uFillTx/>
                <a:latin typeface="Code 128"/>
              </a:rPr>
              <a:t>10235</a:t>
            </a:r>
            <a:endParaRPr b="0" lang="en-US" sz="2000" strike="noStrike" u="none">
              <a:uFillTx/>
              <a:latin typeface="Times New Roman"/>
            </a:endParaRPr>
          </a:p>
        </xdr:txBody>
      </xdr:sp>
      <xdr:sp>
        <xdr:nvSpPr>
          <xdr:cNvPr id="57" name="TextBox 456"/>
          <xdr:cNvSpPr/>
        </xdr:nvSpPr>
        <xdr:spPr>
          <a:xfrm>
            <a:off x="5423040" y="2450880"/>
            <a:ext cx="1404000" cy="228240"/>
          </a:xfrm>
          <a:prstGeom prst="rect">
            <a:avLst/>
          </a:prstGeom>
          <a:solidFill>
            <a:schemeClr val="lt1"/>
          </a:solidFill>
          <a:ln w="9360">
            <a:noFill/>
          </a:ln>
        </xdr:spPr>
        <xdr:style>
          <a:lnRef idx="0"/>
          <a:fillRef idx="0"/>
          <a:effectRef idx="0"/>
          <a:fontRef idx="minor"/>
        </xdr:style>
        <xdr:txBody>
          <a:bodyPr vertOverflow="clip" lIns="18360" rIns="18360" tIns="0" bIns="0" anchor="ctr">
            <a:noAutofit/>
          </a:bodyPr>
          <a:p>
            <a:pPr>
              <a:lnSpc>
                <a:spcPct val="100000"/>
              </a:lnSpc>
            </a:pPr>
            <a:r>
              <a:rPr b="0" lang="en-US" sz="1100" strike="noStrike" u="none">
                <a:solidFill>
                  <a:srgbClr val="000000"/>
                </a:solidFill>
                <a:uFillTx/>
                <a:latin typeface="Calibri"/>
              </a:rPr>
              <a:t>10235</a:t>
            </a:r>
            <a:endParaRPr b="0" lang="en-US" sz="1100" strike="noStrike" u="none">
              <a:uFillTx/>
              <a:latin typeface="Times New Roman"/>
            </a:endParaRPr>
          </a:p>
        </xdr:txBody>
      </xdr:sp>
      <xdr:sp>
        <xdr:nvSpPr>
          <xdr:cNvPr id="58" name="TextBox 457"/>
          <xdr:cNvSpPr/>
        </xdr:nvSpPr>
        <xdr:spPr>
          <a:xfrm>
            <a:off x="5423040" y="2679480"/>
            <a:ext cx="1404000" cy="228240"/>
          </a:xfrm>
          <a:prstGeom prst="rect">
            <a:avLst/>
          </a:prstGeom>
          <a:solidFill>
            <a:schemeClr val="lt1"/>
          </a:solidFill>
          <a:ln w="9360">
            <a:noFill/>
          </a:ln>
        </xdr:spPr>
        <xdr:style>
          <a:lnRef idx="0"/>
          <a:fillRef idx="0"/>
          <a:effectRef idx="0"/>
          <a:fontRef idx="minor"/>
        </xdr:style>
        <xdr:txBody>
          <a:bodyPr vertOverflow="clip" lIns="18360" rIns="18360" tIns="0" bIns="0" anchor="ctr">
            <a:noAutofit/>
          </a:bodyPr>
          <a:p>
            <a:pPr>
              <a:lnSpc>
                <a:spcPct val="100000"/>
              </a:lnSpc>
            </a:pPr>
            <a:r>
              <a:rPr b="0" lang="en-US" sz="1100" strike="noStrike" u="none">
                <a:solidFill>
                  <a:srgbClr val="000000"/>
                </a:solidFill>
                <a:uFillTx/>
                <a:latin typeface="Calibri"/>
              </a:rPr>
              <a:t>08/01/1404</a:t>
            </a:r>
            <a:endParaRPr b="0" lang="en-US" sz="1100" strike="noStrike" u="none">
              <a:uFillTx/>
              <a:latin typeface="Times New Roman"/>
            </a:endParaRPr>
          </a:p>
        </xdr:txBody>
      </xdr:sp>
      <xdr:sp>
        <xdr:nvSpPr>
          <xdr:cNvPr id="59" name="TextBox 458"/>
          <xdr:cNvSpPr/>
        </xdr:nvSpPr>
        <xdr:spPr>
          <a:xfrm>
            <a:off x="5423040" y="2908080"/>
            <a:ext cx="1404000" cy="228240"/>
          </a:xfrm>
          <a:prstGeom prst="rect">
            <a:avLst/>
          </a:prstGeom>
          <a:solidFill>
            <a:schemeClr val="lt1"/>
          </a:solidFill>
          <a:ln w="9360">
            <a:noFill/>
          </a:ln>
        </xdr:spPr>
        <xdr:style>
          <a:lnRef idx="0"/>
          <a:fillRef idx="0"/>
          <a:effectRef idx="0"/>
          <a:fontRef idx="minor"/>
        </xdr:style>
        <xdr:txBody>
          <a:bodyPr vertOverflow="clip" lIns="18360" rIns="18360" tIns="0" bIns="0" anchor="ctr">
            <a:noAutofit/>
          </a:bodyPr>
          <a:p>
            <a:pPr>
              <a:lnSpc>
                <a:spcPct val="100000"/>
              </a:lnSpc>
            </a:pPr>
            <a:r>
              <a:rPr b="0" lang="en-US" sz="1100" strike="noStrike" u="none">
                <a:solidFill>
                  <a:srgbClr val="000000"/>
                </a:solidFill>
                <a:uFillTx/>
                <a:latin typeface="Calibri"/>
              </a:rPr>
              <a:t>Fred Frankles</a:t>
            </a:r>
            <a:endParaRPr b="0" lang="en-US" sz="1100" strike="noStrike" u="none">
              <a:uFillTx/>
              <a:latin typeface="Times New Roman"/>
            </a:endParaRPr>
          </a:p>
        </xdr:txBody>
      </xdr:sp>
      <xdr:grpSp>
        <xdr:nvGrpSpPr>
          <xdr:cNvPr id="60" name="Group 1051"/>
          <xdr:cNvGrpSpPr/>
        </xdr:nvGrpSpPr>
        <xdr:grpSpPr>
          <a:xfrm>
            <a:off x="3537360" y="3375000"/>
            <a:ext cx="894960" cy="365400"/>
            <a:chOff x="3537360" y="3375000"/>
            <a:chExt cx="894960" cy="365400"/>
          </a:xfrm>
        </xdr:grpSpPr>
        <xdr:sp>
          <xdr:nvSpPr>
            <xdr:cNvPr id="61" name="Rectangle 467"/>
            <xdr:cNvSpPr/>
          </xdr:nvSpPr>
          <xdr:spPr>
            <a:xfrm>
              <a:off x="3537360" y="3375000"/>
              <a:ext cx="894960" cy="365400"/>
            </a:xfrm>
            <a:prstGeom prst="rect">
              <a:avLst/>
            </a:prstGeom>
            <a:gradFill rotWithShape="0">
              <a:gsLst>
                <a:gs pos="0">
                  <a:srgbClr val="bcbcbc"/>
                </a:gs>
                <a:gs pos="35000">
                  <a:srgbClr val="d0d0d0"/>
                </a:gs>
                <a:gs pos="100000">
                  <a:srgbClr val="ededed"/>
                </a:gs>
              </a:gsLst>
              <a:lin ang="16200000"/>
            </a:gradFill>
            <a:ln w="9360">
              <a:solidFill>
                <a:srgbClr val="000000"/>
              </a:solidFill>
              <a:round/>
            </a:ln>
            <a:effectLst>
              <a:outerShdw dist="20160" dir="5400000" blurRad="39960" rotWithShape="0">
                <a:srgbClr val="000000">
                  <a:alpha val="38000"/>
                </a:srgbClr>
              </a:outerShdw>
            </a:effectLst>
          </xdr:spPr>
          <xdr:style>
            <a:lnRef idx="0"/>
            <a:fillRef idx="0"/>
            <a:effectRef idx="0"/>
            <a:fontRef idx="minor"/>
          </xdr:style>
          <xdr:txBody>
            <a:bodyPr vertOverflow="clip" lIns="90000" rIns="90000" tIns="45000" bIns="45000" anchor="ctr">
              <a:noAutofit/>
            </a:bodyPr>
            <a:p>
              <a:pPr algn="r">
                <a:lnSpc>
                  <a:spcPct val="100000"/>
                </a:lnSpc>
              </a:pPr>
              <a:r>
                <a:rPr b="1" lang="en-US" sz="1600" strike="noStrike" u="none">
                  <a:solidFill>
                    <a:schemeClr val="dk1"/>
                  </a:solidFill>
                  <a:uFillTx/>
                  <a:latin typeface="Calibri"/>
                </a:rPr>
                <a:t>Pay</a:t>
              </a:r>
              <a:endParaRPr b="0" lang="en-US" sz="1600" strike="noStrike" u="none">
                <a:uFillTx/>
                <a:latin typeface="Times New Roman"/>
              </a:endParaRPr>
            </a:p>
          </xdr:txBody>
        </xdr:sp>
        <xdr:pic>
          <xdr:nvPicPr>
            <xdr:cNvPr id="62" name="Picture 82" descr=""/>
            <xdr:cNvPicPr/>
          </xdr:nvPicPr>
          <xdr:blipFill>
            <a:blip r:embed="rId15"/>
            <a:stretch/>
          </xdr:blipFill>
          <xdr:spPr>
            <a:xfrm>
              <a:off x="3634560" y="3461760"/>
              <a:ext cx="231480" cy="200880"/>
            </a:xfrm>
            <a:prstGeom prst="rect">
              <a:avLst/>
            </a:prstGeom>
            <a:noFill/>
            <a:ln w="0">
              <a:noFill/>
            </a:ln>
          </xdr:spPr>
        </xdr:pic>
      </xdr:grpSp>
      <xdr:grpSp>
        <xdr:nvGrpSpPr>
          <xdr:cNvPr id="63" name="Group 1052"/>
          <xdr:cNvGrpSpPr/>
        </xdr:nvGrpSpPr>
        <xdr:grpSpPr>
          <a:xfrm>
            <a:off x="4547880" y="3375000"/>
            <a:ext cx="894960" cy="365400"/>
            <a:chOff x="4547880" y="3375000"/>
            <a:chExt cx="894960" cy="365400"/>
          </a:xfrm>
        </xdr:grpSpPr>
        <xdr:sp>
          <xdr:nvSpPr>
            <xdr:cNvPr id="64" name="Rectangle 468"/>
            <xdr:cNvSpPr/>
          </xdr:nvSpPr>
          <xdr:spPr>
            <a:xfrm>
              <a:off x="4547880" y="3375000"/>
              <a:ext cx="894960" cy="365400"/>
            </a:xfrm>
            <a:prstGeom prst="rect">
              <a:avLst/>
            </a:prstGeom>
            <a:gradFill rotWithShape="0">
              <a:gsLst>
                <a:gs pos="0">
                  <a:srgbClr val="bcbcbc"/>
                </a:gs>
                <a:gs pos="35000">
                  <a:srgbClr val="d0d0d0"/>
                </a:gs>
                <a:gs pos="100000">
                  <a:srgbClr val="ededed"/>
                </a:gs>
              </a:gsLst>
              <a:lin ang="16200000"/>
            </a:gradFill>
            <a:ln w="9360">
              <a:solidFill>
                <a:srgbClr val="000000"/>
              </a:solidFill>
              <a:round/>
            </a:ln>
            <a:effectLst>
              <a:outerShdw dist="20160" dir="5400000" blurRad="39960" rotWithShape="0">
                <a:srgbClr val="000000">
                  <a:alpha val="38000"/>
                </a:srgbClr>
              </a:outerShdw>
            </a:effectLst>
          </xdr:spPr>
          <xdr:style>
            <a:lnRef idx="0"/>
            <a:fillRef idx="0"/>
            <a:effectRef idx="0"/>
            <a:fontRef idx="minor"/>
          </xdr:style>
          <xdr:txBody>
            <a:bodyPr vertOverflow="clip" lIns="90000" rIns="90000" tIns="45000" bIns="45000" anchor="ctr">
              <a:noAutofit/>
            </a:bodyPr>
            <a:p>
              <a:pPr algn="r">
                <a:lnSpc>
                  <a:spcPct val="100000"/>
                </a:lnSpc>
              </a:pPr>
              <a:r>
                <a:rPr b="1" lang="en-US" sz="1600" strike="noStrike" u="none">
                  <a:solidFill>
                    <a:schemeClr val="dk1"/>
                  </a:solidFill>
                  <a:uFillTx/>
                  <a:latin typeface="Calibri"/>
                </a:rPr>
                <a:t>Print</a:t>
              </a:r>
              <a:endParaRPr b="0" lang="en-US" sz="1600" strike="noStrike" u="none">
                <a:uFillTx/>
                <a:latin typeface="Times New Roman"/>
              </a:endParaRPr>
            </a:p>
          </xdr:txBody>
        </xdr:sp>
        <xdr:pic>
          <xdr:nvPicPr>
            <xdr:cNvPr id="65" name="Picture 87" descr=""/>
            <xdr:cNvPicPr/>
          </xdr:nvPicPr>
          <xdr:blipFill>
            <a:blip r:embed="rId16"/>
            <a:stretch/>
          </xdr:blipFill>
          <xdr:spPr>
            <a:xfrm>
              <a:off x="4588920" y="3461760"/>
              <a:ext cx="231480" cy="200880"/>
            </a:xfrm>
            <a:prstGeom prst="rect">
              <a:avLst/>
            </a:prstGeom>
            <a:noFill/>
            <a:ln w="0">
              <a:noFill/>
            </a:ln>
          </xdr:spPr>
        </xdr:pic>
      </xdr:grpSp>
      <xdr:grpSp>
        <xdr:nvGrpSpPr>
          <xdr:cNvPr id="66" name="Group 1050"/>
          <xdr:cNvGrpSpPr/>
        </xdr:nvGrpSpPr>
        <xdr:grpSpPr>
          <a:xfrm>
            <a:off x="2526840" y="3375000"/>
            <a:ext cx="894960" cy="365400"/>
            <a:chOff x="2526840" y="3375000"/>
            <a:chExt cx="894960" cy="365400"/>
          </a:xfrm>
        </xdr:grpSpPr>
        <xdr:sp>
          <xdr:nvSpPr>
            <xdr:cNvPr id="67" name="Rectangle 67"/>
            <xdr:cNvSpPr/>
          </xdr:nvSpPr>
          <xdr:spPr>
            <a:xfrm>
              <a:off x="2526840" y="3375000"/>
              <a:ext cx="894960" cy="365400"/>
            </a:xfrm>
            <a:prstGeom prst="rect">
              <a:avLst/>
            </a:prstGeom>
            <a:gradFill rotWithShape="0">
              <a:gsLst>
                <a:gs pos="0">
                  <a:srgbClr val="bcbcbc"/>
                </a:gs>
                <a:gs pos="35000">
                  <a:srgbClr val="d0d0d0"/>
                </a:gs>
                <a:gs pos="100000">
                  <a:srgbClr val="ededed"/>
                </a:gs>
              </a:gsLst>
              <a:lin ang="16200000"/>
            </a:gradFill>
            <a:ln w="9360">
              <a:solidFill>
                <a:srgbClr val="000000"/>
              </a:solidFill>
              <a:round/>
            </a:ln>
            <a:effectLst>
              <a:outerShdw dist="20160" dir="5400000" blurRad="39960" rotWithShape="0">
                <a:srgbClr val="000000">
                  <a:alpha val="38000"/>
                </a:srgbClr>
              </a:outerShdw>
            </a:effectLst>
          </xdr:spPr>
          <xdr:style>
            <a:lnRef idx="0"/>
            <a:fillRef idx="0"/>
            <a:effectRef idx="0"/>
            <a:fontRef idx="minor"/>
          </xdr:style>
          <xdr:txBody>
            <a:bodyPr vertOverflow="clip" lIns="90000" rIns="90000" tIns="45000" bIns="45000" anchor="ctr">
              <a:noAutofit/>
            </a:bodyPr>
            <a:p>
              <a:pPr algn="r">
                <a:lnSpc>
                  <a:spcPct val="100000"/>
                </a:lnSpc>
              </a:pPr>
              <a:r>
                <a:rPr b="1" lang="en-US" sz="1600" strike="noStrike" u="none">
                  <a:solidFill>
                    <a:schemeClr val="dk1"/>
                  </a:solidFill>
                  <a:uFillTx/>
                  <a:latin typeface="Calibri"/>
                </a:rPr>
                <a:t>Clear</a:t>
              </a:r>
              <a:endParaRPr b="0" lang="en-US" sz="1600" strike="noStrike" u="none">
                <a:uFillTx/>
                <a:latin typeface="Times New Roman"/>
              </a:endParaRPr>
            </a:p>
          </xdr:txBody>
        </xdr:sp>
        <xdr:pic>
          <xdr:nvPicPr>
            <xdr:cNvPr id="68" name="Picture 88" descr=""/>
            <xdr:cNvPicPr/>
          </xdr:nvPicPr>
          <xdr:blipFill>
            <a:blip r:embed="rId17"/>
            <a:stretch/>
          </xdr:blipFill>
          <xdr:spPr>
            <a:xfrm>
              <a:off x="2567520" y="3461760"/>
              <a:ext cx="202320" cy="200880"/>
            </a:xfrm>
            <a:prstGeom prst="rect">
              <a:avLst/>
            </a:prstGeom>
            <a:noFill/>
            <a:ln w="0">
              <a:noFill/>
            </a:ln>
          </xdr:spPr>
        </xdr:pic>
      </xdr:grpSp>
      <xdr:grpSp>
        <xdr:nvGrpSpPr>
          <xdr:cNvPr id="69" name="Group 1053"/>
          <xdr:cNvGrpSpPr/>
        </xdr:nvGrpSpPr>
        <xdr:grpSpPr>
          <a:xfrm>
            <a:off x="5558760" y="3375000"/>
            <a:ext cx="1184400" cy="365400"/>
            <a:chOff x="5558760" y="3375000"/>
            <a:chExt cx="1184400" cy="365400"/>
          </a:xfrm>
        </xdr:grpSpPr>
        <xdr:sp>
          <xdr:nvSpPr>
            <xdr:cNvPr id="70" name="Rectangle 469"/>
            <xdr:cNvSpPr/>
          </xdr:nvSpPr>
          <xdr:spPr>
            <a:xfrm>
              <a:off x="5558760" y="3375000"/>
              <a:ext cx="1184400" cy="365400"/>
            </a:xfrm>
            <a:prstGeom prst="rect">
              <a:avLst/>
            </a:prstGeom>
            <a:gradFill rotWithShape="0">
              <a:gsLst>
                <a:gs pos="0">
                  <a:srgbClr val="bcbcbc"/>
                </a:gs>
                <a:gs pos="35000">
                  <a:srgbClr val="d0d0d0"/>
                </a:gs>
                <a:gs pos="100000">
                  <a:srgbClr val="ededed"/>
                </a:gs>
              </a:gsLst>
              <a:lin ang="16200000"/>
            </a:gradFill>
            <a:ln w="9360">
              <a:solidFill>
                <a:srgbClr val="000000"/>
              </a:solidFill>
              <a:round/>
            </a:ln>
            <a:effectLst>
              <a:outerShdw dist="20160" dir="5400000" blurRad="39960" rotWithShape="0">
                <a:srgbClr val="000000">
                  <a:alpha val="38000"/>
                </a:srgbClr>
              </a:outerShdw>
            </a:effectLst>
          </xdr:spPr>
          <xdr:style>
            <a:lnRef idx="0"/>
            <a:fillRef idx="0"/>
            <a:effectRef idx="0"/>
            <a:fontRef idx="minor"/>
          </xdr:style>
          <xdr:txBody>
            <a:bodyPr vertOverflow="clip" lIns="90000" rIns="90000" tIns="45000" bIns="45000" anchor="ctr">
              <a:noAutofit/>
            </a:bodyPr>
            <a:p>
              <a:pPr algn="r">
                <a:lnSpc>
                  <a:spcPct val="100000"/>
                </a:lnSpc>
              </a:pPr>
              <a:r>
                <a:rPr b="1" lang="en-US" sz="1600" strike="noStrike" u="none">
                  <a:solidFill>
                    <a:schemeClr val="dk1"/>
                  </a:solidFill>
                  <a:uFillTx/>
                  <a:latin typeface="Calibri"/>
                </a:rPr>
                <a:t>Refund</a:t>
              </a:r>
              <a:endParaRPr b="0" lang="en-US" sz="1600" strike="noStrike" u="none">
                <a:uFillTx/>
                <a:latin typeface="Times New Roman"/>
              </a:endParaRPr>
            </a:p>
          </xdr:txBody>
        </xdr:sp>
        <xdr:pic>
          <xdr:nvPicPr>
            <xdr:cNvPr id="71" name="Picture 89" descr=""/>
            <xdr:cNvPicPr/>
          </xdr:nvPicPr>
          <xdr:blipFill>
            <a:blip r:embed="rId18"/>
            <a:stretch/>
          </xdr:blipFill>
          <xdr:spPr>
            <a:xfrm>
              <a:off x="5614920" y="3461760"/>
              <a:ext cx="231480" cy="200880"/>
            </a:xfrm>
            <a:prstGeom prst="rect">
              <a:avLst/>
            </a:prstGeom>
            <a:noFill/>
            <a:ln w="0">
              <a:noFill/>
            </a:ln>
          </xdr:spPr>
        </xdr:pic>
      </xdr:grpSp>
      <xdr:grpSp>
        <xdr:nvGrpSpPr>
          <xdr:cNvPr id="72" name="Group 1119"/>
          <xdr:cNvGrpSpPr/>
        </xdr:nvGrpSpPr>
        <xdr:grpSpPr>
          <a:xfrm>
            <a:off x="7869600" y="3375000"/>
            <a:ext cx="894960" cy="365400"/>
            <a:chOff x="7869600" y="3375000"/>
            <a:chExt cx="894960" cy="365400"/>
          </a:xfrm>
        </xdr:grpSpPr>
        <xdr:sp>
          <xdr:nvSpPr>
            <xdr:cNvPr id="73" name="Rectangle 471"/>
            <xdr:cNvSpPr/>
          </xdr:nvSpPr>
          <xdr:spPr>
            <a:xfrm>
              <a:off x="7869600" y="3375000"/>
              <a:ext cx="894960" cy="365400"/>
            </a:xfrm>
            <a:prstGeom prst="rect">
              <a:avLst/>
            </a:prstGeom>
            <a:gradFill rotWithShape="0">
              <a:gsLst>
                <a:gs pos="0">
                  <a:srgbClr val="bcbcbc"/>
                </a:gs>
                <a:gs pos="35000">
                  <a:srgbClr val="d0d0d0"/>
                </a:gs>
                <a:gs pos="100000">
                  <a:srgbClr val="ededed"/>
                </a:gs>
              </a:gsLst>
              <a:lin ang="16200000"/>
            </a:gradFill>
            <a:ln w="9360">
              <a:solidFill>
                <a:srgbClr val="000000"/>
              </a:solidFill>
              <a:round/>
            </a:ln>
            <a:effectLst>
              <a:outerShdw dist="20160" dir="5400000" blurRad="39960" rotWithShape="0">
                <a:srgbClr val="000000">
                  <a:alpha val="38000"/>
                </a:srgbClr>
              </a:outerShdw>
            </a:effectLst>
          </xdr:spPr>
          <xdr:style>
            <a:lnRef idx="0"/>
            <a:fillRef idx="0"/>
            <a:effectRef idx="0"/>
            <a:fontRef idx="minor"/>
          </xdr:style>
          <xdr:txBody>
            <a:bodyPr vertOverflow="clip" lIns="90000" rIns="90000" tIns="45000" bIns="45000" anchor="ctr">
              <a:noAutofit/>
            </a:bodyPr>
            <a:p>
              <a:pPr algn="r">
                <a:lnSpc>
                  <a:spcPct val="100000"/>
                </a:lnSpc>
              </a:pPr>
              <a:r>
                <a:rPr b="1" lang="en-US" sz="1600" strike="noStrike" u="none">
                  <a:solidFill>
                    <a:schemeClr val="dk1"/>
                  </a:solidFill>
                  <a:uFillTx/>
                  <a:latin typeface="Calibri"/>
                </a:rPr>
                <a:t>Next</a:t>
              </a:r>
              <a:endParaRPr b="0" lang="en-US" sz="1600" strike="noStrike" u="none">
                <a:uFillTx/>
                <a:latin typeface="Times New Roman"/>
              </a:endParaRPr>
            </a:p>
          </xdr:txBody>
        </xdr:sp>
        <xdr:pic>
          <xdr:nvPicPr>
            <xdr:cNvPr id="74" name="Picture 90" descr=""/>
            <xdr:cNvPicPr/>
          </xdr:nvPicPr>
          <xdr:blipFill>
            <a:blip r:embed="rId19"/>
            <a:stretch/>
          </xdr:blipFill>
          <xdr:spPr>
            <a:xfrm>
              <a:off x="7937640" y="3461760"/>
              <a:ext cx="231480" cy="200880"/>
            </a:xfrm>
            <a:prstGeom prst="rect">
              <a:avLst/>
            </a:prstGeom>
            <a:noFill/>
            <a:ln w="0">
              <a:noFill/>
            </a:ln>
          </xdr:spPr>
        </xdr:pic>
      </xdr:grpSp>
      <xdr:grpSp>
        <xdr:nvGrpSpPr>
          <xdr:cNvPr id="75" name="Group 1054"/>
          <xdr:cNvGrpSpPr/>
        </xdr:nvGrpSpPr>
        <xdr:grpSpPr>
          <a:xfrm>
            <a:off x="6858720" y="3375000"/>
            <a:ext cx="894960" cy="365400"/>
            <a:chOff x="6858720" y="3375000"/>
            <a:chExt cx="894960" cy="365400"/>
          </a:xfrm>
        </xdr:grpSpPr>
        <xdr:sp>
          <xdr:nvSpPr>
            <xdr:cNvPr id="76" name="Rectangle 470"/>
            <xdr:cNvSpPr/>
          </xdr:nvSpPr>
          <xdr:spPr>
            <a:xfrm>
              <a:off x="6858720" y="3375000"/>
              <a:ext cx="894960" cy="365400"/>
            </a:xfrm>
            <a:prstGeom prst="rect">
              <a:avLst/>
            </a:prstGeom>
            <a:gradFill rotWithShape="0">
              <a:gsLst>
                <a:gs pos="0">
                  <a:srgbClr val="bcbcbc"/>
                </a:gs>
                <a:gs pos="35000">
                  <a:srgbClr val="d0d0d0"/>
                </a:gs>
                <a:gs pos="100000">
                  <a:srgbClr val="ededed"/>
                </a:gs>
              </a:gsLst>
              <a:lin ang="16200000"/>
            </a:gradFill>
            <a:ln w="9360">
              <a:solidFill>
                <a:srgbClr val="000000"/>
              </a:solidFill>
              <a:round/>
            </a:ln>
            <a:effectLst>
              <a:outerShdw dist="20160" dir="5400000" blurRad="39960" rotWithShape="0">
                <a:srgbClr val="000000">
                  <a:alpha val="38000"/>
                </a:srgbClr>
              </a:outerShdw>
            </a:effectLst>
          </xdr:spPr>
          <xdr:style>
            <a:lnRef idx="0"/>
            <a:fillRef idx="0"/>
            <a:effectRef idx="0"/>
            <a:fontRef idx="minor"/>
          </xdr:style>
          <xdr:txBody>
            <a:bodyPr vertOverflow="clip" lIns="90000" rIns="90000" tIns="45000" bIns="45000" anchor="ctr">
              <a:noAutofit/>
            </a:bodyPr>
            <a:p>
              <a:pPr algn="r">
                <a:lnSpc>
                  <a:spcPct val="100000"/>
                </a:lnSpc>
              </a:pPr>
              <a:r>
                <a:rPr b="1" lang="en-US" sz="1600" strike="noStrike" u="none">
                  <a:solidFill>
                    <a:schemeClr val="dk1"/>
                  </a:solidFill>
                  <a:uFillTx/>
                  <a:latin typeface="Calibri"/>
                </a:rPr>
                <a:t>Void</a:t>
              </a:r>
              <a:endParaRPr b="0" lang="en-US" sz="1600" strike="noStrike" u="none">
                <a:uFillTx/>
                <a:latin typeface="Times New Roman"/>
              </a:endParaRPr>
            </a:p>
          </xdr:txBody>
        </xdr:sp>
        <xdr:pic>
          <xdr:nvPicPr>
            <xdr:cNvPr id="77" name="Picture 94" descr=""/>
            <xdr:cNvPicPr/>
          </xdr:nvPicPr>
          <xdr:blipFill>
            <a:blip r:embed="rId20"/>
            <a:stretch/>
          </xdr:blipFill>
          <xdr:spPr>
            <a:xfrm>
              <a:off x="6917400" y="3461760"/>
              <a:ext cx="231480" cy="200880"/>
            </a:xfrm>
            <a:prstGeom prst="rect">
              <a:avLst/>
            </a:prstGeom>
            <a:noFill/>
            <a:ln w="0">
              <a:noFill/>
            </a:ln>
          </xdr:spPr>
        </xdr:pic>
      </xdr:grpSp>
    </xdr:grpSp>
    <xdr:clientData/>
  </xdr:twoCellAnchor>
  <xdr:twoCellAnchor editAs="absolute">
    <xdr:from>
      <xdr:col>9</xdr:col>
      <xdr:colOff>398880</xdr:colOff>
      <xdr:row>1</xdr:row>
      <xdr:rowOff>162000</xdr:rowOff>
    </xdr:from>
    <xdr:to>
      <xdr:col>9</xdr:col>
      <xdr:colOff>434520</xdr:colOff>
      <xdr:row>1</xdr:row>
      <xdr:rowOff>504720</xdr:rowOff>
    </xdr:to>
    <xdr:grpSp>
      <xdr:nvGrpSpPr>
        <xdr:cNvPr id="78" name="ClearResultBtn"/>
        <xdr:cNvGrpSpPr/>
      </xdr:nvGrpSpPr>
      <xdr:grpSpPr>
        <a:xfrm>
          <a:off x="3650760" y="723960"/>
          <a:ext cx="35640" cy="342720"/>
          <a:chOff x="3650760" y="723960"/>
          <a:chExt cx="35640" cy="342720"/>
        </a:xfrm>
      </xdr:grpSpPr>
      <xdr:sp>
        <xdr:nvSpPr>
          <xdr:cNvPr id="79" name="Right Arrow 65" hidden="1"/>
          <xdr:cNvSpPr/>
        </xdr:nvSpPr>
        <xdr:spPr>
          <a:xfrm>
            <a:off x="3650760" y="723960"/>
            <a:ext cx="35640" cy="342720"/>
          </a:xfrm>
          <a:prstGeom prst="rightArrow">
            <a:avLst>
              <a:gd name="adj1" fmla="val 66667"/>
              <a:gd name="adj2" fmla="val 50000"/>
            </a:avLst>
          </a:prstGeom>
          <a:gradFill rotWithShape="0">
            <a:gsLst>
              <a:gs pos="0">
                <a:srgbClr val="bcbcbc"/>
              </a:gs>
              <a:gs pos="35000">
                <a:srgbClr val="d0d0d0"/>
              </a:gs>
              <a:gs pos="100000">
                <a:srgbClr val="ededed"/>
              </a:gs>
            </a:gsLst>
            <a:lin ang="16200000"/>
          </a:gradFill>
          <a:ln w="9360">
            <a:solidFill>
              <a:srgbClr val="000000"/>
            </a:solidFill>
            <a:round/>
          </a:ln>
          <a:effectLst>
            <a:outerShdw dist="20160" dir="5400000" blurRad="39960" rotWithShape="0">
              <a:srgbClr val="000000">
                <a:alpha val="38000"/>
              </a:srgbClr>
            </a:outerShdw>
          </a:effectLst>
        </xdr:spPr>
        <xdr:style>
          <a:lnRef idx="0"/>
          <a:fillRef idx="0"/>
          <a:effectRef idx="0"/>
          <a:fontRef idx="minor"/>
        </xdr:style>
        <xdr:txBody>
          <a:bodyPr vertOverflow="clip" lIns="18360" rIns="18360" tIns="0" bIns="0" anchor="ctr">
            <a:noAutofit/>
          </a:bodyPr>
          <a:p>
            <a:pPr algn="r">
              <a:lnSpc>
                <a:spcPct val="100000"/>
              </a:lnSpc>
            </a:pPr>
            <a:r>
              <a:rPr b="0" lang="en-US" sz="1100" strike="noStrike" u="none">
                <a:solidFill>
                  <a:schemeClr val="dk1"/>
                </a:solidFill>
                <a:uFillTx/>
                <a:latin typeface="Calibri"/>
              </a:rPr>
              <a:t>Clear Results</a:t>
            </a:r>
            <a:endParaRPr b="0" lang="en-US" sz="1100" strike="noStrike" u="none">
              <a:uFillTx/>
              <a:latin typeface="Times New Roman"/>
            </a:endParaRPr>
          </a:p>
        </xdr:txBody>
      </xdr:sp>
      <xdr:pic>
        <xdr:nvPicPr>
          <xdr:cNvPr id="80" name="Picture 495" descr=""/>
          <xdr:cNvPicPr/>
        </xdr:nvPicPr>
        <xdr:blipFill>
          <a:blip r:embed="rId21"/>
          <a:stretch/>
        </xdr:blipFill>
        <xdr:spPr>
          <a:xfrm>
            <a:off x="3652560" y="803880"/>
            <a:ext cx="4680" cy="182520"/>
          </a:xfrm>
          <a:prstGeom prst="rect">
            <a:avLst/>
          </a:prstGeom>
          <a:noFill/>
          <a:ln w="0">
            <a:noFill/>
          </a:ln>
        </xdr:spPr>
      </xdr:pic>
    </xdr:grpSp>
    <xdr:clientData/>
  </xdr:twoCellAnchor>
  <xdr:twoCellAnchor editAs="twoCell">
    <xdr:from>
      <xdr:col>0</xdr:col>
      <xdr:colOff>190440</xdr:colOff>
      <xdr:row>0</xdr:row>
      <xdr:rowOff>533520</xdr:rowOff>
    </xdr:from>
    <xdr:to>
      <xdr:col>0</xdr:col>
      <xdr:colOff>875880</xdr:colOff>
      <xdr:row>1</xdr:row>
      <xdr:rowOff>336960</xdr:rowOff>
    </xdr:to>
    <xdr:sp>
      <xdr:nvSpPr>
        <xdr:cNvPr id="81" name="SampleProdShp"/>
        <xdr:cNvSpPr/>
      </xdr:nvSpPr>
      <xdr:spPr>
        <a:xfrm>
          <a:off x="190440" y="533520"/>
          <a:ext cx="685440" cy="365400"/>
        </a:xfrm>
        <a:prstGeom prst="rect">
          <a:avLst/>
        </a:prstGeom>
        <a:gradFill rotWithShape="0">
          <a:gsLst>
            <a:gs pos="0">
              <a:srgbClr val="dce6f2"/>
            </a:gs>
            <a:gs pos="100000">
              <a:srgbClr val="ffffff"/>
            </a:gs>
          </a:gsLst>
          <a:lin ang="16200000"/>
        </a:gradFill>
        <a:ln w="9360">
          <a:solidFill>
            <a:srgbClr val="4a7ebb"/>
          </a:solidFill>
          <a:round/>
        </a:ln>
        <a:effectLst>
          <a:outerShdw dist="20160" dir="5400000" blurRad="39960" rotWithShape="0">
            <a:srgbClr val="000000">
              <a:alpha val="38000"/>
            </a:srgbClr>
          </a:outerShdw>
        </a:effectLst>
      </xdr:spPr>
      <xdr:style>
        <a:lnRef idx="0"/>
        <a:fillRef idx="0"/>
        <a:effectRef idx="0"/>
        <a:fontRef idx="minor"/>
      </xdr:style>
      <xdr:txBody>
        <a:bodyPr vertOverflow="clip" lIns="0" rIns="0" tIns="0" bIns="18360" anchor="b">
          <a:noAutofit/>
        </a:bodyPr>
        <a:p>
          <a:pPr algn="ctr">
            <a:lnSpc>
              <a:spcPct val="100000"/>
            </a:lnSpc>
          </a:pPr>
          <a:r>
            <a:rPr b="0" lang="en-US" sz="1100" strike="noStrike" u="none">
              <a:solidFill>
                <a:schemeClr val="accent1">
                  <a:lumMod val="50000"/>
                </a:schemeClr>
              </a:solidFill>
              <a:uFillTx/>
              <a:latin typeface="Calibri"/>
            </a:rPr>
            <a:t>Sample Product</a:t>
          </a:r>
          <a:endParaRPr b="0" lang="en-US" sz="11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17</xdr:col>
      <xdr:colOff>0</xdr:colOff>
      <xdr:row>3</xdr:row>
      <xdr:rowOff>142920</xdr:rowOff>
    </xdr:from>
    <xdr:to>
      <xdr:col>17</xdr:col>
      <xdr:colOff>685440</xdr:colOff>
      <xdr:row>5</xdr:row>
      <xdr:rowOff>51120</xdr:rowOff>
    </xdr:to>
    <xdr:sp>
      <xdr:nvSpPr>
        <xdr:cNvPr id="82" name="Subcategory1"/>
        <xdr:cNvSpPr/>
      </xdr:nvSpPr>
      <xdr:spPr>
        <a:xfrm>
          <a:off x="9404280" y="1476360"/>
          <a:ext cx="685440" cy="365400"/>
        </a:xfrm>
        <a:prstGeom prst="rect">
          <a:avLst/>
        </a:prstGeom>
        <a:gradFill rotWithShape="0">
          <a:gsLst>
            <a:gs pos="0">
              <a:srgbClr val="2e5f99"/>
            </a:gs>
            <a:gs pos="80000">
              <a:srgbClr val="3c7ac7"/>
            </a:gs>
            <a:gs pos="100000">
              <a:srgbClr val="397bca"/>
            </a:gs>
          </a:gsLst>
          <a:lin ang="16200000"/>
        </a:gradFill>
        <a:ln w="9360">
          <a:solidFill>
            <a:srgbClr val="4a7ebb"/>
          </a:solidFill>
          <a:round/>
        </a:ln>
        <a:effectLst>
          <a:outerShdw dist="23040" dir="5400000" blurRad="39960" rotWithShape="0">
            <a:srgbClr val="000000">
              <a:alpha val="35000"/>
            </a:srgbClr>
          </a:outerShdw>
        </a:effectLst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b">
          <a:noAutofit/>
        </a:bodyPr>
        <a:p>
          <a:pPr algn="ctr">
            <a:lnSpc>
              <a:spcPct val="100000"/>
            </a:lnSpc>
          </a:pPr>
          <a:r>
            <a:rPr b="0" lang="en-US" sz="1100" strike="noStrike" u="none">
              <a:solidFill>
                <a:schemeClr val="lt1"/>
              </a:solidFill>
              <a:uFillTx/>
              <a:latin typeface="Calibri"/>
            </a:rPr>
            <a:t>Soda</a:t>
          </a:r>
          <a:endParaRPr b="0" lang="en-US" sz="11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18</xdr:col>
      <xdr:colOff>0</xdr:colOff>
      <xdr:row>3</xdr:row>
      <xdr:rowOff>142920</xdr:rowOff>
    </xdr:from>
    <xdr:to>
      <xdr:col>18</xdr:col>
      <xdr:colOff>685440</xdr:colOff>
      <xdr:row>5</xdr:row>
      <xdr:rowOff>51120</xdr:rowOff>
    </xdr:to>
    <xdr:sp>
      <xdr:nvSpPr>
        <xdr:cNvPr id="83" name="Subcategory2"/>
        <xdr:cNvSpPr/>
      </xdr:nvSpPr>
      <xdr:spPr>
        <a:xfrm>
          <a:off x="10229760" y="1476360"/>
          <a:ext cx="685440" cy="365400"/>
        </a:xfrm>
        <a:prstGeom prst="rect">
          <a:avLst/>
        </a:prstGeom>
        <a:gradFill rotWithShape="0">
          <a:gsLst>
            <a:gs pos="0">
              <a:srgbClr val="a4c1ff"/>
            </a:gs>
            <a:gs pos="35000">
              <a:srgbClr val="bfd4fe"/>
            </a:gs>
            <a:gs pos="100000">
              <a:srgbClr val="e5efff"/>
            </a:gs>
          </a:gsLst>
          <a:lin ang="16200000"/>
        </a:gradFill>
        <a:ln w="9360">
          <a:solidFill>
            <a:srgbClr val="4a7ebb"/>
          </a:solidFill>
          <a:round/>
        </a:ln>
        <a:effectLst>
          <a:outerShdw dist="20160" dir="5400000" blurRad="39960" rotWithShape="0">
            <a:srgbClr val="000000">
              <a:alpha val="38000"/>
            </a:srgbClr>
          </a:outerShdw>
        </a:effectLst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b">
          <a:noAutofit/>
        </a:bodyPr>
        <a:p>
          <a:pPr algn="ctr">
            <a:lnSpc>
              <a:spcPct val="100000"/>
            </a:lnSpc>
          </a:pPr>
          <a:r>
            <a:rPr b="0" lang="en-US" sz="1100" strike="noStrike" u="none">
              <a:solidFill>
                <a:schemeClr val="dk1"/>
              </a:solidFill>
              <a:uFillTx/>
              <a:latin typeface="Calibri"/>
            </a:rPr>
            <a:t>cigar</a:t>
          </a:r>
          <a:endParaRPr b="0" lang="en-US" sz="11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19</xdr:col>
      <xdr:colOff>0</xdr:colOff>
      <xdr:row>3</xdr:row>
      <xdr:rowOff>142920</xdr:rowOff>
    </xdr:from>
    <xdr:to>
      <xdr:col>19</xdr:col>
      <xdr:colOff>685440</xdr:colOff>
      <xdr:row>5</xdr:row>
      <xdr:rowOff>51120</xdr:rowOff>
    </xdr:to>
    <xdr:sp>
      <xdr:nvSpPr>
        <xdr:cNvPr id="84" name="Subcategory3"/>
        <xdr:cNvSpPr/>
      </xdr:nvSpPr>
      <xdr:spPr>
        <a:xfrm>
          <a:off x="11055240" y="1476360"/>
          <a:ext cx="685440" cy="365400"/>
        </a:xfrm>
        <a:prstGeom prst="rect">
          <a:avLst/>
        </a:prstGeom>
        <a:gradFill rotWithShape="0">
          <a:gsLst>
            <a:gs pos="0">
              <a:srgbClr val="a4c1ff"/>
            </a:gs>
            <a:gs pos="35000">
              <a:srgbClr val="bfd4fe"/>
            </a:gs>
            <a:gs pos="100000">
              <a:srgbClr val="e5efff"/>
            </a:gs>
          </a:gsLst>
          <a:lin ang="16200000"/>
        </a:gradFill>
        <a:ln w="9360">
          <a:solidFill>
            <a:srgbClr val="4a7ebb"/>
          </a:solidFill>
          <a:round/>
        </a:ln>
        <a:effectLst>
          <a:outerShdw dist="20160" dir="5400000" blurRad="39960" rotWithShape="0">
            <a:srgbClr val="000000">
              <a:alpha val="38000"/>
            </a:srgbClr>
          </a:outerShdw>
        </a:effectLst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b">
          <a:noAutofit/>
        </a:bodyPr>
        <a:p>
          <a:pPr algn="ctr">
            <a:lnSpc>
              <a:spcPct val="100000"/>
            </a:lnSpc>
          </a:pPr>
          <a:r>
            <a:rPr b="0" lang="en-US" sz="1100" strike="noStrike" u="none">
              <a:solidFill>
                <a:schemeClr val="dk1"/>
              </a:solidFill>
              <a:uFillTx/>
              <a:latin typeface="Calibri"/>
            </a:rPr>
            <a:t>Beer</a:t>
          </a:r>
          <a:endParaRPr b="0" lang="en-US" sz="11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20</xdr:col>
      <xdr:colOff>0</xdr:colOff>
      <xdr:row>3</xdr:row>
      <xdr:rowOff>142920</xdr:rowOff>
    </xdr:from>
    <xdr:to>
      <xdr:col>20</xdr:col>
      <xdr:colOff>685440</xdr:colOff>
      <xdr:row>5</xdr:row>
      <xdr:rowOff>51120</xdr:rowOff>
    </xdr:to>
    <xdr:sp>
      <xdr:nvSpPr>
        <xdr:cNvPr id="85" name="Subcategory4"/>
        <xdr:cNvSpPr/>
      </xdr:nvSpPr>
      <xdr:spPr>
        <a:xfrm>
          <a:off x="11880720" y="1476360"/>
          <a:ext cx="685440" cy="365400"/>
        </a:xfrm>
        <a:prstGeom prst="rect">
          <a:avLst/>
        </a:prstGeom>
        <a:gradFill rotWithShape="0">
          <a:gsLst>
            <a:gs pos="0">
              <a:srgbClr val="a4c1ff"/>
            </a:gs>
            <a:gs pos="35000">
              <a:srgbClr val="bfd4fe"/>
            </a:gs>
            <a:gs pos="100000">
              <a:srgbClr val="e5efff"/>
            </a:gs>
          </a:gsLst>
          <a:lin ang="16200000"/>
        </a:gradFill>
        <a:ln w="9360">
          <a:solidFill>
            <a:srgbClr val="4a7ebb"/>
          </a:solidFill>
          <a:round/>
        </a:ln>
        <a:effectLst>
          <a:outerShdw dist="20160" dir="5400000" blurRad="39960" rotWithShape="0">
            <a:srgbClr val="000000">
              <a:alpha val="38000"/>
            </a:srgbClr>
          </a:outerShdw>
        </a:effectLst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b">
          <a:noAutofit/>
        </a:bodyPr>
        <a:p>
          <a:pPr algn="ctr">
            <a:lnSpc>
              <a:spcPct val="100000"/>
            </a:lnSpc>
          </a:pPr>
          <a:r>
            <a:rPr b="0" lang="en-US" sz="1100" strike="noStrike" u="none">
              <a:solidFill>
                <a:schemeClr val="dk1"/>
              </a:solidFill>
              <a:uFillTx/>
              <a:latin typeface="Calibri"/>
            </a:rPr>
            <a:t>Spirits</a:t>
          </a:r>
          <a:endParaRPr b="0" lang="en-US" sz="11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21</xdr:col>
      <xdr:colOff>0</xdr:colOff>
      <xdr:row>3</xdr:row>
      <xdr:rowOff>142920</xdr:rowOff>
    </xdr:from>
    <xdr:to>
      <xdr:col>21</xdr:col>
      <xdr:colOff>685440</xdr:colOff>
      <xdr:row>5</xdr:row>
      <xdr:rowOff>51120</xdr:rowOff>
    </xdr:to>
    <xdr:sp>
      <xdr:nvSpPr>
        <xdr:cNvPr id="86" name="Subcategory5"/>
        <xdr:cNvSpPr/>
      </xdr:nvSpPr>
      <xdr:spPr>
        <a:xfrm>
          <a:off x="12706200" y="1476360"/>
          <a:ext cx="685440" cy="365400"/>
        </a:xfrm>
        <a:prstGeom prst="rect">
          <a:avLst/>
        </a:prstGeom>
        <a:gradFill rotWithShape="0">
          <a:gsLst>
            <a:gs pos="0">
              <a:srgbClr val="a4c1ff"/>
            </a:gs>
            <a:gs pos="35000">
              <a:srgbClr val="bfd4fe"/>
            </a:gs>
            <a:gs pos="100000">
              <a:srgbClr val="e5efff"/>
            </a:gs>
          </a:gsLst>
          <a:lin ang="16200000"/>
        </a:gradFill>
        <a:ln w="9360">
          <a:solidFill>
            <a:srgbClr val="4a7ebb"/>
          </a:solidFill>
          <a:round/>
        </a:ln>
        <a:effectLst>
          <a:outerShdw dist="20160" dir="5400000" blurRad="39960" rotWithShape="0">
            <a:srgbClr val="000000">
              <a:alpha val="38000"/>
            </a:srgbClr>
          </a:outerShdw>
        </a:effectLst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b">
          <a:noAutofit/>
        </a:bodyPr>
        <a:p>
          <a:pPr algn="ctr">
            <a:lnSpc>
              <a:spcPct val="100000"/>
            </a:lnSpc>
          </a:pPr>
          <a:r>
            <a:rPr b="0" lang="en-US" sz="1100" strike="noStrike" u="none">
              <a:solidFill>
                <a:schemeClr val="dk1"/>
              </a:solidFill>
              <a:uFillTx/>
              <a:latin typeface="Calibri"/>
            </a:rPr>
            <a:t>Energy Drink</a:t>
          </a:r>
          <a:endParaRPr b="0" lang="en-US" sz="11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22</xdr:col>
      <xdr:colOff>0</xdr:colOff>
      <xdr:row>3</xdr:row>
      <xdr:rowOff>142920</xdr:rowOff>
    </xdr:from>
    <xdr:to>
      <xdr:col>22</xdr:col>
      <xdr:colOff>685440</xdr:colOff>
      <xdr:row>5</xdr:row>
      <xdr:rowOff>51120</xdr:rowOff>
    </xdr:to>
    <xdr:sp>
      <xdr:nvSpPr>
        <xdr:cNvPr id="87" name="Subcategory6"/>
        <xdr:cNvSpPr/>
      </xdr:nvSpPr>
      <xdr:spPr>
        <a:xfrm>
          <a:off x="13531680" y="1476360"/>
          <a:ext cx="685440" cy="365400"/>
        </a:xfrm>
        <a:prstGeom prst="rect">
          <a:avLst/>
        </a:prstGeom>
        <a:gradFill rotWithShape="0">
          <a:gsLst>
            <a:gs pos="0">
              <a:srgbClr val="a4c1ff"/>
            </a:gs>
            <a:gs pos="35000">
              <a:srgbClr val="bfd4fe"/>
            </a:gs>
            <a:gs pos="100000">
              <a:srgbClr val="e5efff"/>
            </a:gs>
          </a:gsLst>
          <a:lin ang="16200000"/>
        </a:gradFill>
        <a:ln w="9360">
          <a:solidFill>
            <a:srgbClr val="4a7ebb"/>
          </a:solidFill>
          <a:round/>
        </a:ln>
        <a:effectLst>
          <a:outerShdw dist="20160" dir="5400000" blurRad="39960" rotWithShape="0">
            <a:srgbClr val="000000">
              <a:alpha val="38000"/>
            </a:srgbClr>
          </a:outerShdw>
        </a:effectLst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b">
          <a:noAutofit/>
        </a:bodyPr>
        <a:p>
          <a:pPr algn="ctr">
            <a:lnSpc>
              <a:spcPct val="100000"/>
            </a:lnSpc>
          </a:pPr>
          <a:r>
            <a:rPr b="0" lang="en-US" sz="1100" strike="noStrike" u="none">
              <a:solidFill>
                <a:schemeClr val="dk1"/>
              </a:solidFill>
              <a:uFillTx/>
              <a:latin typeface="Calibri"/>
            </a:rPr>
            <a:t>Drinking Water</a:t>
          </a:r>
          <a:endParaRPr b="0" lang="en-US" sz="11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17</xdr:col>
      <xdr:colOff>0</xdr:colOff>
      <xdr:row>5</xdr:row>
      <xdr:rowOff>152280</xdr:rowOff>
    </xdr:from>
    <xdr:to>
      <xdr:col>17</xdr:col>
      <xdr:colOff>685440</xdr:colOff>
      <xdr:row>7</xdr:row>
      <xdr:rowOff>60480</xdr:rowOff>
    </xdr:to>
    <xdr:sp>
      <xdr:nvSpPr>
        <xdr:cNvPr id="88" name="Subcategory7"/>
        <xdr:cNvSpPr/>
      </xdr:nvSpPr>
      <xdr:spPr>
        <a:xfrm>
          <a:off x="9404280" y="1942920"/>
          <a:ext cx="685440" cy="365400"/>
        </a:xfrm>
        <a:prstGeom prst="rect">
          <a:avLst/>
        </a:prstGeom>
        <a:gradFill rotWithShape="0">
          <a:gsLst>
            <a:gs pos="0">
              <a:srgbClr val="a4c1ff"/>
            </a:gs>
            <a:gs pos="35000">
              <a:srgbClr val="bfd4fe"/>
            </a:gs>
            <a:gs pos="100000">
              <a:srgbClr val="e5efff"/>
            </a:gs>
          </a:gsLst>
          <a:lin ang="16200000"/>
        </a:gradFill>
        <a:ln w="9360">
          <a:solidFill>
            <a:srgbClr val="4a7ebb"/>
          </a:solidFill>
          <a:round/>
        </a:ln>
        <a:effectLst>
          <a:outerShdw dist="20160" dir="5400000" blurRad="39960" rotWithShape="0">
            <a:srgbClr val="000000">
              <a:alpha val="38000"/>
            </a:srgbClr>
          </a:outerShdw>
        </a:effectLst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b">
          <a:noAutofit/>
        </a:bodyPr>
        <a:p>
          <a:pPr algn="ctr">
            <a:lnSpc>
              <a:spcPct val="100000"/>
            </a:lnSpc>
          </a:pPr>
          <a:r>
            <a:rPr b="0" lang="en-US" sz="1100" strike="noStrike" u="none">
              <a:solidFill>
                <a:schemeClr val="dk1"/>
              </a:solidFill>
              <a:uFillTx/>
              <a:latin typeface="Calibri"/>
            </a:rPr>
            <a:t>Juice</a:t>
          </a:r>
          <a:endParaRPr b="0" lang="en-US" sz="11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18</xdr:col>
      <xdr:colOff>0</xdr:colOff>
      <xdr:row>5</xdr:row>
      <xdr:rowOff>152280</xdr:rowOff>
    </xdr:from>
    <xdr:to>
      <xdr:col>18</xdr:col>
      <xdr:colOff>685440</xdr:colOff>
      <xdr:row>7</xdr:row>
      <xdr:rowOff>60480</xdr:rowOff>
    </xdr:to>
    <xdr:sp>
      <xdr:nvSpPr>
        <xdr:cNvPr id="89" name="Subcategory8"/>
        <xdr:cNvSpPr/>
      </xdr:nvSpPr>
      <xdr:spPr>
        <a:xfrm>
          <a:off x="10229760" y="1942920"/>
          <a:ext cx="685440" cy="365400"/>
        </a:xfrm>
        <a:prstGeom prst="rect">
          <a:avLst/>
        </a:prstGeom>
        <a:gradFill rotWithShape="0">
          <a:gsLst>
            <a:gs pos="0">
              <a:srgbClr val="a4c1ff"/>
            </a:gs>
            <a:gs pos="35000">
              <a:srgbClr val="bfd4fe"/>
            </a:gs>
            <a:gs pos="100000">
              <a:srgbClr val="e5efff"/>
            </a:gs>
          </a:gsLst>
          <a:lin ang="16200000"/>
        </a:gradFill>
        <a:ln w="9360">
          <a:solidFill>
            <a:srgbClr val="4a7ebb"/>
          </a:solidFill>
          <a:round/>
        </a:ln>
        <a:effectLst>
          <a:outerShdw dist="20160" dir="5400000" blurRad="39960" rotWithShape="0">
            <a:srgbClr val="000000">
              <a:alpha val="38000"/>
            </a:srgbClr>
          </a:outerShdw>
        </a:effectLst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b">
          <a:noAutofit/>
        </a:bodyPr>
        <a:p>
          <a:pPr algn="ctr">
            <a:lnSpc>
              <a:spcPct val="100000"/>
            </a:lnSpc>
          </a:pPr>
          <a:r>
            <a:rPr b="0" lang="en-US" sz="1100" strike="noStrike" u="none">
              <a:solidFill>
                <a:schemeClr val="dk1"/>
              </a:solidFill>
              <a:uFillTx/>
              <a:latin typeface="Calibri"/>
            </a:rPr>
            <a:t>Milk</a:t>
          </a:r>
          <a:endParaRPr b="0" lang="en-US" sz="11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19</xdr:col>
      <xdr:colOff>0</xdr:colOff>
      <xdr:row>5</xdr:row>
      <xdr:rowOff>152280</xdr:rowOff>
    </xdr:from>
    <xdr:to>
      <xdr:col>19</xdr:col>
      <xdr:colOff>685440</xdr:colOff>
      <xdr:row>7</xdr:row>
      <xdr:rowOff>60480</xdr:rowOff>
    </xdr:to>
    <xdr:sp>
      <xdr:nvSpPr>
        <xdr:cNvPr id="90" name="Subcategory9"/>
        <xdr:cNvSpPr/>
      </xdr:nvSpPr>
      <xdr:spPr>
        <a:xfrm>
          <a:off x="11055240" y="1942920"/>
          <a:ext cx="685440" cy="365400"/>
        </a:xfrm>
        <a:prstGeom prst="rect">
          <a:avLst/>
        </a:prstGeom>
        <a:gradFill rotWithShape="0">
          <a:gsLst>
            <a:gs pos="0">
              <a:srgbClr val="a4c1ff"/>
            </a:gs>
            <a:gs pos="35000">
              <a:srgbClr val="bfd4fe"/>
            </a:gs>
            <a:gs pos="100000">
              <a:srgbClr val="e5efff"/>
            </a:gs>
          </a:gsLst>
          <a:lin ang="16200000"/>
        </a:gradFill>
        <a:ln w="9360">
          <a:solidFill>
            <a:srgbClr val="4a7ebb"/>
          </a:solidFill>
          <a:round/>
        </a:ln>
        <a:effectLst>
          <a:outerShdw dist="20160" dir="5400000" blurRad="39960" rotWithShape="0">
            <a:srgbClr val="000000">
              <a:alpha val="38000"/>
            </a:srgbClr>
          </a:outerShdw>
        </a:effectLst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b">
          <a:noAutofit/>
        </a:bodyPr>
        <a:p>
          <a:pPr algn="ctr">
            <a:lnSpc>
              <a:spcPct val="100000"/>
            </a:lnSpc>
          </a:pPr>
          <a:r>
            <a:rPr b="0" lang="en-US" sz="1100" strike="noStrike" u="none">
              <a:solidFill>
                <a:schemeClr val="dk1"/>
              </a:solidFill>
              <a:uFillTx/>
              <a:latin typeface="Calibri"/>
            </a:rPr>
            <a:t>Cider</a:t>
          </a:r>
          <a:endParaRPr b="0" lang="en-US" sz="11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20</xdr:col>
      <xdr:colOff>0</xdr:colOff>
      <xdr:row>5</xdr:row>
      <xdr:rowOff>152280</xdr:rowOff>
    </xdr:from>
    <xdr:to>
      <xdr:col>20</xdr:col>
      <xdr:colOff>685440</xdr:colOff>
      <xdr:row>7</xdr:row>
      <xdr:rowOff>60480</xdr:rowOff>
    </xdr:to>
    <xdr:sp>
      <xdr:nvSpPr>
        <xdr:cNvPr id="91" name="Subcategory10"/>
        <xdr:cNvSpPr/>
      </xdr:nvSpPr>
      <xdr:spPr>
        <a:xfrm>
          <a:off x="11880720" y="1942920"/>
          <a:ext cx="685440" cy="365400"/>
        </a:xfrm>
        <a:prstGeom prst="rect">
          <a:avLst/>
        </a:prstGeom>
        <a:gradFill rotWithShape="0">
          <a:gsLst>
            <a:gs pos="0">
              <a:srgbClr val="a4c1ff"/>
            </a:gs>
            <a:gs pos="35000">
              <a:srgbClr val="bfd4fe"/>
            </a:gs>
            <a:gs pos="100000">
              <a:srgbClr val="e5efff"/>
            </a:gs>
          </a:gsLst>
          <a:lin ang="16200000"/>
        </a:gradFill>
        <a:ln w="9360">
          <a:solidFill>
            <a:srgbClr val="4a7ebb"/>
          </a:solidFill>
          <a:round/>
        </a:ln>
        <a:effectLst>
          <a:outerShdw dist="20160" dir="5400000" blurRad="39960" rotWithShape="0">
            <a:srgbClr val="000000">
              <a:alpha val="38000"/>
            </a:srgbClr>
          </a:outerShdw>
        </a:effectLst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b">
          <a:noAutofit/>
        </a:bodyPr>
        <a:p>
          <a:pPr algn="ctr">
            <a:lnSpc>
              <a:spcPct val="100000"/>
            </a:lnSpc>
          </a:pPr>
          <a:r>
            <a:rPr b="0" lang="en-US" sz="1100" strike="noStrike" u="none">
              <a:solidFill>
                <a:schemeClr val="dk1"/>
              </a:solidFill>
              <a:uFillTx/>
              <a:latin typeface="Calibri"/>
            </a:rPr>
            <a:t>Cocktails</a:t>
          </a:r>
          <a:endParaRPr b="0" lang="en-US" sz="11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21</xdr:col>
      <xdr:colOff>0</xdr:colOff>
      <xdr:row>5</xdr:row>
      <xdr:rowOff>152280</xdr:rowOff>
    </xdr:from>
    <xdr:to>
      <xdr:col>21</xdr:col>
      <xdr:colOff>685440</xdr:colOff>
      <xdr:row>7</xdr:row>
      <xdr:rowOff>60480</xdr:rowOff>
    </xdr:to>
    <xdr:sp>
      <xdr:nvSpPr>
        <xdr:cNvPr id="92" name="Subcategory11"/>
        <xdr:cNvSpPr/>
      </xdr:nvSpPr>
      <xdr:spPr>
        <a:xfrm>
          <a:off x="12706200" y="1942920"/>
          <a:ext cx="685440" cy="365400"/>
        </a:xfrm>
        <a:prstGeom prst="rect">
          <a:avLst/>
        </a:prstGeom>
        <a:gradFill rotWithShape="0">
          <a:gsLst>
            <a:gs pos="0">
              <a:srgbClr val="a4c1ff"/>
            </a:gs>
            <a:gs pos="35000">
              <a:srgbClr val="bfd4fe"/>
            </a:gs>
            <a:gs pos="100000">
              <a:srgbClr val="e5efff"/>
            </a:gs>
          </a:gsLst>
          <a:lin ang="16200000"/>
        </a:gradFill>
        <a:ln w="9360">
          <a:solidFill>
            <a:srgbClr val="4a7ebb"/>
          </a:solidFill>
          <a:round/>
        </a:ln>
        <a:effectLst>
          <a:outerShdw dist="20160" dir="5400000" blurRad="39960" rotWithShape="0">
            <a:srgbClr val="000000">
              <a:alpha val="38000"/>
            </a:srgbClr>
          </a:outerShdw>
        </a:effectLst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b">
          <a:noAutofit/>
        </a:bodyPr>
        <a:p>
          <a:pPr algn="ctr">
            <a:lnSpc>
              <a:spcPct val="100000"/>
            </a:lnSpc>
          </a:pPr>
          <a:r>
            <a:rPr b="0" lang="en-US" sz="1100" strike="noStrike" u="none">
              <a:solidFill>
                <a:schemeClr val="dk1"/>
              </a:solidFill>
              <a:uFillTx/>
              <a:latin typeface="Calibri"/>
            </a:rPr>
            <a:t>Tea</a:t>
          </a:r>
          <a:endParaRPr b="0" lang="en-US" sz="11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22</xdr:col>
      <xdr:colOff>0</xdr:colOff>
      <xdr:row>5</xdr:row>
      <xdr:rowOff>152280</xdr:rowOff>
    </xdr:from>
    <xdr:to>
      <xdr:col>22</xdr:col>
      <xdr:colOff>685440</xdr:colOff>
      <xdr:row>7</xdr:row>
      <xdr:rowOff>60480</xdr:rowOff>
    </xdr:to>
    <xdr:sp>
      <xdr:nvSpPr>
        <xdr:cNvPr id="93" name="Subcategory12"/>
        <xdr:cNvSpPr/>
      </xdr:nvSpPr>
      <xdr:spPr>
        <a:xfrm>
          <a:off x="13531680" y="1942920"/>
          <a:ext cx="685440" cy="365400"/>
        </a:xfrm>
        <a:prstGeom prst="rect">
          <a:avLst/>
        </a:prstGeom>
        <a:gradFill rotWithShape="0">
          <a:gsLst>
            <a:gs pos="0">
              <a:srgbClr val="a4c1ff"/>
            </a:gs>
            <a:gs pos="35000">
              <a:srgbClr val="bfd4fe"/>
            </a:gs>
            <a:gs pos="100000">
              <a:srgbClr val="e5efff"/>
            </a:gs>
          </a:gsLst>
          <a:lin ang="16200000"/>
        </a:gradFill>
        <a:ln w="9360">
          <a:solidFill>
            <a:srgbClr val="4a7ebb"/>
          </a:solidFill>
          <a:round/>
        </a:ln>
        <a:effectLst>
          <a:outerShdw dist="20160" dir="5400000" blurRad="39960" rotWithShape="0">
            <a:srgbClr val="000000">
              <a:alpha val="38000"/>
            </a:srgbClr>
          </a:outerShdw>
        </a:effectLst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b">
          <a:noAutofit/>
        </a:bodyPr>
        <a:p>
          <a:pPr algn="ctr">
            <a:lnSpc>
              <a:spcPct val="100000"/>
            </a:lnSpc>
          </a:pPr>
          <a:r>
            <a:rPr b="0" lang="en-US" sz="1100" strike="noStrike" u="none">
              <a:solidFill>
                <a:schemeClr val="dk1"/>
              </a:solidFill>
              <a:uFillTx/>
              <a:latin typeface="Calibri"/>
            </a:rPr>
            <a:t>Coffee</a:t>
          </a:r>
          <a:endParaRPr b="0" lang="en-US" sz="11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17</xdr:col>
      <xdr:colOff>0</xdr:colOff>
      <xdr:row>8</xdr:row>
      <xdr:rowOff>0</xdr:rowOff>
    </xdr:from>
    <xdr:to>
      <xdr:col>17</xdr:col>
      <xdr:colOff>685440</xdr:colOff>
      <xdr:row>9</xdr:row>
      <xdr:rowOff>136800</xdr:rowOff>
    </xdr:to>
    <xdr:sp>
      <xdr:nvSpPr>
        <xdr:cNvPr id="94" name="Product3"/>
        <xdr:cNvSpPr/>
      </xdr:nvSpPr>
      <xdr:spPr>
        <a:xfrm>
          <a:off x="9404280" y="2476440"/>
          <a:ext cx="685440" cy="365400"/>
        </a:xfrm>
        <a:prstGeom prst="rect">
          <a:avLst/>
        </a:prstGeom>
        <a:gradFill rotWithShape="0">
          <a:gsLst>
            <a:gs pos="0">
              <a:srgbClr val="dce6f2"/>
            </a:gs>
            <a:gs pos="100000">
              <a:srgbClr val="ffffff"/>
            </a:gs>
          </a:gsLst>
          <a:lin ang="16200000"/>
        </a:gradFill>
        <a:ln w="9360">
          <a:solidFill>
            <a:srgbClr val="4a7ebb"/>
          </a:solidFill>
          <a:round/>
        </a:ln>
        <a:effectLst>
          <a:outerShdw dist="20160" dir="5400000" blurRad="39960" rotWithShape="0">
            <a:srgbClr val="000000">
              <a:alpha val="38000"/>
            </a:srgbClr>
          </a:outerShdw>
        </a:effectLst>
      </xdr:spPr>
      <xdr:style>
        <a:lnRef idx="0"/>
        <a:fillRef idx="0"/>
        <a:effectRef idx="0"/>
        <a:fontRef idx="minor"/>
      </xdr:style>
      <xdr:txBody>
        <a:bodyPr vertOverflow="clip" lIns="0" rIns="0" tIns="0" bIns="18360" anchor="b">
          <a:noAutofit/>
        </a:bodyPr>
        <a:p>
          <a:pPr algn="ctr">
            <a:lnSpc>
              <a:spcPct val="100000"/>
            </a:lnSpc>
          </a:pPr>
          <a:r>
            <a:rPr b="0" lang="fa-IR" sz="1100" strike="noStrike" u="none">
              <a:solidFill>
                <a:schemeClr val="accent1">
                  <a:lumMod val="50000"/>
                </a:schemeClr>
              </a:solidFill>
              <a:uFillTx/>
              <a:latin typeface="Calibri"/>
              <a:cs typeface="Calibri"/>
            </a:rPr>
            <a:t>اسپری برف شادی نور آرا</a:t>
          </a:r>
          <a:endParaRPr b="0" lang="en-US" sz="11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18</xdr:col>
      <xdr:colOff>0</xdr:colOff>
      <xdr:row>8</xdr:row>
      <xdr:rowOff>0</xdr:rowOff>
    </xdr:from>
    <xdr:to>
      <xdr:col>18</xdr:col>
      <xdr:colOff>685440</xdr:colOff>
      <xdr:row>9</xdr:row>
      <xdr:rowOff>136800</xdr:rowOff>
    </xdr:to>
    <xdr:sp>
      <xdr:nvSpPr>
        <xdr:cNvPr id="95" name="Product4"/>
        <xdr:cNvSpPr/>
      </xdr:nvSpPr>
      <xdr:spPr>
        <a:xfrm>
          <a:off x="10229760" y="2476440"/>
          <a:ext cx="685440" cy="365400"/>
        </a:xfrm>
        <a:prstGeom prst="rect">
          <a:avLst/>
        </a:prstGeom>
        <a:gradFill rotWithShape="0">
          <a:gsLst>
            <a:gs pos="0">
              <a:srgbClr val="dce6f2"/>
            </a:gs>
            <a:gs pos="100000">
              <a:srgbClr val="ffffff"/>
            </a:gs>
          </a:gsLst>
          <a:lin ang="16200000"/>
        </a:gradFill>
        <a:ln w="9360">
          <a:solidFill>
            <a:srgbClr val="4a7ebb"/>
          </a:solidFill>
          <a:round/>
        </a:ln>
        <a:effectLst>
          <a:outerShdw dist="20160" dir="5400000" blurRad="39960" rotWithShape="0">
            <a:srgbClr val="000000">
              <a:alpha val="38000"/>
            </a:srgbClr>
          </a:outerShdw>
        </a:effectLst>
      </xdr:spPr>
      <xdr:style>
        <a:lnRef idx="0"/>
        <a:fillRef idx="0"/>
        <a:effectRef idx="0"/>
        <a:fontRef idx="minor"/>
      </xdr:style>
      <xdr:txBody>
        <a:bodyPr vertOverflow="clip" lIns="0" rIns="0" tIns="0" bIns="18360" anchor="b">
          <a:noAutofit/>
        </a:bodyPr>
        <a:p>
          <a:pPr algn="ctr">
            <a:lnSpc>
              <a:spcPct val="100000"/>
            </a:lnSpc>
          </a:pPr>
          <a:r>
            <a:rPr b="0" lang="fa-IR" sz="1100" strike="noStrike" u="none">
              <a:solidFill>
                <a:schemeClr val="accent1">
                  <a:lumMod val="50000"/>
                </a:schemeClr>
              </a:solidFill>
              <a:uFillTx/>
              <a:latin typeface="Calibri"/>
              <a:cs typeface="Calibri"/>
            </a:rPr>
            <a:t>اسفند کیلویی</a:t>
          </a:r>
          <a:endParaRPr b="0" lang="en-US" sz="11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19</xdr:col>
      <xdr:colOff>0</xdr:colOff>
      <xdr:row>8</xdr:row>
      <xdr:rowOff>0</xdr:rowOff>
    </xdr:from>
    <xdr:to>
      <xdr:col>19</xdr:col>
      <xdr:colOff>685440</xdr:colOff>
      <xdr:row>9</xdr:row>
      <xdr:rowOff>136800</xdr:rowOff>
    </xdr:to>
    <xdr:sp>
      <xdr:nvSpPr>
        <xdr:cNvPr id="96" name="Product5"/>
        <xdr:cNvSpPr/>
      </xdr:nvSpPr>
      <xdr:spPr>
        <a:xfrm>
          <a:off x="11055240" y="2476440"/>
          <a:ext cx="685440" cy="365400"/>
        </a:xfrm>
        <a:prstGeom prst="rect">
          <a:avLst/>
        </a:prstGeom>
        <a:gradFill rotWithShape="0">
          <a:gsLst>
            <a:gs pos="0">
              <a:srgbClr val="dce6f2"/>
            </a:gs>
            <a:gs pos="100000">
              <a:srgbClr val="ffffff"/>
            </a:gs>
          </a:gsLst>
          <a:lin ang="16200000"/>
        </a:gradFill>
        <a:ln w="9360">
          <a:solidFill>
            <a:srgbClr val="4a7ebb"/>
          </a:solidFill>
          <a:round/>
        </a:ln>
        <a:effectLst>
          <a:outerShdw dist="20160" dir="5400000" blurRad="39960" rotWithShape="0">
            <a:srgbClr val="000000">
              <a:alpha val="38000"/>
            </a:srgbClr>
          </a:outerShdw>
        </a:effectLst>
      </xdr:spPr>
      <xdr:style>
        <a:lnRef idx="0"/>
        <a:fillRef idx="0"/>
        <a:effectRef idx="0"/>
        <a:fontRef idx="minor"/>
      </xdr:style>
      <xdr:txBody>
        <a:bodyPr vertOverflow="clip" lIns="0" rIns="0" tIns="0" bIns="18360" anchor="b">
          <a:noAutofit/>
        </a:bodyPr>
        <a:p>
          <a:pPr algn="ctr">
            <a:lnSpc>
              <a:spcPct val="100000"/>
            </a:lnSpc>
          </a:pPr>
          <a:r>
            <a:rPr b="0" lang="fa-IR" sz="1100" strike="noStrike" u="none">
              <a:solidFill>
                <a:schemeClr val="accent1">
                  <a:lumMod val="50000"/>
                </a:schemeClr>
              </a:solidFill>
              <a:uFillTx/>
              <a:latin typeface="Calibri"/>
              <a:cs typeface="Calibri"/>
            </a:rPr>
            <a:t>آبلیمو دلیل</a:t>
          </a:r>
          <a:endParaRPr b="0" lang="en-US" sz="11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20</xdr:col>
      <xdr:colOff>0</xdr:colOff>
      <xdr:row>8</xdr:row>
      <xdr:rowOff>0</xdr:rowOff>
    </xdr:from>
    <xdr:to>
      <xdr:col>20</xdr:col>
      <xdr:colOff>685440</xdr:colOff>
      <xdr:row>9</xdr:row>
      <xdr:rowOff>136800</xdr:rowOff>
    </xdr:to>
    <xdr:sp>
      <xdr:nvSpPr>
        <xdr:cNvPr id="97" name="Product6"/>
        <xdr:cNvSpPr/>
      </xdr:nvSpPr>
      <xdr:spPr>
        <a:xfrm>
          <a:off x="11880720" y="2476440"/>
          <a:ext cx="685440" cy="365400"/>
        </a:xfrm>
        <a:prstGeom prst="rect">
          <a:avLst/>
        </a:prstGeom>
        <a:gradFill rotWithShape="0">
          <a:gsLst>
            <a:gs pos="0">
              <a:srgbClr val="dce6f2"/>
            </a:gs>
            <a:gs pos="100000">
              <a:srgbClr val="ffffff"/>
            </a:gs>
          </a:gsLst>
          <a:lin ang="16200000"/>
        </a:gradFill>
        <a:ln w="9360">
          <a:solidFill>
            <a:srgbClr val="4a7ebb"/>
          </a:solidFill>
          <a:round/>
        </a:ln>
        <a:effectLst>
          <a:outerShdw dist="20160" dir="5400000" blurRad="39960" rotWithShape="0">
            <a:srgbClr val="000000">
              <a:alpha val="38000"/>
            </a:srgbClr>
          </a:outerShdw>
        </a:effectLst>
      </xdr:spPr>
      <xdr:style>
        <a:lnRef idx="0"/>
        <a:fillRef idx="0"/>
        <a:effectRef idx="0"/>
        <a:fontRef idx="minor"/>
      </xdr:style>
      <xdr:txBody>
        <a:bodyPr vertOverflow="clip" lIns="0" rIns="0" tIns="0" bIns="18360" anchor="b">
          <a:noAutofit/>
        </a:bodyPr>
        <a:p>
          <a:pPr algn="ctr">
            <a:lnSpc>
              <a:spcPct val="100000"/>
            </a:lnSpc>
          </a:pPr>
          <a:r>
            <a:rPr b="0" lang="fa-IR" sz="1100" strike="noStrike" u="none">
              <a:solidFill>
                <a:schemeClr val="accent1">
                  <a:lumMod val="50000"/>
                </a:schemeClr>
              </a:solidFill>
              <a:uFillTx/>
              <a:latin typeface="Calibri"/>
              <a:cs typeface="Calibri"/>
            </a:rPr>
            <a:t>آبلیمو دلیل</a:t>
          </a:r>
          <a:endParaRPr b="0" lang="en-US" sz="11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21</xdr:col>
      <xdr:colOff>0</xdr:colOff>
      <xdr:row>8</xdr:row>
      <xdr:rowOff>0</xdr:rowOff>
    </xdr:from>
    <xdr:to>
      <xdr:col>21</xdr:col>
      <xdr:colOff>685440</xdr:colOff>
      <xdr:row>9</xdr:row>
      <xdr:rowOff>136800</xdr:rowOff>
    </xdr:to>
    <xdr:sp>
      <xdr:nvSpPr>
        <xdr:cNvPr id="98" name="Product7"/>
        <xdr:cNvSpPr/>
      </xdr:nvSpPr>
      <xdr:spPr>
        <a:xfrm>
          <a:off x="12706200" y="2476440"/>
          <a:ext cx="685440" cy="365400"/>
        </a:xfrm>
        <a:prstGeom prst="rect">
          <a:avLst/>
        </a:prstGeom>
        <a:gradFill rotWithShape="0">
          <a:gsLst>
            <a:gs pos="0">
              <a:srgbClr val="dce6f2"/>
            </a:gs>
            <a:gs pos="100000">
              <a:srgbClr val="ffffff"/>
            </a:gs>
          </a:gsLst>
          <a:lin ang="16200000"/>
        </a:gradFill>
        <a:ln w="9360">
          <a:solidFill>
            <a:srgbClr val="4a7ebb"/>
          </a:solidFill>
          <a:round/>
        </a:ln>
        <a:effectLst>
          <a:outerShdw dist="20160" dir="5400000" blurRad="39960" rotWithShape="0">
            <a:srgbClr val="000000">
              <a:alpha val="38000"/>
            </a:srgbClr>
          </a:outerShdw>
        </a:effectLst>
      </xdr:spPr>
      <xdr:style>
        <a:lnRef idx="0"/>
        <a:fillRef idx="0"/>
        <a:effectRef idx="0"/>
        <a:fontRef idx="minor"/>
      </xdr:style>
      <xdr:txBody>
        <a:bodyPr vertOverflow="clip" lIns="0" rIns="0" tIns="0" bIns="18360" anchor="b">
          <a:noAutofit/>
        </a:bodyPr>
        <a:p>
          <a:pPr algn="ctr">
            <a:lnSpc>
              <a:spcPct val="100000"/>
            </a:lnSpc>
          </a:pPr>
          <a:r>
            <a:rPr b="0" lang="fa-IR" sz="1100" strike="noStrike" u="none">
              <a:solidFill>
                <a:schemeClr val="accent1">
                  <a:lumMod val="50000"/>
                </a:schemeClr>
              </a:solidFill>
              <a:uFillTx/>
              <a:latin typeface="Calibri"/>
              <a:cs typeface="Calibri"/>
            </a:rPr>
            <a:t>بستنی کیم دومینو</a:t>
          </a:r>
          <a:endParaRPr b="0" lang="en-US" sz="11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22</xdr:col>
      <xdr:colOff>0</xdr:colOff>
      <xdr:row>8</xdr:row>
      <xdr:rowOff>0</xdr:rowOff>
    </xdr:from>
    <xdr:to>
      <xdr:col>22</xdr:col>
      <xdr:colOff>685440</xdr:colOff>
      <xdr:row>9</xdr:row>
      <xdr:rowOff>136800</xdr:rowOff>
    </xdr:to>
    <xdr:sp>
      <xdr:nvSpPr>
        <xdr:cNvPr id="99" name="Product8"/>
        <xdr:cNvSpPr/>
      </xdr:nvSpPr>
      <xdr:spPr>
        <a:xfrm>
          <a:off x="13531680" y="2476440"/>
          <a:ext cx="685440" cy="365400"/>
        </a:xfrm>
        <a:prstGeom prst="rect">
          <a:avLst/>
        </a:prstGeom>
        <a:gradFill rotWithShape="0">
          <a:gsLst>
            <a:gs pos="0">
              <a:srgbClr val="dce6f2"/>
            </a:gs>
            <a:gs pos="100000">
              <a:srgbClr val="ffffff"/>
            </a:gs>
          </a:gsLst>
          <a:lin ang="16200000"/>
        </a:gradFill>
        <a:ln w="9360">
          <a:solidFill>
            <a:srgbClr val="4a7ebb"/>
          </a:solidFill>
          <a:round/>
        </a:ln>
        <a:effectLst>
          <a:outerShdw dist="20160" dir="5400000" blurRad="39960" rotWithShape="0">
            <a:srgbClr val="000000">
              <a:alpha val="38000"/>
            </a:srgbClr>
          </a:outerShdw>
        </a:effectLst>
      </xdr:spPr>
      <xdr:style>
        <a:lnRef idx="0"/>
        <a:fillRef idx="0"/>
        <a:effectRef idx="0"/>
        <a:fontRef idx="minor"/>
      </xdr:style>
      <xdr:txBody>
        <a:bodyPr vertOverflow="clip" lIns="0" rIns="0" tIns="0" bIns="18360" anchor="b">
          <a:noAutofit/>
        </a:bodyPr>
        <a:p>
          <a:pPr algn="ctr">
            <a:lnSpc>
              <a:spcPct val="100000"/>
            </a:lnSpc>
          </a:pPr>
          <a:r>
            <a:rPr b="0" lang="fa-IR" sz="1100" strike="noStrike" u="none">
              <a:solidFill>
                <a:schemeClr val="accent1">
                  <a:lumMod val="50000"/>
                </a:schemeClr>
              </a:solidFill>
              <a:uFillTx/>
              <a:latin typeface="Calibri"/>
              <a:cs typeface="Calibri"/>
            </a:rPr>
            <a:t>بستنی زمستانی</a:t>
          </a:r>
          <a:r>
            <a:rPr b="0" lang="en-US" sz="1100" strike="noStrike" u="none">
              <a:solidFill>
                <a:schemeClr val="accent1">
                  <a:lumMod val="50000"/>
                </a:schemeClr>
              </a:solidFill>
              <a:uFillTx/>
              <a:latin typeface="Calibri"/>
            </a:rPr>
            <a:t> </a:t>
          </a:r>
          <a:r>
            <a:rPr b="0" lang="en-US" sz="1100" strike="noStrike" u="none">
              <a:solidFill>
                <a:schemeClr val="accent1">
                  <a:lumMod val="50000"/>
                </a:schemeClr>
              </a:solidFill>
              <a:uFillTx/>
              <a:latin typeface="Calibri"/>
            </a:rPr>
            <a:t>Ronak</a:t>
          </a:r>
          <a:endParaRPr b="0" lang="en-US" sz="1100" strike="noStrike" u="none">
            <a:uFillTx/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43"/>
  <sheetViews>
    <sheetView showFormulas="false" showGridLines="true" showRowColHeaders="false" showZeros="true" rightToLeft="false" tabSelected="false" showOutlineSymbols="true" defaultGridColor="true" view="normal" topLeftCell="D1" colorId="64" zoomScale="100" zoomScaleNormal="100" zoomScalePageLayoutView="100" workbookViewId="0">
      <selection pane="topLeft" activeCell="D4" activeCellId="0" sqref="D4"/>
    </sheetView>
  </sheetViews>
  <sheetFormatPr defaultColWidth="8.6796875" defaultRowHeight="12.8" zeroHeight="false" outlineLevelRow="0" outlineLevelCol="0"/>
  <cols>
    <col collapsed="false" customWidth="true" hidden="false" outlineLevel="0" max="3" min="3" style="0" width="13.57"/>
    <col collapsed="false" customWidth="true" hidden="false" outlineLevel="0" max="4" min="4" style="0" width="20.14"/>
    <col collapsed="false" customWidth="true" hidden="false" outlineLevel="0" max="5" min="5" style="0" width="16"/>
    <col collapsed="false" customWidth="true" hidden="false" outlineLevel="0" max="6" min="6" style="0" width="16.14"/>
    <col collapsed="false" customWidth="true" hidden="false" outlineLevel="0" max="7" min="7" style="0" width="16.85"/>
    <col collapsed="false" customWidth="true" hidden="false" outlineLevel="0" max="8" min="8" style="0" width="15.14"/>
    <col collapsed="false" customWidth="true" hidden="false" outlineLevel="0" max="9" min="9" style="0" width="18.57"/>
    <col collapsed="false" customWidth="true" hidden="false" outlineLevel="0" max="11" min="11" style="0" width="15.14"/>
    <col collapsed="false" customWidth="true" hidden="false" outlineLevel="0" max="12" min="12" style="0" width="9.14"/>
    <col collapsed="false" customWidth="true" hidden="false" outlineLevel="0" max="13" min="13" style="0" width="43.86"/>
    <col collapsed="false" customWidth="true" hidden="false" outlineLevel="0" max="15" min="15" style="0" width="35.57"/>
  </cols>
  <sheetData>
    <row r="1" customFormat="false" ht="39" hidden="false" customHeight="true" outlineLevel="0" collapsed="false">
      <c r="A1" s="1"/>
      <c r="B1" s="1"/>
      <c r="C1" s="2" t="s">
        <v>0</v>
      </c>
      <c r="D1" s="2"/>
      <c r="E1" s="2"/>
      <c r="F1" s="2"/>
      <c r="G1" s="2"/>
      <c r="H1" s="2"/>
      <c r="I1" s="2"/>
      <c r="J1" s="2"/>
      <c r="K1" s="2"/>
      <c r="L1" s="2"/>
      <c r="M1" s="2"/>
      <c r="N1" s="1"/>
      <c r="O1" s="1"/>
    </row>
    <row r="2" customFormat="false" ht="13.8" hidden="false" customHeight="false" outlineLevel="0" collapsed="false">
      <c r="A2" s="3"/>
      <c r="B2" s="3"/>
      <c r="C2" s="4" t="s">
        <v>1</v>
      </c>
      <c r="D2" s="4"/>
      <c r="E2" s="4"/>
      <c r="F2" s="4"/>
      <c r="G2" s="4"/>
      <c r="H2" s="4"/>
      <c r="I2" s="4"/>
      <c r="J2" s="3"/>
      <c r="K2" s="5" t="s">
        <v>2</v>
      </c>
      <c r="L2" s="5"/>
      <c r="M2" s="5"/>
      <c r="N2" s="3"/>
      <c r="O2" s="3"/>
    </row>
    <row r="3" customFormat="false" ht="13.8" hidden="false" customHeight="false" outlineLevel="0" collapsed="false">
      <c r="A3" s="6"/>
      <c r="B3" s="6"/>
      <c r="C3" s="7" t="s">
        <v>3</v>
      </c>
      <c r="D3" s="8" t="s">
        <v>4</v>
      </c>
      <c r="E3" s="8" t="s">
        <v>5</v>
      </c>
      <c r="F3" s="8" t="s">
        <v>6</v>
      </c>
      <c r="G3" s="8" t="s">
        <v>7</v>
      </c>
      <c r="H3" s="8" t="s">
        <v>8</v>
      </c>
      <c r="I3" s="8" t="s">
        <v>9</v>
      </c>
      <c r="J3" s="6"/>
      <c r="K3" s="9" t="s">
        <v>10</v>
      </c>
      <c r="L3" s="10" t="s">
        <v>11</v>
      </c>
      <c r="M3" s="11"/>
      <c r="N3" s="6"/>
      <c r="O3" s="6"/>
    </row>
    <row r="4" customFormat="false" ht="13.8" hidden="false" customHeight="false" outlineLevel="0" collapsed="false">
      <c r="A4" s="6"/>
      <c r="B4" s="6"/>
      <c r="C4" s="7" t="s">
        <v>12</v>
      </c>
      <c r="D4" s="12" t="s">
        <v>13</v>
      </c>
      <c r="E4" s="12" t="s">
        <v>14</v>
      </c>
      <c r="F4" s="12" t="s">
        <v>15</v>
      </c>
      <c r="G4" s="12" t="s">
        <v>16</v>
      </c>
      <c r="H4" s="12" t="s">
        <v>17</v>
      </c>
      <c r="I4" s="12" t="s">
        <v>18</v>
      </c>
      <c r="J4" s="6"/>
      <c r="K4" s="9" t="s">
        <v>19</v>
      </c>
      <c r="L4" s="13" t="n">
        <v>0</v>
      </c>
      <c r="M4" s="11"/>
      <c r="N4" s="6"/>
      <c r="O4" s="6"/>
    </row>
    <row r="5" customFormat="false" ht="13.8" hidden="false" customHeight="false" outlineLevel="0" collapsed="false">
      <c r="A5" s="6"/>
      <c r="B5" s="6"/>
      <c r="C5" s="14" t="s">
        <v>20</v>
      </c>
      <c r="D5" s="15" t="s">
        <v>21</v>
      </c>
      <c r="E5" s="15" t="s">
        <v>22</v>
      </c>
      <c r="F5" s="16" t="s">
        <v>23</v>
      </c>
      <c r="G5" s="16" t="s">
        <v>24</v>
      </c>
      <c r="H5" s="16" t="s">
        <v>25</v>
      </c>
      <c r="I5" s="16" t="s">
        <v>26</v>
      </c>
      <c r="J5" s="6"/>
      <c r="K5" s="17" t="s">
        <v>27</v>
      </c>
      <c r="L5" s="10" t="s">
        <v>28</v>
      </c>
      <c r="M5" s="10"/>
      <c r="N5" s="6"/>
      <c r="O5" s="6"/>
    </row>
    <row r="6" customFormat="false" ht="13.8" hidden="false" customHeight="false" outlineLevel="0" collapsed="false">
      <c r="A6" s="6"/>
      <c r="B6" s="6"/>
      <c r="C6" s="14"/>
      <c r="D6" s="15" t="s">
        <v>29</v>
      </c>
      <c r="E6" s="15" t="s">
        <v>30</v>
      </c>
      <c r="F6" s="16" t="s">
        <v>31</v>
      </c>
      <c r="G6" s="16" t="s">
        <v>32</v>
      </c>
      <c r="H6" s="16" t="s">
        <v>33</v>
      </c>
      <c r="I6" s="16" t="s">
        <v>34</v>
      </c>
      <c r="J6" s="6"/>
      <c r="K6" s="18" t="s">
        <v>35</v>
      </c>
      <c r="L6" s="19" t="s">
        <v>36</v>
      </c>
      <c r="M6" s="19"/>
      <c r="N6" s="6"/>
      <c r="O6" s="6"/>
    </row>
    <row r="7" customFormat="false" ht="13.8" hidden="false" customHeight="false" outlineLevel="0" collapsed="false">
      <c r="A7" s="6"/>
      <c r="B7" s="6"/>
      <c r="C7" s="14"/>
      <c r="D7" s="15" t="s">
        <v>37</v>
      </c>
      <c r="E7" s="15" t="s">
        <v>38</v>
      </c>
      <c r="F7" s="16" t="s">
        <v>39</v>
      </c>
      <c r="G7" s="16" t="s">
        <v>40</v>
      </c>
      <c r="H7" s="16" t="s">
        <v>41</v>
      </c>
      <c r="I7" s="16" t="s">
        <v>42</v>
      </c>
      <c r="J7" s="6"/>
      <c r="K7" s="16" t="s">
        <v>43</v>
      </c>
      <c r="L7" s="20" t="s">
        <v>44</v>
      </c>
      <c r="M7" s="20" t="s">
        <v>45</v>
      </c>
      <c r="N7" s="6"/>
      <c r="O7" s="6"/>
    </row>
    <row r="8" customFormat="false" ht="13.8" hidden="false" customHeight="false" outlineLevel="0" collapsed="false">
      <c r="A8" s="6"/>
      <c r="B8" s="6"/>
      <c r="C8" s="14"/>
      <c r="D8" s="15"/>
      <c r="E8" s="15" t="s">
        <v>46</v>
      </c>
      <c r="F8" s="16" t="s">
        <v>47</v>
      </c>
      <c r="G8" s="16" t="s">
        <v>48</v>
      </c>
      <c r="H8" s="16" t="s">
        <v>39</v>
      </c>
      <c r="I8" s="16" t="s">
        <v>49</v>
      </c>
      <c r="J8" s="6"/>
      <c r="K8" s="16" t="s">
        <v>50</v>
      </c>
      <c r="L8" s="16" t="s">
        <v>51</v>
      </c>
      <c r="M8" s="16" t="s">
        <v>52</v>
      </c>
      <c r="N8" s="6"/>
      <c r="O8" s="6"/>
    </row>
    <row r="9" customFormat="false" ht="13.8" hidden="false" customHeight="false" outlineLevel="0" collapsed="false">
      <c r="A9" s="6"/>
      <c r="B9" s="6"/>
      <c r="C9" s="14"/>
      <c r="D9" s="15"/>
      <c r="E9" s="15" t="s">
        <v>53</v>
      </c>
      <c r="F9" s="16" t="s">
        <v>54</v>
      </c>
      <c r="G9" s="16" t="s">
        <v>55</v>
      </c>
      <c r="H9" s="16" t="s">
        <v>31</v>
      </c>
      <c r="I9" s="16" t="s">
        <v>56</v>
      </c>
      <c r="J9" s="6"/>
      <c r="K9" s="16" t="s">
        <v>57</v>
      </c>
      <c r="L9" s="16" t="s">
        <v>58</v>
      </c>
      <c r="M9" s="16" t="s">
        <v>59</v>
      </c>
      <c r="N9" s="6"/>
      <c r="O9" s="6"/>
    </row>
    <row r="10" customFormat="false" ht="13.8" hidden="false" customHeight="false" outlineLevel="0" collapsed="false">
      <c r="A10" s="6"/>
      <c r="B10" s="6"/>
      <c r="C10" s="14"/>
      <c r="D10" s="15"/>
      <c r="E10" s="15" t="s">
        <v>60</v>
      </c>
      <c r="F10" s="16" t="s">
        <v>61</v>
      </c>
      <c r="G10" s="16" t="s">
        <v>62</v>
      </c>
      <c r="H10" s="16" t="s">
        <v>63</v>
      </c>
      <c r="I10" s="16" t="s">
        <v>64</v>
      </c>
      <c r="J10" s="6"/>
      <c r="K10" s="16" t="s">
        <v>65</v>
      </c>
      <c r="L10" s="16" t="s">
        <v>66</v>
      </c>
      <c r="M10" s="16" t="s">
        <v>67</v>
      </c>
      <c r="N10" s="6"/>
      <c r="O10" s="6"/>
    </row>
    <row r="11" customFormat="false" ht="13.8" hidden="false" customHeight="false" outlineLevel="0" collapsed="false">
      <c r="A11" s="6"/>
      <c r="B11" s="6"/>
      <c r="C11" s="14"/>
      <c r="D11" s="15"/>
      <c r="E11" s="15" t="s">
        <v>68</v>
      </c>
      <c r="F11" s="16" t="s">
        <v>69</v>
      </c>
      <c r="G11" s="16" t="s">
        <v>70</v>
      </c>
      <c r="H11" s="16" t="s">
        <v>55</v>
      </c>
      <c r="I11" s="16" t="s">
        <v>71</v>
      </c>
      <c r="J11" s="6"/>
      <c r="K11" s="6"/>
      <c r="L11" s="6"/>
      <c r="M11" s="6"/>
      <c r="N11" s="6"/>
      <c r="O11" s="6"/>
    </row>
    <row r="12" customFormat="false" ht="13.8" hidden="false" customHeight="false" outlineLevel="0" collapsed="false">
      <c r="A12" s="6"/>
      <c r="B12" s="6"/>
      <c r="C12" s="14"/>
      <c r="D12" s="15"/>
      <c r="E12" s="15" t="s">
        <v>72</v>
      </c>
      <c r="F12" s="16" t="s">
        <v>41</v>
      </c>
      <c r="G12" s="16" t="s">
        <v>73</v>
      </c>
      <c r="H12" s="16" t="s">
        <v>74</v>
      </c>
      <c r="I12" s="16" t="s">
        <v>75</v>
      </c>
      <c r="J12" s="6"/>
      <c r="K12" s="6"/>
      <c r="L12" s="6"/>
      <c r="M12" s="6"/>
      <c r="N12" s="6"/>
      <c r="O12" s="6"/>
    </row>
    <row r="13" customFormat="false" ht="13.8" hidden="false" customHeight="false" outlineLevel="0" collapsed="false">
      <c r="A13" s="6"/>
      <c r="B13" s="6"/>
      <c r="C13" s="14"/>
      <c r="D13" s="15"/>
      <c r="E13" s="15" t="s">
        <v>76</v>
      </c>
      <c r="F13" s="16" t="s">
        <v>77</v>
      </c>
      <c r="G13" s="16" t="s">
        <v>78</v>
      </c>
      <c r="H13" s="16" t="s">
        <v>69</v>
      </c>
      <c r="I13" s="16" t="s">
        <v>79</v>
      </c>
      <c r="J13" s="6"/>
      <c r="K13" s="6"/>
      <c r="L13" s="6"/>
      <c r="M13" s="6"/>
      <c r="N13" s="6"/>
      <c r="O13" s="6"/>
    </row>
    <row r="14" customFormat="false" ht="13.8" hidden="false" customHeight="false" outlineLevel="0" collapsed="false">
      <c r="A14" s="6"/>
      <c r="B14" s="6"/>
      <c r="C14" s="14"/>
      <c r="D14" s="15"/>
      <c r="E14" s="15" t="s">
        <v>80</v>
      </c>
      <c r="F14" s="16" t="s">
        <v>81</v>
      </c>
      <c r="G14" s="16" t="s">
        <v>82</v>
      </c>
      <c r="H14" s="16" t="s">
        <v>83</v>
      </c>
      <c r="I14" s="16" t="s">
        <v>84</v>
      </c>
      <c r="J14" s="6"/>
      <c r="K14" s="6"/>
      <c r="L14" s="6"/>
      <c r="M14" s="6"/>
      <c r="N14" s="6"/>
      <c r="O14" s="6"/>
    </row>
    <row r="15" customFormat="false" ht="13.8" hidden="false" customHeight="false" outlineLevel="0" collapsed="false">
      <c r="A15" s="6"/>
      <c r="B15" s="6"/>
      <c r="C15" s="14"/>
      <c r="D15" s="15"/>
      <c r="E15" s="15" t="s">
        <v>85</v>
      </c>
      <c r="F15" s="16" t="s">
        <v>86</v>
      </c>
      <c r="G15" s="16" t="s">
        <v>87</v>
      </c>
      <c r="H15" s="16" t="s">
        <v>88</v>
      </c>
      <c r="I15" s="16" t="s">
        <v>89</v>
      </c>
      <c r="J15" s="6"/>
      <c r="K15" s="6"/>
      <c r="L15" s="21"/>
      <c r="M15" s="6"/>
      <c r="N15" s="6"/>
      <c r="O15" s="6"/>
    </row>
    <row r="16" customFormat="false" ht="13.8" hidden="false" customHeight="false" outlineLevel="0" collapsed="false">
      <c r="A16" s="6"/>
      <c r="B16" s="6"/>
      <c r="C16" s="14"/>
      <c r="D16" s="15"/>
      <c r="E16" s="15" t="s">
        <v>90</v>
      </c>
      <c r="F16" s="16" t="s">
        <v>91</v>
      </c>
      <c r="G16" s="16" t="s">
        <v>92</v>
      </c>
      <c r="H16" s="16" t="s">
        <v>87</v>
      </c>
      <c r="I16" s="16" t="s">
        <v>93</v>
      </c>
      <c r="J16" s="6"/>
      <c r="K16" s="6"/>
      <c r="L16" s="21"/>
      <c r="M16" s="6"/>
      <c r="N16" s="6"/>
      <c r="O16" s="6"/>
    </row>
    <row r="17" customFormat="false" ht="13.8" hidden="false" customHeight="false" outlineLevel="0" collapsed="false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21"/>
      <c r="M17" s="6"/>
      <c r="N17" s="6"/>
      <c r="O17" s="6"/>
    </row>
    <row r="18" customFormat="false" ht="13.8" hidden="false" customHeight="false" outlineLevel="0" collapsed="false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21"/>
      <c r="M18" s="6"/>
      <c r="N18" s="6"/>
      <c r="O18" s="6"/>
    </row>
    <row r="19" customFormat="false" ht="13.8" hidden="false" customHeight="false" outlineLevel="0" collapsed="false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21"/>
      <c r="M19" s="22"/>
      <c r="N19" s="22"/>
      <c r="O19" s="22"/>
      <c r="P19" s="23"/>
      <c r="Q19" s="23"/>
    </row>
    <row r="20" customFormat="false" ht="13.8" hidden="false" customHeight="false" outlineLevel="0" collapsed="false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21"/>
      <c r="M20" s="6"/>
      <c r="N20" s="6"/>
      <c r="O20" s="6"/>
    </row>
    <row r="21" customFormat="false" ht="13.8" hidden="false" customHeight="false" outlineLevel="0" collapsed="false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21"/>
      <c r="M21" s="6"/>
      <c r="N21" s="6"/>
      <c r="O21" s="6"/>
    </row>
    <row r="22" customFormat="false" ht="13.8" hidden="false" customHeight="false" outlineLevel="0" collapsed="false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21"/>
      <c r="M22" s="6"/>
      <c r="N22" s="6"/>
      <c r="O22" s="6"/>
    </row>
    <row r="23" customFormat="false" ht="13.8" hidden="false" customHeight="false" outlineLevel="0" collapsed="false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21"/>
      <c r="M23" s="6"/>
      <c r="N23" s="6"/>
      <c r="O23" s="6"/>
    </row>
    <row r="24" customFormat="false" ht="13.8" hidden="false" customHeight="false" outlineLevel="0" collapsed="false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21"/>
      <c r="M24" s="6"/>
      <c r="N24" s="6"/>
      <c r="O24" s="6"/>
    </row>
    <row r="25" customFormat="false" ht="13.8" hidden="false" customHeight="false" outlineLevel="0" collapsed="false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21"/>
      <c r="M25" s="6"/>
      <c r="N25" s="6"/>
      <c r="O25" s="6"/>
    </row>
    <row r="26" customFormat="false" ht="13.8" hidden="false" customHeight="false" outlineLevel="0" collapsed="false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</row>
    <row r="27" customFormat="false" ht="13.8" hidden="false" customHeight="false" outlineLevel="0" collapsed="false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</row>
    <row r="28" customFormat="false" ht="13.8" hidden="false" customHeight="false" outlineLevel="0" collapsed="false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</row>
    <row r="29" customFormat="false" ht="13.8" hidden="false" customHeight="false" outlineLevel="0" collapsed="false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</row>
    <row r="30" customFormat="false" ht="13.8" hidden="false" customHeight="false" outlineLevel="0" collapsed="false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</row>
    <row r="31" customFormat="false" ht="13.8" hidden="false" customHeight="false" outlineLevel="0" collapsed="false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</row>
    <row r="32" customFormat="false" ht="13.8" hidden="false" customHeight="false" outlineLevel="0" collapsed="false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</row>
    <row r="33" customFormat="false" ht="13.8" hidden="false" customHeight="false" outlineLevel="0" collapsed="false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</row>
    <row r="34" customFormat="false" ht="13.8" hidden="false" customHeight="false" outlineLevel="0" collapsed="false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</row>
    <row r="35" customFormat="false" ht="13.8" hidden="false" customHeight="false" outlineLevel="0" collapsed="false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</row>
    <row r="36" customFormat="false" ht="13.8" hidden="false" customHeight="false" outlineLevel="0" collapsed="false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</row>
    <row r="37" customFormat="false" ht="13.8" hidden="false" customHeight="false" outlineLevel="0" collapsed="false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</row>
    <row r="38" customFormat="false" ht="13.8" hidden="false" customHeight="false" outlineLevel="0" collapsed="false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</row>
    <row r="39" customFormat="false" ht="13.8" hidden="false" customHeight="false" outlineLevel="0" collapsed="false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</row>
    <row r="40" customFormat="false" ht="13.8" hidden="false" customHeight="false" outlineLevel="0" collapsed="false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</row>
    <row r="41" customFormat="false" ht="13.8" hidden="false" customHeight="false" outlineLevel="0" collapsed="false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</row>
    <row r="42" customFormat="false" ht="13.8" hidden="false" customHeight="false" outlineLevel="0" collapsed="false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</row>
    <row r="43" customFormat="false" ht="13.8" hidden="false" customHeight="false" outlineLevel="0" collapsed="false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</row>
  </sheetData>
  <mergeCells count="5">
    <mergeCell ref="C1:M1"/>
    <mergeCell ref="C2:I2"/>
    <mergeCell ref="K2:M2"/>
    <mergeCell ref="C5:C16"/>
    <mergeCell ref="L5:M5"/>
  </mergeCells>
  <printOptions headings="false" gridLines="false" gridLinesSet="true" horizontalCentered="false" verticalCentered="false"/>
  <pageMargins left="0.25" right="0.25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1852"/>
  <sheetViews>
    <sheetView showFormulas="false" showGridLines="true" showRowColHeaders="false" showZeros="true" rightToLeft="false" tabSelected="false" showOutlineSymbols="true" defaultGridColor="true" view="normal" topLeftCell="A1" colorId="64" zoomScale="150" zoomScaleNormal="150" zoomScalePageLayoutView="100" workbookViewId="0">
      <selection pane="topLeft" activeCell="I3" activeCellId="0" sqref="I3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16.85"/>
    <col collapsed="false" customWidth="true" hidden="false" outlineLevel="0" max="2" min="2" style="0" width="16.57"/>
    <col collapsed="false" customWidth="true" hidden="false" outlineLevel="0" max="3" min="3" style="0" width="2.42"/>
    <col collapsed="false" customWidth="true" hidden="true" outlineLevel="0" max="4" min="4" style="0" width="18"/>
    <col collapsed="false" customWidth="true" hidden="true" outlineLevel="0" max="5" min="5" style="0" width="14.14"/>
    <col collapsed="false" customWidth="true" hidden="true" outlineLevel="0" max="6" min="6" style="0" width="6.71"/>
    <col collapsed="false" customWidth="true" hidden="true" outlineLevel="0" max="7" min="7" style="0" width="2.42"/>
    <col collapsed="false" customWidth="true" hidden="true" outlineLevel="0" max="8" min="8" style="0" width="9.14"/>
    <col collapsed="false" customWidth="true" hidden="false" outlineLevel="0" max="9" min="9" style="0" width="10.29"/>
    <col collapsed="false" customWidth="true" hidden="false" outlineLevel="0" max="10" min="10" style="0" width="23.29"/>
    <col collapsed="false" customWidth="true" hidden="false" outlineLevel="0" max="11" min="11" style="23" width="9.29"/>
    <col collapsed="false" customWidth="true" hidden="false" outlineLevel="0" max="12" min="12" style="0" width="17.15"/>
    <col collapsed="false" customWidth="true" hidden="false" outlineLevel="0" max="13" min="13" style="0" width="7.57"/>
    <col collapsed="false" customWidth="true" hidden="false" outlineLevel="0" max="14" min="14" style="0" width="17.86"/>
    <col collapsed="false" customWidth="true" hidden="false" outlineLevel="0" max="15" min="15" style="0" width="3.29"/>
    <col collapsed="false" customWidth="true" hidden="false" outlineLevel="0" max="16" min="16" style="0" width="6.85"/>
    <col collapsed="false" customWidth="true" hidden="false" outlineLevel="0" max="17" min="17" style="0" width="2"/>
    <col collapsed="false" customWidth="true" hidden="false" outlineLevel="0" max="23" min="18" style="0" width="11.71"/>
  </cols>
  <sheetData>
    <row r="1" customFormat="false" ht="44.25" hidden="false" customHeight="true" outlineLevel="0" collapsed="false">
      <c r="A1" s="24" t="s">
        <v>94</v>
      </c>
      <c r="B1" s="25" t="s">
        <v>95</v>
      </c>
      <c r="C1" s="26"/>
      <c r="D1" s="26"/>
      <c r="E1" s="26"/>
      <c r="F1" s="26"/>
      <c r="G1" s="26"/>
      <c r="H1" s="26"/>
      <c r="I1" s="26"/>
      <c r="J1" s="26"/>
      <c r="K1" s="27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customFormat="false" ht="42.75" hidden="false" customHeight="true" outlineLevel="0" collapsed="false">
      <c r="A2" s="24" t="s">
        <v>96</v>
      </c>
      <c r="B2" s="25" t="b">
        <f aca="false">FALSE()</f>
        <v>0</v>
      </c>
      <c r="C2" s="3"/>
      <c r="D2" s="3"/>
      <c r="E2" s="3"/>
      <c r="F2" s="3"/>
      <c r="G2" s="3"/>
      <c r="H2" s="3"/>
      <c r="I2" s="3"/>
      <c r="J2" s="3"/>
      <c r="K2" s="28"/>
      <c r="L2" s="3"/>
      <c r="M2" s="3"/>
      <c r="N2" s="29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customFormat="false" ht="18" hidden="false" customHeight="true" outlineLevel="0" collapsed="false">
      <c r="A3" s="24" t="s">
        <v>97</v>
      </c>
      <c r="B3" s="25" t="n">
        <f aca="true">IFERROR(MATCH(P4,Order_ID,0)+2,"")</f>
        <v>238</v>
      </c>
      <c r="C3" s="6"/>
      <c r="D3" s="30" t="s">
        <v>98</v>
      </c>
      <c r="E3" s="30"/>
      <c r="F3" s="30"/>
      <c r="G3" s="6"/>
      <c r="H3" s="6"/>
      <c r="I3" s="31" t="s">
        <v>99</v>
      </c>
      <c r="J3" s="32"/>
      <c r="K3" s="33" t="s">
        <v>100</v>
      </c>
      <c r="L3" s="34" t="s">
        <v>101</v>
      </c>
      <c r="M3" s="34"/>
      <c r="N3" s="33" t="s">
        <v>102</v>
      </c>
      <c r="O3" s="34" t="s">
        <v>43</v>
      </c>
      <c r="P3" s="34"/>
      <c r="Q3" s="6"/>
      <c r="R3" s="6"/>
      <c r="S3" s="6"/>
      <c r="T3" s="6"/>
      <c r="U3" s="6"/>
      <c r="V3" s="6"/>
      <c r="W3" s="6"/>
      <c r="X3" s="6"/>
      <c r="Y3" s="6"/>
      <c r="Z3" s="6"/>
    </row>
    <row r="4" customFormat="false" ht="18" hidden="false" customHeight="true" outlineLevel="0" collapsed="false">
      <c r="A4" s="24" t="s">
        <v>103</v>
      </c>
      <c r="B4" s="25" t="n">
        <f aca="true">IFERROR(MAX(Order_ID)+1,"10000")</f>
        <v>10238</v>
      </c>
      <c r="C4" s="6"/>
      <c r="D4" s="35" t="s">
        <v>104</v>
      </c>
      <c r="E4" s="35" t="s">
        <v>105</v>
      </c>
      <c r="F4" s="35" t="s">
        <v>106</v>
      </c>
      <c r="G4" s="6"/>
      <c r="H4" s="6"/>
      <c r="I4" s="36" t="str">
        <f aca="false">IF(B1="SALE","Customer:","Vendor:")</f>
        <v>Customer:</v>
      </c>
      <c r="K4" s="37" t="s">
        <v>107</v>
      </c>
      <c r="L4" s="38" t="n">
        <v>45744.8238657407</v>
      </c>
      <c r="M4" s="38"/>
      <c r="N4" s="39" t="s">
        <v>108</v>
      </c>
      <c r="O4" s="39"/>
      <c r="P4" s="40" t="n">
        <v>10235</v>
      </c>
      <c r="Q4" s="6"/>
      <c r="R4" s="6"/>
      <c r="S4" s="6"/>
      <c r="T4" s="6"/>
      <c r="U4" s="6"/>
      <c r="V4" s="6"/>
      <c r="W4" s="6"/>
      <c r="X4" s="6"/>
      <c r="Y4" s="6"/>
      <c r="Z4" s="6"/>
    </row>
    <row r="5" customFormat="false" ht="18" hidden="false" customHeight="true" outlineLevel="0" collapsed="false">
      <c r="A5" s="24" t="s">
        <v>109</v>
      </c>
      <c r="B5" s="25" t="n">
        <f aca="true">IFERROR(MATCH(I3,Order_ID,0)+2,"")</f>
        <v>0</v>
      </c>
      <c r="C5" s="6"/>
      <c r="D5" s="41"/>
      <c r="E5" s="6"/>
      <c r="F5" s="6"/>
      <c r="G5" s="6"/>
      <c r="H5" s="6"/>
      <c r="I5" s="42" t="s">
        <v>110</v>
      </c>
      <c r="J5" s="43" t="s">
        <v>111</v>
      </c>
      <c r="K5" s="22"/>
      <c r="L5" s="6"/>
      <c r="M5" s="6"/>
      <c r="N5" s="6" t="n">
        <f aca="false">IF(K5="","",(K5*L5)-(K5*L5)*M5)</f>
        <v>0</v>
      </c>
      <c r="O5" s="6"/>
      <c r="P5" s="44" t="s">
        <v>112</v>
      </c>
      <c r="Q5" s="6"/>
      <c r="R5" s="6"/>
      <c r="S5" s="6"/>
      <c r="T5" s="6"/>
      <c r="U5" s="6"/>
      <c r="V5" s="6"/>
      <c r="W5" s="6"/>
      <c r="X5" s="6"/>
      <c r="Y5" s="6"/>
      <c r="Z5" s="6"/>
    </row>
    <row r="6" customFormat="false" ht="18" hidden="false" customHeight="true" outlineLevel="0" collapsed="false">
      <c r="A6" s="24" t="s">
        <v>113</v>
      </c>
      <c r="B6" s="25"/>
      <c r="C6" s="6"/>
      <c r="D6" s="45"/>
      <c r="E6" s="6"/>
      <c r="F6" s="6"/>
      <c r="G6" s="22"/>
      <c r="H6" s="46" t="s">
        <v>114</v>
      </c>
      <c r="I6" s="47" t="s">
        <v>115</v>
      </c>
      <c r="J6" s="48" t="s">
        <v>116</v>
      </c>
      <c r="K6" s="49" t="s">
        <v>117</v>
      </c>
      <c r="L6" s="49" t="s">
        <v>118</v>
      </c>
      <c r="M6" s="49" t="s">
        <v>119</v>
      </c>
      <c r="N6" s="49" t="s">
        <v>120</v>
      </c>
      <c r="O6" s="49"/>
      <c r="P6" s="44"/>
      <c r="Q6" s="6"/>
      <c r="R6" s="6"/>
      <c r="S6" s="6"/>
      <c r="T6" s="6"/>
      <c r="U6" s="6"/>
      <c r="V6" s="6"/>
      <c r="W6" s="6"/>
      <c r="X6" s="6"/>
      <c r="Y6" s="6"/>
      <c r="Z6" s="6"/>
    </row>
    <row r="7" customFormat="false" ht="18" hidden="false" customHeight="true" outlineLevel="0" collapsed="false">
      <c r="A7" s="24" t="s">
        <v>121</v>
      </c>
      <c r="B7" s="25" t="n">
        <f aca="true">IFERROR(MATCH(J5,Prod_SKU,0)+2,"")</f>
        <v>301</v>
      </c>
      <c r="C7" s="6"/>
      <c r="D7" s="45"/>
      <c r="E7" s="6"/>
      <c r="F7" s="6"/>
      <c r="G7" s="6"/>
      <c r="H7" s="46"/>
      <c r="I7" s="50"/>
      <c r="J7" s="51"/>
      <c r="K7" s="52"/>
      <c r="L7" s="53"/>
      <c r="M7" s="54"/>
      <c r="N7" s="55"/>
      <c r="O7" s="56"/>
      <c r="P7" s="57" t="n">
        <f aca="true">IF(I7="","",SUMIFS(OrderItems_Qty,OrderItems_Type,"PURCHASE",OrderItems_SKU,I7)-SUMIFS(OrderItems_Qty,OrderItems_Type,"SALE",OrderItems_SKU,I7))</f>
        <v>0</v>
      </c>
      <c r="Q7" s="6"/>
      <c r="R7" s="6"/>
      <c r="S7" s="6"/>
      <c r="T7" s="6"/>
      <c r="U7" s="6"/>
      <c r="V7" s="6"/>
      <c r="W7" s="6"/>
      <c r="X7" s="6"/>
      <c r="Y7" s="6"/>
      <c r="Z7" s="6"/>
    </row>
    <row r="8" customFormat="false" ht="18" hidden="false" customHeight="true" outlineLevel="0" collapsed="false">
      <c r="A8" s="24" t="s">
        <v>122</v>
      </c>
      <c r="B8" s="25" t="n">
        <v>10</v>
      </c>
      <c r="C8" s="6"/>
      <c r="D8" s="45"/>
      <c r="E8" s="6"/>
      <c r="F8" s="6"/>
      <c r="G8" s="6"/>
      <c r="H8" s="46"/>
      <c r="I8" s="58"/>
      <c r="J8" s="59"/>
      <c r="K8" s="52"/>
      <c r="L8" s="55"/>
      <c r="M8" s="60"/>
      <c r="N8" s="55"/>
      <c r="O8" s="61"/>
      <c r="P8" s="62" t="n">
        <f aca="true">IF(I8="","",SUMIFS(OrderItems_Qty,OrderItems_Type,"PURCHASE",OrderItems_SKU,I8)-SUMIFS(OrderItems_Qty,OrderItems_Type,"SALE",OrderItems_SKU,I8))</f>
        <v>0</v>
      </c>
      <c r="Q8" s="6"/>
      <c r="R8" s="6"/>
      <c r="S8" s="6"/>
      <c r="T8" s="6"/>
      <c r="U8" s="6"/>
      <c r="V8" s="6"/>
      <c r="W8" s="6"/>
      <c r="X8" s="6"/>
      <c r="Y8" s="6"/>
      <c r="Z8" s="6"/>
    </row>
    <row r="9" customFormat="false" ht="18" hidden="false" customHeight="true" outlineLevel="0" collapsed="false">
      <c r="A9" s="24" t="s">
        <v>123</v>
      </c>
      <c r="B9" s="25" t="n">
        <v>1</v>
      </c>
      <c r="C9" s="6"/>
      <c r="D9" s="45"/>
      <c r="E9" s="6"/>
      <c r="F9" s="6"/>
      <c r="G9" s="6"/>
      <c r="H9" s="46"/>
      <c r="I9" s="58"/>
      <c r="J9" s="59"/>
      <c r="K9" s="52"/>
      <c r="L9" s="55"/>
      <c r="M9" s="60"/>
      <c r="N9" s="55"/>
      <c r="O9" s="61"/>
      <c r="P9" s="62" t="n">
        <f aca="true">IF(I9="","",SUMIFS(OrderItems_Qty,OrderItems_Type,"PURCHASE",OrderItems_SKU,I9)-SUMIFS(OrderItems_Qty,OrderItems_Type,"SALE",OrderItems_SKU,I9))</f>
        <v>0</v>
      </c>
      <c r="Q9" s="6"/>
      <c r="R9" s="6"/>
      <c r="S9" s="6"/>
      <c r="T9" s="6"/>
      <c r="U9" s="6"/>
      <c r="V9" s="6"/>
      <c r="W9" s="6"/>
      <c r="X9" s="6"/>
      <c r="Y9" s="6"/>
      <c r="Z9" s="6"/>
    </row>
    <row r="10" customFormat="false" ht="18" hidden="false" customHeight="true" outlineLevel="0" collapsed="false">
      <c r="A10" s="24" t="s">
        <v>124</v>
      </c>
      <c r="B10" s="25" t="n">
        <f aca="true">IFERROR(MATCH(B9,User_ID,0)+2,"")</f>
        <v>3</v>
      </c>
      <c r="C10" s="6"/>
      <c r="D10" s="45"/>
      <c r="E10" s="6"/>
      <c r="F10" s="6"/>
      <c r="G10" s="6"/>
      <c r="H10" s="46"/>
      <c r="I10" s="58"/>
      <c r="J10" s="59"/>
      <c r="K10" s="52"/>
      <c r="L10" s="55"/>
      <c r="M10" s="60"/>
      <c r="N10" s="55"/>
      <c r="O10" s="61"/>
      <c r="P10" s="62" t="n">
        <f aca="true">IF(I10="","",SUMIFS(OrderItems_Qty,OrderItems_Type,"PURCHASE",OrderItems_SKU,I10)-SUMIFS(OrderItems_Qty,OrderItems_Type,"SALE",OrderItems_SKU,I10))</f>
        <v>0</v>
      </c>
      <c r="Q10" s="6"/>
      <c r="R10" s="6"/>
      <c r="S10" s="6"/>
      <c r="T10" s="6"/>
      <c r="U10" s="6"/>
      <c r="V10" s="6"/>
      <c r="W10" s="6"/>
      <c r="X10" s="6"/>
      <c r="Y10" s="6"/>
      <c r="Z10" s="6"/>
    </row>
    <row r="11" customFormat="false" ht="18" hidden="false" customHeight="true" outlineLevel="0" collapsed="false">
      <c r="A11" s="24" t="s">
        <v>125</v>
      </c>
      <c r="B11" s="25" t="str">
        <f aca="true">IFERROR(INDEX(User_Role,B10-2,1),"")</f>
        <v>Manager</v>
      </c>
      <c r="C11" s="6"/>
      <c r="D11" s="45"/>
      <c r="E11" s="6"/>
      <c r="F11" s="6"/>
      <c r="G11" s="6"/>
      <c r="H11" s="46"/>
      <c r="I11" s="58"/>
      <c r="J11" s="63"/>
      <c r="K11" s="52"/>
      <c r="L11" s="55"/>
      <c r="M11" s="60"/>
      <c r="N11" s="55"/>
      <c r="O11" s="61"/>
      <c r="P11" s="62" t="n">
        <f aca="true">IF(I11="","",SUMIFS(OrderItems_Qty,OrderItems_Type,"PURCHASE",OrderItems_SKU,I11)-SUMIFS(OrderItems_Qty,OrderItems_Type,"SALE",OrderItems_SKU,I11))</f>
        <v>0</v>
      </c>
      <c r="Q11" s="6"/>
      <c r="R11" s="6"/>
      <c r="S11" s="6"/>
      <c r="T11" s="6"/>
      <c r="U11" s="6"/>
      <c r="V11" s="6"/>
      <c r="W11" s="6"/>
      <c r="X11" s="6"/>
      <c r="Y11" s="6"/>
      <c r="Z11" s="6"/>
    </row>
    <row r="12" customFormat="false" ht="18" hidden="false" customHeight="true" outlineLevel="0" collapsed="false">
      <c r="A12" s="64"/>
      <c r="B12" s="64"/>
      <c r="C12" s="6"/>
      <c r="D12" s="45"/>
      <c r="E12" s="6"/>
      <c r="F12" s="6"/>
      <c r="G12" s="6"/>
      <c r="H12" s="46"/>
      <c r="I12" s="58"/>
      <c r="J12" s="63"/>
      <c r="K12" s="52"/>
      <c r="L12" s="55"/>
      <c r="M12" s="60"/>
      <c r="N12" s="55"/>
      <c r="O12" s="61"/>
      <c r="P12" s="62" t="n">
        <f aca="true">IF(I12="","",SUMIFS(OrderItems_Qty,OrderItems_Type,"PURCHASE",OrderItems_SKU,I12)-SUMIFS(OrderItems_Qty,OrderItems_Type,"SALE",OrderItems_SKU,I12))</f>
        <v>0</v>
      </c>
      <c r="Q12" s="6"/>
      <c r="R12" s="6"/>
      <c r="S12" s="6"/>
      <c r="T12" s="6"/>
      <c r="U12" s="6"/>
      <c r="V12" s="6"/>
      <c r="W12" s="6"/>
      <c r="X12" s="6"/>
      <c r="Y12" s="6"/>
      <c r="Z12" s="6"/>
    </row>
    <row r="13" customFormat="false" ht="18" hidden="false" customHeight="true" outlineLevel="0" collapsed="false">
      <c r="A13" s="65" t="s">
        <v>126</v>
      </c>
      <c r="B13" s="66" t="n">
        <f aca="false">SUM(N7:N999)</f>
        <v>0</v>
      </c>
      <c r="C13" s="6"/>
      <c r="D13" s="45"/>
      <c r="E13" s="6"/>
      <c r="F13" s="6"/>
      <c r="G13" s="6"/>
      <c r="H13" s="46"/>
      <c r="I13" s="58"/>
      <c r="J13" s="63"/>
      <c r="K13" s="52"/>
      <c r="L13" s="55"/>
      <c r="M13" s="60"/>
      <c r="N13" s="55"/>
      <c r="O13" s="61"/>
      <c r="P13" s="62" t="n">
        <f aca="true">IF(I13="","",SUMIFS(OrderItems_Qty,OrderItems_Type,"PURCHASE",OrderItems_SKU,I13)-SUMIFS(OrderItems_Qty,OrderItems_Type,"SALE",OrderItems_SKU,I13))</f>
        <v>0</v>
      </c>
      <c r="Q13" s="6"/>
      <c r="R13" s="6"/>
      <c r="S13" s="6"/>
      <c r="T13" s="6"/>
      <c r="U13" s="6"/>
      <c r="V13" s="6"/>
      <c r="W13" s="6"/>
      <c r="X13" s="6"/>
      <c r="Y13" s="6"/>
      <c r="Z13" s="6"/>
    </row>
    <row r="14" customFormat="false" ht="18" hidden="false" customHeight="true" outlineLevel="0" collapsed="false">
      <c r="A14" s="65" t="str">
        <f aca="false">TaxName&amp;"("&amp;TEXT(TaxRate,"0.00%")&amp;"):"</f>
        <v>Tax(0.00%):</v>
      </c>
      <c r="B14" s="66" t="n">
        <f aca="false">B13*TaxRate</f>
        <v>0</v>
      </c>
      <c r="C14" s="6"/>
      <c r="D14" s="45"/>
      <c r="E14" s="6"/>
      <c r="F14" s="6"/>
      <c r="G14" s="6"/>
      <c r="H14" s="46"/>
      <c r="I14" s="58"/>
      <c r="J14" s="63"/>
      <c r="K14" s="52"/>
      <c r="L14" s="55"/>
      <c r="M14" s="60"/>
      <c r="N14" s="55"/>
      <c r="O14" s="61"/>
      <c r="P14" s="62" t="n">
        <f aca="true">IF(I14="","",SUMIFS(OrderItems_Qty,OrderItems_Type,"PURCHASE",OrderItems_SKU,I14)-SUMIFS(OrderItems_Qty,OrderItems_Type,"SALE",OrderItems_SKU,I14))</f>
        <v>0</v>
      </c>
      <c r="Q14" s="6"/>
      <c r="R14" s="6"/>
      <c r="S14" s="6"/>
      <c r="T14" s="6"/>
      <c r="U14" s="6"/>
      <c r="V14" s="6"/>
      <c r="W14" s="6"/>
      <c r="X14" s="6"/>
      <c r="Y14" s="6"/>
      <c r="Z14" s="6"/>
    </row>
    <row r="15" customFormat="false" ht="18" hidden="false" customHeight="true" outlineLevel="0" collapsed="false">
      <c r="A15" s="65" t="s">
        <v>120</v>
      </c>
      <c r="B15" s="67" t="n">
        <f aca="false">SUM(B13:B14)</f>
        <v>0</v>
      </c>
      <c r="C15" s="6"/>
      <c r="D15" s="45"/>
      <c r="E15" s="6"/>
      <c r="F15" s="6"/>
      <c r="G15" s="6"/>
      <c r="H15" s="46"/>
      <c r="I15" s="58"/>
      <c r="J15" s="59"/>
      <c r="K15" s="52"/>
      <c r="L15" s="55"/>
      <c r="M15" s="60"/>
      <c r="N15" s="55"/>
      <c r="O15" s="61"/>
      <c r="P15" s="62" t="n">
        <f aca="true">IF(I15="","",SUMIFS(OrderItems_Qty,OrderItems_Type,"PURCHASE",OrderItems_SKU,I15)-SUMIFS(OrderItems_Qty,OrderItems_Type,"SALE",OrderItems_SKU,I15))</f>
        <v>0</v>
      </c>
      <c r="Q15" s="6"/>
      <c r="R15" s="6"/>
      <c r="S15" s="6"/>
      <c r="T15" s="6"/>
      <c r="U15" s="6"/>
      <c r="V15" s="6"/>
      <c r="W15" s="6"/>
      <c r="X15" s="6"/>
      <c r="Y15" s="6"/>
      <c r="Z15" s="6"/>
    </row>
    <row r="16" customFormat="false" ht="18" hidden="false" customHeight="true" outlineLevel="0" collapsed="false">
      <c r="A16" s="65" t="s">
        <v>127</v>
      </c>
      <c r="B16" s="67"/>
      <c r="C16" s="6"/>
      <c r="D16" s="45"/>
      <c r="E16" s="6"/>
      <c r="F16" s="6"/>
      <c r="G16" s="6"/>
      <c r="H16" s="46"/>
      <c r="I16" s="58"/>
      <c r="J16" s="59"/>
      <c r="K16" s="52"/>
      <c r="L16" s="55"/>
      <c r="M16" s="60"/>
      <c r="N16" s="55"/>
      <c r="O16" s="61"/>
      <c r="P16" s="62" t="n">
        <f aca="true">IF(I16="","",SUMIFS(OrderItems_Qty,OrderItems_Type,"PURCHASE",OrderItems_SKU,I16)-SUMIFS(OrderItems_Qty,OrderItems_Type,"SALE",OrderItems_SKU,I16))</f>
        <v>0</v>
      </c>
      <c r="Q16" s="6"/>
      <c r="R16" s="6"/>
      <c r="S16" s="6"/>
      <c r="T16" s="6"/>
      <c r="U16" s="6"/>
      <c r="V16" s="6"/>
      <c r="W16" s="6"/>
      <c r="X16" s="6"/>
      <c r="Y16" s="6"/>
      <c r="Z16" s="6"/>
    </row>
    <row r="17" customFormat="false" ht="18" hidden="false" customHeight="true" outlineLevel="0" collapsed="false">
      <c r="A17" s="65" t="s">
        <v>128</v>
      </c>
      <c r="B17" s="67" t="n">
        <f aca="false">IF(B16="","",B16-B15)</f>
        <v>0</v>
      </c>
      <c r="C17" s="6"/>
      <c r="D17" s="45"/>
      <c r="E17" s="6"/>
      <c r="F17" s="6"/>
      <c r="G17" s="6"/>
      <c r="H17" s="46"/>
      <c r="I17" s="58"/>
      <c r="J17" s="59"/>
      <c r="K17" s="52"/>
      <c r="L17" s="55"/>
      <c r="M17" s="60"/>
      <c r="N17" s="55"/>
      <c r="O17" s="61"/>
      <c r="P17" s="62" t="n">
        <f aca="true">IF(I17="","",SUMIFS(OrderItems_Qty,OrderItems_Type,"PURCHASE",OrderItems_SKU,I17)-SUMIFS(OrderItems_Qty,OrderItems_Type,"SALE",OrderItems_SKU,I17))</f>
        <v>0</v>
      </c>
      <c r="Q17" s="6"/>
      <c r="R17" s="6"/>
      <c r="S17" s="6"/>
      <c r="T17" s="6"/>
      <c r="U17" s="6"/>
      <c r="V17" s="6"/>
      <c r="W17" s="6"/>
      <c r="X17" s="6"/>
      <c r="Y17" s="6"/>
      <c r="Z17" s="6"/>
    </row>
    <row r="18" customFormat="false" ht="18" hidden="false" customHeight="true" outlineLevel="0" collapsed="false">
      <c r="A18" s="64"/>
      <c r="B18" s="64"/>
      <c r="C18" s="6"/>
      <c r="D18" s="45"/>
      <c r="E18" s="6"/>
      <c r="F18" s="6"/>
      <c r="G18" s="6"/>
      <c r="H18" s="46"/>
      <c r="I18" s="58"/>
      <c r="J18" s="59"/>
      <c r="K18" s="52"/>
      <c r="L18" s="55"/>
      <c r="M18" s="60"/>
      <c r="N18" s="55"/>
      <c r="O18" s="61"/>
      <c r="P18" s="62" t="n">
        <f aca="true">IF(I18="","",SUMIFS(OrderItems_Qty,OrderItems_Type,"PURCHASE",OrderItems_SKU,I18)-SUMIFS(OrderItems_Qty,OrderItems_Type,"SALE",OrderItems_SKU,I18))</f>
        <v>0</v>
      </c>
      <c r="Q18" s="6"/>
      <c r="R18" s="6"/>
      <c r="S18" s="6"/>
      <c r="T18" s="6"/>
      <c r="U18" s="6"/>
      <c r="V18" s="6"/>
      <c r="W18" s="6"/>
      <c r="X18" s="6"/>
      <c r="Y18" s="6"/>
      <c r="Z18" s="6"/>
    </row>
    <row r="19" customFormat="false" ht="18" hidden="false" customHeight="true" outlineLevel="0" collapsed="false">
      <c r="A19" s="68" t="s">
        <v>129</v>
      </c>
      <c r="B19" s="68" t="n">
        <f aca="true">IFERROR(IF(AND(B1="SALE",ISERROR(MATCH(J4,Customer_Name,0)=TRUE())),TRUE(),FALSE()),FALSE())</f>
        <v>0</v>
      </c>
      <c r="C19" s="6"/>
      <c r="D19" s="45"/>
      <c r="E19" s="6"/>
      <c r="F19" s="6"/>
      <c r="G19" s="6"/>
      <c r="H19" s="22"/>
      <c r="I19" s="58"/>
      <c r="J19" s="59"/>
      <c r="K19" s="52"/>
      <c r="L19" s="55"/>
      <c r="M19" s="60"/>
      <c r="N19" s="55"/>
      <c r="O19" s="61"/>
      <c r="P19" s="62" t="n">
        <f aca="true">IF(I19="","",SUMIFS(OrderItems_Qty,OrderItems_Type,"PURCHASE",OrderItems_SKU,I19)-SUMIFS(OrderItems_Qty,OrderItems_Type,"SALE",OrderItems_SKU,I19))</f>
        <v>0</v>
      </c>
      <c r="Q19" s="6"/>
      <c r="R19" s="6"/>
      <c r="S19" s="6"/>
      <c r="T19" s="6"/>
      <c r="U19" s="6"/>
      <c r="V19" s="6"/>
      <c r="W19" s="6"/>
      <c r="X19" s="6"/>
      <c r="Y19" s="6"/>
      <c r="Z19" s="6"/>
    </row>
    <row r="20" customFormat="false" ht="18" hidden="false" customHeight="true" outlineLevel="0" collapsed="false">
      <c r="A20" s="68" t="s">
        <v>130</v>
      </c>
      <c r="B20" s="68" t="n">
        <f aca="true">IFERROR(IF(AND(B1="PURCHASE",ISERROR(MATCH(J4,Vendor_Name,0)=TRUE())),TRUE(),FALSE()),FALSE())</f>
        <v>0</v>
      </c>
      <c r="C20" s="6"/>
      <c r="D20" s="45"/>
      <c r="E20" s="6"/>
      <c r="F20" s="6"/>
      <c r="G20" s="6"/>
      <c r="H20" s="22"/>
      <c r="I20" s="58"/>
      <c r="J20" s="59"/>
      <c r="K20" s="52"/>
      <c r="L20" s="55"/>
      <c r="M20" s="60"/>
      <c r="N20" s="55"/>
      <c r="O20" s="61"/>
      <c r="P20" s="62" t="n">
        <f aca="true">IF(I20="","",SUMIFS(OrderItems_Qty,OrderItems_Type,"PURCHASE",OrderItems_SKU,I20)-SUMIFS(OrderItems_Qty,OrderItems_Type,"SALE",OrderItems_SKU,I20))</f>
        <v>0</v>
      </c>
      <c r="Q20" s="6"/>
      <c r="R20" s="6"/>
      <c r="S20" s="6"/>
      <c r="T20" s="6"/>
      <c r="U20" s="6"/>
      <c r="V20" s="6"/>
      <c r="W20" s="6"/>
      <c r="X20" s="6"/>
      <c r="Y20" s="6"/>
      <c r="Z20" s="6"/>
    </row>
    <row r="21" customFormat="false" ht="18" hidden="false" customHeight="true" outlineLevel="0" collapsed="false">
      <c r="A21" s="64"/>
      <c r="B21" s="64"/>
      <c r="C21" s="6"/>
      <c r="D21" s="45"/>
      <c r="E21" s="6"/>
      <c r="F21" s="6"/>
      <c r="G21" s="6"/>
      <c r="H21" s="22"/>
      <c r="I21" s="58"/>
      <c r="J21" s="59"/>
      <c r="K21" s="52"/>
      <c r="L21" s="55"/>
      <c r="M21" s="60"/>
      <c r="N21" s="55"/>
      <c r="O21" s="61"/>
      <c r="P21" s="62" t="n">
        <f aca="true">IF(I21="","",SUMIFS(OrderItems_Qty,OrderItems_Type,"PURCHASE",OrderItems_SKU,I21)-SUMIFS(OrderItems_Qty,OrderItems_Type,"SALE",OrderItems_SKU,I21))</f>
        <v>0</v>
      </c>
      <c r="Q21" s="6"/>
      <c r="R21" s="6"/>
      <c r="S21" s="6"/>
      <c r="T21" s="6"/>
      <c r="U21" s="6"/>
      <c r="V21" s="6"/>
      <c r="W21" s="6"/>
      <c r="X21" s="6"/>
      <c r="Y21" s="6"/>
      <c r="Z21" s="6"/>
    </row>
    <row r="22" customFormat="false" ht="18" hidden="false" customHeight="true" outlineLevel="0" collapsed="false">
      <c r="A22" s="64"/>
      <c r="B22" s="64"/>
      <c r="C22" s="6"/>
      <c r="D22" s="45"/>
      <c r="E22" s="6"/>
      <c r="F22" s="6"/>
      <c r="G22" s="6"/>
      <c r="H22" s="22"/>
      <c r="I22" s="58"/>
      <c r="J22" s="59"/>
      <c r="K22" s="52"/>
      <c r="L22" s="55"/>
      <c r="M22" s="60"/>
      <c r="N22" s="55"/>
      <c r="O22" s="61"/>
      <c r="P22" s="62" t="n">
        <f aca="true">IF(I22="","",SUMIFS(OrderItems_Qty,OrderItems_Type,"PURCHASE",OrderItems_SKU,I22)-SUMIFS(OrderItems_Qty,OrderItems_Type,"SALE",OrderItems_SKU,I22))</f>
        <v>0</v>
      </c>
      <c r="Q22" s="6"/>
      <c r="R22" s="6"/>
      <c r="S22" s="6"/>
      <c r="T22" s="6"/>
      <c r="U22" s="6"/>
      <c r="V22" s="6"/>
      <c r="W22" s="6"/>
      <c r="X22" s="6"/>
      <c r="Y22" s="6"/>
      <c r="Z22" s="6"/>
    </row>
    <row r="23" customFormat="false" ht="18" hidden="false" customHeight="true" outlineLevel="0" collapsed="false">
      <c r="A23" s="64"/>
      <c r="B23" s="64"/>
      <c r="C23" s="6"/>
      <c r="D23" s="45"/>
      <c r="E23" s="6"/>
      <c r="F23" s="6"/>
      <c r="G23" s="6"/>
      <c r="H23" s="22"/>
      <c r="I23" s="58"/>
      <c r="J23" s="59"/>
      <c r="K23" s="52"/>
      <c r="L23" s="55"/>
      <c r="M23" s="60"/>
      <c r="N23" s="55"/>
      <c r="O23" s="61"/>
      <c r="P23" s="62" t="n">
        <f aca="true">IF(I23="","",SUMIFS(OrderItems_Qty,OrderItems_Type,"PURCHASE",OrderItems_SKU,I23)-SUMIFS(OrderItems_Qty,OrderItems_Type,"SALE",OrderItems_SKU,I23))</f>
        <v>0</v>
      </c>
      <c r="Q23" s="6"/>
      <c r="R23" s="6"/>
      <c r="S23" s="6"/>
      <c r="T23" s="6"/>
      <c r="U23" s="6"/>
      <c r="V23" s="6"/>
      <c r="W23" s="6"/>
      <c r="X23" s="6"/>
      <c r="Y23" s="6"/>
      <c r="Z23" s="6"/>
    </row>
    <row r="24" customFormat="false" ht="18" hidden="false" customHeight="true" outlineLevel="0" collapsed="false">
      <c r="A24" s="64"/>
      <c r="B24" s="64"/>
      <c r="C24" s="6"/>
      <c r="D24" s="45"/>
      <c r="E24" s="6"/>
      <c r="F24" s="6"/>
      <c r="G24" s="6"/>
      <c r="H24" s="22"/>
      <c r="I24" s="58"/>
      <c r="J24" s="59"/>
      <c r="K24" s="52"/>
      <c r="L24" s="55"/>
      <c r="M24" s="60"/>
      <c r="N24" s="55"/>
      <c r="O24" s="61"/>
      <c r="P24" s="62" t="n">
        <f aca="true">IF(I24="","",SUMIFS(OrderItems_Qty,OrderItems_Type,"PURCHASE",OrderItems_SKU,I24)-SUMIFS(OrderItems_Qty,OrderItems_Type,"SALE",OrderItems_SKU,I24))</f>
        <v>0</v>
      </c>
      <c r="Q24" s="6"/>
      <c r="R24" s="6"/>
      <c r="S24" s="6"/>
      <c r="T24" s="6"/>
      <c r="U24" s="6"/>
      <c r="V24" s="6"/>
      <c r="W24" s="6"/>
      <c r="X24" s="6"/>
      <c r="Y24" s="6"/>
      <c r="Z24" s="6"/>
    </row>
    <row r="25" customFormat="false" ht="17.25" hidden="false" customHeight="true" outlineLevel="0" collapsed="false">
      <c r="A25" s="64"/>
      <c r="B25" s="64"/>
      <c r="C25" s="6"/>
      <c r="D25" s="45"/>
      <c r="E25" s="6"/>
      <c r="F25" s="6"/>
      <c r="G25" s="6"/>
      <c r="H25" s="22"/>
      <c r="I25" s="58"/>
      <c r="J25" s="21"/>
      <c r="K25" s="52"/>
      <c r="L25" s="55"/>
      <c r="M25" s="60"/>
      <c r="N25" s="55"/>
      <c r="O25" s="61"/>
      <c r="P25" s="22" t="n">
        <f aca="true">IF(I25="","",SUMIFS(OrderItems_Qty,OrderItems_Type,"PURCHASE",OrderItems_SKU,I25)-SUMIFS(OrderItems_Qty,OrderItems_Type,"SALE",OrderItems_SKU,I25))</f>
        <v>0</v>
      </c>
      <c r="Q25" s="6"/>
      <c r="R25" s="6"/>
      <c r="S25" s="6"/>
      <c r="T25" s="6"/>
      <c r="U25" s="6"/>
      <c r="V25" s="6"/>
      <c r="W25" s="6"/>
      <c r="X25" s="6"/>
      <c r="Y25" s="6"/>
      <c r="Z25" s="6"/>
    </row>
    <row r="26" customFormat="false" ht="17.25" hidden="false" customHeight="true" outlineLevel="0" collapsed="false">
      <c r="A26" s="64"/>
      <c r="B26" s="64"/>
      <c r="C26" s="6"/>
      <c r="D26" s="45"/>
      <c r="E26" s="6"/>
      <c r="F26" s="6"/>
      <c r="G26" s="6"/>
      <c r="H26" s="22"/>
      <c r="I26" s="58"/>
      <c r="J26" s="21"/>
      <c r="K26" s="52"/>
      <c r="L26" s="55"/>
      <c r="M26" s="60"/>
      <c r="N26" s="55"/>
      <c r="O26" s="61"/>
      <c r="P26" s="22" t="n">
        <f aca="true">IF(I26="","",SUMIFS(OrderItems_Qty,OrderItems_Type,"PURCHASE",OrderItems_SKU,I26)-SUMIFS(OrderItems_Qty,OrderItems_Type,"SALE",OrderItems_SKU,I26))</f>
        <v>0</v>
      </c>
      <c r="Q26" s="6"/>
      <c r="R26" s="6"/>
      <c r="S26" s="6"/>
      <c r="T26" s="6"/>
      <c r="U26" s="6"/>
      <c r="V26" s="6"/>
      <c r="W26" s="6"/>
      <c r="X26" s="6"/>
      <c r="Y26" s="6"/>
      <c r="Z26" s="6"/>
    </row>
    <row r="27" customFormat="false" ht="17.25" hidden="false" customHeight="true" outlineLevel="0" collapsed="false">
      <c r="A27" s="64"/>
      <c r="B27" s="64"/>
      <c r="C27" s="6"/>
      <c r="D27" s="45"/>
      <c r="E27" s="6"/>
      <c r="F27" s="6"/>
      <c r="G27" s="6"/>
      <c r="H27" s="22"/>
      <c r="I27" s="58"/>
      <c r="J27" s="21"/>
      <c r="K27" s="52"/>
      <c r="L27" s="55"/>
      <c r="M27" s="60"/>
      <c r="N27" s="55"/>
      <c r="O27" s="61"/>
      <c r="P27" s="22" t="n">
        <f aca="true">IF(I27="","",SUMIFS(OrderItems_Qty,OrderItems_Type,"PURCHASE",OrderItems_SKU,I27)-SUMIFS(OrderItems_Qty,OrderItems_Type,"SALE",OrderItems_SKU,I27))</f>
        <v>0</v>
      </c>
      <c r="Q27" s="6"/>
      <c r="R27" s="6"/>
      <c r="S27" s="6"/>
      <c r="T27" s="6"/>
      <c r="U27" s="6"/>
      <c r="V27" s="6"/>
      <c r="W27" s="6"/>
      <c r="X27" s="6"/>
      <c r="Y27" s="6"/>
      <c r="Z27" s="6"/>
    </row>
    <row r="28" customFormat="false" ht="17.25" hidden="false" customHeight="true" outlineLevel="0" collapsed="false">
      <c r="A28" s="64"/>
      <c r="B28" s="64"/>
      <c r="C28" s="6"/>
      <c r="D28" s="45"/>
      <c r="E28" s="6"/>
      <c r="F28" s="6"/>
      <c r="G28" s="6"/>
      <c r="H28" s="22"/>
      <c r="I28" s="58"/>
      <c r="J28" s="21"/>
      <c r="K28" s="52"/>
      <c r="L28" s="55"/>
      <c r="M28" s="60"/>
      <c r="N28" s="55"/>
      <c r="O28" s="61"/>
      <c r="P28" s="22" t="n">
        <f aca="true">IF(I28="","",SUMIFS(OrderItems_Qty,OrderItems_Type,"PURCHASE",OrderItems_SKU,I28)-SUMIFS(OrderItems_Qty,OrderItems_Type,"SALE",OrderItems_SKU,I28))</f>
        <v>0</v>
      </c>
      <c r="Q28" s="6"/>
      <c r="R28" s="6"/>
      <c r="S28" s="6"/>
      <c r="T28" s="6"/>
      <c r="U28" s="6"/>
      <c r="V28" s="6"/>
      <c r="W28" s="6"/>
      <c r="X28" s="6"/>
      <c r="Y28" s="6"/>
      <c r="Z28" s="6"/>
    </row>
    <row r="29" customFormat="false" ht="17.25" hidden="false" customHeight="true" outlineLevel="0" collapsed="false">
      <c r="A29" s="64"/>
      <c r="B29" s="64"/>
      <c r="C29" s="6"/>
      <c r="D29" s="45"/>
      <c r="E29" s="6"/>
      <c r="F29" s="6"/>
      <c r="G29" s="6"/>
      <c r="H29" s="22"/>
      <c r="I29" s="58"/>
      <c r="J29" s="21"/>
      <c r="K29" s="52"/>
      <c r="L29" s="55"/>
      <c r="M29" s="60"/>
      <c r="N29" s="55"/>
      <c r="O29" s="61"/>
      <c r="P29" s="21" t="n">
        <f aca="true">IF(I29="","",SUMIFS(OrderItems_Qty,OrderItems_Type,"PURCHASE",OrderItems_SKU,I29)-SUMIFS(OrderItems_Qty,OrderItems_Type,"SALE",OrderItems_SKU,I29))</f>
        <v>0</v>
      </c>
      <c r="Q29" s="6"/>
      <c r="R29" s="6"/>
      <c r="S29" s="6"/>
      <c r="T29" s="6"/>
      <c r="U29" s="6"/>
      <c r="V29" s="6"/>
      <c r="W29" s="6"/>
      <c r="X29" s="6"/>
      <c r="Y29" s="6"/>
      <c r="Z29" s="6"/>
    </row>
    <row r="30" customFormat="false" ht="17.25" hidden="false" customHeight="true" outlineLevel="0" collapsed="false">
      <c r="A30" s="64"/>
      <c r="B30" s="64"/>
      <c r="C30" s="6"/>
      <c r="D30" s="45"/>
      <c r="E30" s="6"/>
      <c r="F30" s="6"/>
      <c r="G30" s="6"/>
      <c r="H30" s="22"/>
      <c r="I30" s="69"/>
      <c r="J30" s="6"/>
      <c r="K30" s="52"/>
      <c r="L30" s="70"/>
      <c r="M30" s="71"/>
      <c r="N30" s="70"/>
      <c r="O30" s="72"/>
      <c r="P30" s="6" t="n">
        <f aca="true">IF(I30="","",SUMIFS(OrderItems_Qty,OrderItems_Type,"PURCHASE",OrderItems_SKU,I30)-SUMIFS(OrderItems_Qty,OrderItems_Type,"SALE",OrderItems_SKU,I30))</f>
        <v>0</v>
      </c>
      <c r="Q30" s="6"/>
      <c r="R30" s="6"/>
      <c r="S30" s="6"/>
      <c r="T30" s="6"/>
      <c r="U30" s="6"/>
      <c r="V30" s="6"/>
      <c r="W30" s="6"/>
      <c r="X30" s="6"/>
      <c r="Y30" s="6"/>
      <c r="Z30" s="6"/>
    </row>
    <row r="31" customFormat="false" ht="17.25" hidden="false" customHeight="true" outlineLevel="0" collapsed="false">
      <c r="A31" s="64"/>
      <c r="B31" s="64"/>
      <c r="C31" s="6"/>
      <c r="D31" s="45"/>
      <c r="E31" s="6"/>
      <c r="F31" s="6"/>
      <c r="G31" s="6"/>
      <c r="H31" s="22"/>
      <c r="I31" s="69"/>
      <c r="J31" s="6"/>
      <c r="K31" s="52"/>
      <c r="L31" s="70"/>
      <c r="M31" s="71"/>
      <c r="N31" s="70"/>
      <c r="O31" s="72"/>
      <c r="P31" s="6" t="n">
        <f aca="true">IF(I31="","",SUMIFS(OrderItems_Qty,OrderItems_Type,"PURCHASE",OrderItems_SKU,I31)-SUMIFS(OrderItems_Qty,OrderItems_Type,"SALE",OrderItems_SKU,I31))</f>
        <v>0</v>
      </c>
      <c r="Q31" s="6"/>
      <c r="R31" s="6"/>
      <c r="S31" s="6"/>
      <c r="T31" s="6"/>
      <c r="U31" s="6"/>
      <c r="V31" s="6"/>
      <c r="W31" s="6"/>
      <c r="X31" s="6"/>
      <c r="Y31" s="6"/>
      <c r="Z31" s="6"/>
    </row>
    <row r="32" customFormat="false" ht="17.25" hidden="false" customHeight="true" outlineLevel="0" collapsed="false">
      <c r="A32" s="64"/>
      <c r="B32" s="64"/>
      <c r="C32" s="6"/>
      <c r="D32" s="45"/>
      <c r="E32" s="6"/>
      <c r="F32" s="6"/>
      <c r="G32" s="6"/>
      <c r="H32" s="22"/>
      <c r="I32" s="69"/>
      <c r="J32" s="6"/>
      <c r="K32" s="52"/>
      <c r="L32" s="70"/>
      <c r="M32" s="71"/>
      <c r="N32" s="70"/>
      <c r="O32" s="72"/>
      <c r="P32" s="6" t="n">
        <f aca="true">IF(I32="","",SUMIFS(OrderItems_Qty,OrderItems_Type,"PURCHASE",OrderItems_SKU,I32)-SUMIFS(OrderItems_Qty,OrderItems_Type,"SALE",OrderItems_SKU,I32))</f>
        <v>0</v>
      </c>
      <c r="Q32" s="6"/>
      <c r="R32" s="6"/>
      <c r="S32" s="6"/>
      <c r="T32" s="6"/>
      <c r="U32" s="6"/>
      <c r="V32" s="6"/>
      <c r="W32" s="6"/>
      <c r="X32" s="6"/>
      <c r="Y32" s="6"/>
      <c r="Z32" s="6"/>
    </row>
    <row r="33" customFormat="false" ht="17.25" hidden="false" customHeight="true" outlineLevel="0" collapsed="false">
      <c r="A33" s="64"/>
      <c r="B33" s="64"/>
      <c r="C33" s="6"/>
      <c r="D33" s="45"/>
      <c r="E33" s="6"/>
      <c r="F33" s="6"/>
      <c r="G33" s="6"/>
      <c r="H33" s="22"/>
      <c r="I33" s="69"/>
      <c r="J33" s="6"/>
      <c r="K33" s="52"/>
      <c r="L33" s="70"/>
      <c r="M33" s="71"/>
      <c r="N33" s="70"/>
      <c r="O33" s="72"/>
      <c r="P33" s="6" t="n">
        <f aca="true">IF(I33="","",SUMIFS(OrderItems_Qty,OrderItems_Type,"PURCHASE",OrderItems_SKU,I33)-SUMIFS(OrderItems_Qty,OrderItems_Type,"SALE",OrderItems_SKU,I33))</f>
        <v>0</v>
      </c>
      <c r="Q33" s="6"/>
      <c r="R33" s="6"/>
      <c r="S33" s="6"/>
      <c r="T33" s="6"/>
      <c r="U33" s="6"/>
      <c r="V33" s="6"/>
      <c r="W33" s="6"/>
      <c r="X33" s="6"/>
      <c r="Y33" s="6"/>
      <c r="Z33" s="6"/>
    </row>
    <row r="34" customFormat="false" ht="17.25" hidden="false" customHeight="true" outlineLevel="0" collapsed="false">
      <c r="A34" s="64"/>
      <c r="B34" s="64"/>
      <c r="C34" s="6"/>
      <c r="D34" s="45"/>
      <c r="E34" s="6"/>
      <c r="F34" s="6"/>
      <c r="G34" s="6"/>
      <c r="H34" s="22"/>
      <c r="I34" s="69"/>
      <c r="J34" s="6"/>
      <c r="K34" s="52"/>
      <c r="L34" s="73"/>
      <c r="M34" s="71"/>
      <c r="N34" s="70"/>
      <c r="O34" s="72"/>
      <c r="P34" s="6" t="n">
        <f aca="true">IF(I34="","",SUMIFS(OrderItems_Qty,OrderItems_Type,"PURCHASE",OrderItems_SKU,I34)-SUMIFS(OrderItems_Qty,OrderItems_Type,"SALE",OrderItems_SKU,I34))</f>
        <v>0</v>
      </c>
      <c r="Q34" s="6"/>
      <c r="R34" s="6"/>
      <c r="S34" s="6"/>
      <c r="T34" s="6"/>
      <c r="U34" s="6"/>
      <c r="V34" s="6"/>
      <c r="W34" s="6"/>
      <c r="X34" s="6"/>
      <c r="Y34" s="6"/>
      <c r="Z34" s="6"/>
    </row>
    <row r="35" customFormat="false" ht="17.25" hidden="false" customHeight="true" outlineLevel="0" collapsed="false">
      <c r="A35" s="64"/>
      <c r="B35" s="64"/>
      <c r="C35" s="6"/>
      <c r="D35" s="45"/>
      <c r="E35" s="6"/>
      <c r="F35" s="6"/>
      <c r="G35" s="6"/>
      <c r="H35" s="22"/>
      <c r="I35" s="69"/>
      <c r="J35" s="6"/>
      <c r="K35" s="52"/>
      <c r="L35" s="73"/>
      <c r="M35" s="71"/>
      <c r="N35" s="70"/>
      <c r="O35" s="72"/>
      <c r="P35" s="6" t="n">
        <f aca="true">IF(I35="","",SUMIFS(OrderItems_Qty,OrderItems_Type,"PURCHASE",OrderItems_SKU,I35)-SUMIFS(OrderItems_Qty,OrderItems_Type,"SALE",OrderItems_SKU,I35))</f>
        <v>0</v>
      </c>
      <c r="Q35" s="6"/>
      <c r="R35" s="6"/>
      <c r="S35" s="6"/>
      <c r="T35" s="6"/>
      <c r="U35" s="6"/>
      <c r="V35" s="6"/>
      <c r="W35" s="6"/>
      <c r="X35" s="6"/>
      <c r="Y35" s="6"/>
      <c r="Z35" s="6"/>
    </row>
    <row r="36" customFormat="false" ht="17.25" hidden="false" customHeight="true" outlineLevel="0" collapsed="false">
      <c r="A36" s="64"/>
      <c r="B36" s="64"/>
      <c r="C36" s="6"/>
      <c r="D36" s="45"/>
      <c r="E36" s="6"/>
      <c r="F36" s="6"/>
      <c r="G36" s="6"/>
      <c r="H36" s="22"/>
      <c r="I36" s="69"/>
      <c r="J36" s="6"/>
      <c r="K36" s="52"/>
      <c r="L36" s="73"/>
      <c r="M36" s="71"/>
      <c r="N36" s="70"/>
      <c r="O36" s="72"/>
      <c r="P36" s="6" t="n">
        <f aca="true">IF(I36="","",SUMIFS(OrderItems_Qty,OrderItems_Type,"PURCHASE",OrderItems_SKU,I36)-SUMIFS(OrderItems_Qty,OrderItems_Type,"SALE",OrderItems_SKU,I36))</f>
        <v>0</v>
      </c>
      <c r="Q36" s="6"/>
      <c r="R36" s="6"/>
      <c r="S36" s="6"/>
      <c r="T36" s="6"/>
      <c r="U36" s="6"/>
      <c r="V36" s="6"/>
      <c r="W36" s="6"/>
      <c r="X36" s="6"/>
      <c r="Y36" s="6"/>
      <c r="Z36" s="6"/>
    </row>
    <row r="37" customFormat="false" ht="17.25" hidden="false" customHeight="true" outlineLevel="0" collapsed="false">
      <c r="A37" s="64"/>
      <c r="B37" s="64"/>
      <c r="C37" s="6"/>
      <c r="D37" s="45"/>
      <c r="E37" s="6"/>
      <c r="F37" s="6"/>
      <c r="G37" s="6"/>
      <c r="H37" s="22"/>
      <c r="I37" s="69"/>
      <c r="J37" s="6"/>
      <c r="K37" s="52"/>
      <c r="L37" s="73"/>
      <c r="M37" s="71"/>
      <c r="N37" s="70"/>
      <c r="O37" s="72"/>
      <c r="P37" s="6" t="n">
        <f aca="true">IF(I37="","",SUMIFS(OrderItems_Qty,OrderItems_Type,"PURCHASE",OrderItems_SKU,I37)-SUMIFS(OrderItems_Qty,OrderItems_Type,"SALE",OrderItems_SKU,I37))</f>
        <v>0</v>
      </c>
      <c r="Q37" s="6"/>
      <c r="R37" s="6"/>
      <c r="S37" s="6"/>
      <c r="T37" s="6"/>
      <c r="U37" s="6"/>
      <c r="V37" s="6"/>
      <c r="W37" s="6"/>
      <c r="X37" s="6"/>
      <c r="Y37" s="6"/>
      <c r="Z37" s="6"/>
    </row>
    <row r="38" customFormat="false" ht="17.25" hidden="false" customHeight="true" outlineLevel="0" collapsed="false">
      <c r="A38" s="64"/>
      <c r="B38" s="64"/>
      <c r="C38" s="6"/>
      <c r="D38" s="45"/>
      <c r="E38" s="6"/>
      <c r="F38" s="6"/>
      <c r="G38" s="6"/>
      <c r="H38" s="22"/>
      <c r="I38" s="69"/>
      <c r="J38" s="6"/>
      <c r="K38" s="52"/>
      <c r="L38" s="73"/>
      <c r="M38" s="71"/>
      <c r="N38" s="70"/>
      <c r="O38" s="72"/>
      <c r="P38" s="6" t="n">
        <f aca="true">IF(I38="","",SUMIFS(OrderItems_Qty,OrderItems_Type,"PURCHASE",OrderItems_SKU,I38)-SUMIFS(OrderItems_Qty,OrderItems_Type,"SALE",OrderItems_SKU,I38))</f>
        <v>0</v>
      </c>
      <c r="Q38" s="6"/>
      <c r="R38" s="6"/>
      <c r="S38" s="6"/>
      <c r="T38" s="6"/>
      <c r="U38" s="6"/>
      <c r="V38" s="6"/>
      <c r="W38" s="6"/>
      <c r="X38" s="6"/>
      <c r="Y38" s="6"/>
      <c r="Z38" s="6"/>
    </row>
    <row r="39" customFormat="false" ht="17.25" hidden="false" customHeight="true" outlineLevel="0" collapsed="false">
      <c r="C39" s="6"/>
      <c r="D39" s="45"/>
      <c r="E39" s="6"/>
      <c r="F39" s="6"/>
      <c r="G39" s="6"/>
      <c r="H39" s="22"/>
      <c r="I39" s="69"/>
      <c r="J39" s="6"/>
      <c r="K39" s="52"/>
      <c r="L39" s="73"/>
      <c r="M39" s="71"/>
      <c r="N39" s="70"/>
      <c r="O39" s="72"/>
      <c r="P39" s="6" t="n">
        <f aca="true">IF(I39="","",SUMIFS(OrderItems_Qty,OrderItems_Type,"PURCHASE",OrderItems_SKU,I39)-SUMIFS(OrderItems_Qty,OrderItems_Type,"SALE",OrderItems_SKU,I39))</f>
        <v>0</v>
      </c>
      <c r="Q39" s="6"/>
      <c r="R39" s="6"/>
      <c r="S39" s="6"/>
      <c r="T39" s="6"/>
      <c r="U39" s="6"/>
      <c r="V39" s="6"/>
      <c r="W39" s="6"/>
      <c r="X39" s="6"/>
      <c r="Y39" s="6"/>
      <c r="Z39" s="6"/>
    </row>
    <row r="40" customFormat="false" ht="17.25" hidden="false" customHeight="true" outlineLevel="0" collapsed="false">
      <c r="C40" s="6"/>
      <c r="D40" s="45"/>
      <c r="E40" s="6"/>
      <c r="F40" s="6"/>
      <c r="G40" s="6"/>
      <c r="H40" s="6"/>
      <c r="I40" s="69"/>
      <c r="J40" s="6"/>
      <c r="K40" s="52"/>
      <c r="L40" s="73"/>
      <c r="M40" s="71"/>
      <c r="N40" s="70"/>
      <c r="O40" s="72"/>
      <c r="P40" s="6" t="n">
        <f aca="true">IF(I40="","",SUMIFS(OrderItems_Qty,OrderItems_Type,"PURCHASE",OrderItems_SKU,I40)-SUMIFS(OrderItems_Qty,OrderItems_Type,"SALE",OrderItems_SKU,I40))</f>
        <v>0</v>
      </c>
      <c r="Q40" s="6"/>
      <c r="R40" s="6"/>
      <c r="S40" s="6"/>
      <c r="T40" s="6"/>
      <c r="U40" s="6"/>
      <c r="V40" s="6"/>
      <c r="W40" s="6"/>
      <c r="X40" s="6"/>
      <c r="Y40" s="6"/>
      <c r="Z40" s="6"/>
    </row>
    <row r="41" customFormat="false" ht="17.25" hidden="false" customHeight="true" outlineLevel="0" collapsed="false">
      <c r="C41" s="6"/>
      <c r="D41" s="45"/>
      <c r="E41" s="6"/>
      <c r="F41" s="6"/>
      <c r="G41" s="6"/>
      <c r="H41" s="6"/>
      <c r="I41" s="69"/>
      <c r="J41" s="6"/>
      <c r="K41" s="52"/>
      <c r="L41" s="73"/>
      <c r="M41" s="71"/>
      <c r="N41" s="70"/>
      <c r="O41" s="72"/>
      <c r="P41" s="6" t="n">
        <f aca="true">IF(I41="","",SUMIFS(OrderItems_Qty,OrderItems_Type,"PURCHASE",OrderItems_SKU,I41)-SUMIFS(OrderItems_Qty,OrderItems_Type,"SALE",OrderItems_SKU,I41))</f>
        <v>0</v>
      </c>
      <c r="Q41" s="6"/>
      <c r="R41" s="6"/>
      <c r="S41" s="6"/>
      <c r="T41" s="6"/>
      <c r="U41" s="6"/>
      <c r="V41" s="6"/>
      <c r="W41" s="6"/>
      <c r="X41" s="6"/>
      <c r="Y41" s="6"/>
      <c r="Z41" s="6"/>
    </row>
    <row r="42" customFormat="false" ht="17.25" hidden="false" customHeight="true" outlineLevel="0" collapsed="false">
      <c r="C42" s="6"/>
      <c r="D42" s="45"/>
      <c r="E42" s="6"/>
      <c r="F42" s="6"/>
      <c r="G42" s="6"/>
      <c r="H42" s="6"/>
      <c r="I42" s="69"/>
      <c r="J42" s="6"/>
      <c r="K42" s="52"/>
      <c r="L42" s="73"/>
      <c r="M42" s="71"/>
      <c r="N42" s="70"/>
      <c r="O42" s="72"/>
      <c r="P42" s="6" t="n">
        <f aca="true">IF(I42="","",SUMIFS(OrderItems_Qty,OrderItems_Type,"PURCHASE",OrderItems_SKU,I42)-SUMIFS(OrderItems_Qty,OrderItems_Type,"SALE",OrderItems_SKU,I42))</f>
        <v>0</v>
      </c>
      <c r="Q42" s="6"/>
      <c r="R42" s="6"/>
      <c r="S42" s="6"/>
      <c r="T42" s="6"/>
      <c r="U42" s="6"/>
      <c r="V42" s="6"/>
      <c r="W42" s="6"/>
      <c r="X42" s="6"/>
      <c r="Y42" s="6"/>
      <c r="Z42" s="6"/>
    </row>
    <row r="43" customFormat="false" ht="17.25" hidden="false" customHeight="true" outlineLevel="0" collapsed="false">
      <c r="C43" s="6"/>
      <c r="D43" s="45"/>
      <c r="E43" s="6"/>
      <c r="F43" s="6"/>
      <c r="G43" s="6"/>
      <c r="H43" s="6"/>
      <c r="I43" s="69"/>
      <c r="J43" s="6"/>
      <c r="K43" s="52"/>
      <c r="L43" s="73"/>
      <c r="M43" s="71"/>
      <c r="N43" s="70"/>
      <c r="O43" s="72"/>
      <c r="P43" s="6" t="n">
        <f aca="true">IF(I43="","",SUMIFS(OrderItems_Qty,OrderItems_Type,"PURCHASE",OrderItems_SKU,I43)-SUMIFS(OrderItems_Qty,OrderItems_Type,"SALE",OrderItems_SKU,I43))</f>
        <v>0</v>
      </c>
      <c r="Q43" s="6"/>
      <c r="R43" s="6"/>
      <c r="S43" s="6"/>
      <c r="T43" s="6"/>
      <c r="U43" s="6"/>
      <c r="V43" s="6"/>
      <c r="W43" s="6"/>
      <c r="X43" s="6"/>
      <c r="Y43" s="6"/>
      <c r="Z43" s="6"/>
    </row>
    <row r="44" customFormat="false" ht="17.25" hidden="false" customHeight="true" outlineLevel="0" collapsed="false">
      <c r="C44" s="6"/>
      <c r="D44" s="45"/>
      <c r="E44" s="6"/>
      <c r="F44" s="6"/>
      <c r="G44" s="6"/>
      <c r="H44" s="6"/>
      <c r="I44" s="69"/>
      <c r="J44" s="6"/>
      <c r="K44" s="52"/>
      <c r="L44" s="73"/>
      <c r="M44" s="71"/>
      <c r="N44" s="70"/>
      <c r="O44" s="72"/>
      <c r="P44" s="6" t="n">
        <f aca="true">IF(I44="","",SUMIFS(OrderItems_Qty,OrderItems_Type,"PURCHASE",OrderItems_SKU,I44)-SUMIFS(OrderItems_Qty,OrderItems_Type,"SALE",OrderItems_SKU,I44))</f>
        <v>0</v>
      </c>
      <c r="Q44" s="6"/>
      <c r="R44" s="6"/>
      <c r="S44" s="6"/>
      <c r="T44" s="6"/>
      <c r="U44" s="6"/>
      <c r="V44" s="6"/>
      <c r="W44" s="6"/>
      <c r="X44" s="6"/>
      <c r="Y44" s="6"/>
      <c r="Z44" s="6"/>
    </row>
    <row r="45" customFormat="false" ht="17.25" hidden="false" customHeight="true" outlineLevel="0" collapsed="false">
      <c r="C45" s="6"/>
      <c r="D45" s="45"/>
      <c r="E45" s="6"/>
      <c r="F45" s="6"/>
      <c r="G45" s="6"/>
      <c r="H45" s="6"/>
      <c r="I45" s="69"/>
      <c r="J45" s="6"/>
      <c r="K45" s="52"/>
      <c r="L45" s="73"/>
      <c r="M45" s="71"/>
      <c r="N45" s="70"/>
      <c r="O45" s="72"/>
      <c r="P45" s="6" t="n">
        <f aca="true">IF(I45="","",SUMIFS(OrderItems_Qty,OrderItems_Type,"PURCHASE",OrderItems_SKU,I45)-SUMIFS(OrderItems_Qty,OrderItems_Type,"SALE",OrderItems_SKU,I45))</f>
        <v>0</v>
      </c>
      <c r="Q45" s="6"/>
      <c r="R45" s="6"/>
      <c r="S45" s="6"/>
      <c r="T45" s="6"/>
      <c r="U45" s="6"/>
      <c r="V45" s="6"/>
      <c r="W45" s="6"/>
      <c r="X45" s="6"/>
      <c r="Y45" s="6"/>
      <c r="Z45" s="6"/>
    </row>
    <row r="46" customFormat="false" ht="17.25" hidden="false" customHeight="true" outlineLevel="0" collapsed="false">
      <c r="C46" s="6"/>
      <c r="D46" s="45"/>
      <c r="E46" s="6"/>
      <c r="F46" s="6"/>
      <c r="G46" s="6"/>
      <c r="H46" s="6"/>
      <c r="I46" s="69"/>
      <c r="J46" s="6"/>
      <c r="K46" s="52"/>
      <c r="L46" s="73"/>
      <c r="M46" s="71"/>
      <c r="N46" s="70"/>
      <c r="O46" s="72"/>
      <c r="P46" s="6" t="n">
        <f aca="true">IF(I46="","",SUMIFS(OrderItems_Qty,OrderItems_Type,"PURCHASE",OrderItems_SKU,I46)-SUMIFS(OrderItems_Qty,OrderItems_Type,"SALE",OrderItems_SKU,I46))</f>
        <v>0</v>
      </c>
      <c r="Q46" s="6"/>
      <c r="R46" s="6"/>
      <c r="S46" s="6"/>
      <c r="T46" s="6"/>
      <c r="U46" s="6"/>
      <c r="V46" s="6"/>
      <c r="W46" s="6"/>
      <c r="X46" s="6"/>
      <c r="Y46" s="6"/>
      <c r="Z46" s="6"/>
    </row>
    <row r="47" customFormat="false" ht="17.25" hidden="false" customHeight="true" outlineLevel="0" collapsed="false">
      <c r="C47" s="6"/>
      <c r="D47" s="45"/>
      <c r="E47" s="6"/>
      <c r="F47" s="6"/>
      <c r="G47" s="6"/>
      <c r="H47" s="6"/>
      <c r="I47" s="69"/>
      <c r="J47" s="6"/>
      <c r="K47" s="52"/>
      <c r="L47" s="73"/>
      <c r="M47" s="71"/>
      <c r="N47" s="70"/>
      <c r="O47" s="72"/>
      <c r="P47" s="6" t="n">
        <f aca="true">IF(I47="","",SUMIFS(OrderItems_Qty,OrderItems_Type,"PURCHASE",OrderItems_SKU,I47)-SUMIFS(OrderItems_Qty,OrderItems_Type,"SALE",OrderItems_SKU,I47))</f>
        <v>0</v>
      </c>
      <c r="Q47" s="6"/>
      <c r="R47" s="6"/>
      <c r="S47" s="6"/>
      <c r="T47" s="6"/>
      <c r="U47" s="6"/>
      <c r="V47" s="6"/>
      <c r="W47" s="6"/>
      <c r="X47" s="6"/>
      <c r="Y47" s="6"/>
      <c r="Z47" s="6"/>
    </row>
    <row r="48" customFormat="false" ht="17.25" hidden="false" customHeight="true" outlineLevel="0" collapsed="false">
      <c r="C48" s="6"/>
      <c r="D48" s="45"/>
      <c r="E48" s="6"/>
      <c r="F48" s="6"/>
      <c r="G48" s="6"/>
      <c r="H48" s="6"/>
      <c r="I48" s="69"/>
      <c r="J48" s="6"/>
      <c r="K48" s="52"/>
      <c r="L48" s="73"/>
      <c r="M48" s="71"/>
      <c r="N48" s="70"/>
      <c r="O48" s="72"/>
      <c r="P48" s="6" t="n">
        <f aca="true">IF(I48="","",SUMIFS(OrderItems_Qty,OrderItems_Type,"PURCHASE",OrderItems_SKU,I48)-SUMIFS(OrderItems_Qty,OrderItems_Type,"SALE",OrderItems_SKU,I48))</f>
        <v>0</v>
      </c>
      <c r="Q48" s="6"/>
      <c r="R48" s="6"/>
      <c r="S48" s="6"/>
      <c r="T48" s="6"/>
      <c r="U48" s="6"/>
      <c r="V48" s="6"/>
      <c r="W48" s="6"/>
      <c r="X48" s="6"/>
      <c r="Y48" s="6"/>
      <c r="Z48" s="6"/>
    </row>
    <row r="49" customFormat="false" ht="17.25" hidden="false" customHeight="true" outlineLevel="0" collapsed="false">
      <c r="C49" s="6"/>
      <c r="D49" s="45"/>
      <c r="E49" s="6"/>
      <c r="F49" s="6"/>
      <c r="G49" s="6"/>
      <c r="H49" s="6"/>
      <c r="I49" s="69"/>
      <c r="J49" s="6"/>
      <c r="K49" s="52"/>
      <c r="L49" s="73"/>
      <c r="M49" s="71"/>
      <c r="N49" s="70"/>
      <c r="O49" s="72"/>
      <c r="P49" s="6" t="n">
        <f aca="true">IF(I49="","",SUMIFS(OrderItems_Qty,OrderItems_Type,"PURCHASE",OrderItems_SKU,I49)-SUMIFS(OrderItems_Qty,OrderItems_Type,"SALE",OrderItems_SKU,I49))</f>
        <v>0</v>
      </c>
      <c r="Q49" s="6"/>
      <c r="R49" s="6"/>
      <c r="S49" s="6"/>
      <c r="T49" s="6"/>
      <c r="U49" s="6"/>
      <c r="V49" s="6"/>
      <c r="W49" s="6"/>
      <c r="X49" s="6"/>
      <c r="Y49" s="6"/>
      <c r="Z49" s="6"/>
    </row>
    <row r="50" customFormat="false" ht="17.25" hidden="false" customHeight="true" outlineLevel="0" collapsed="false">
      <c r="C50" s="6"/>
      <c r="D50" s="45"/>
      <c r="E50" s="6"/>
      <c r="F50" s="6"/>
      <c r="G50" s="6"/>
      <c r="H50" s="6"/>
      <c r="I50" s="69"/>
      <c r="J50" s="6"/>
      <c r="K50" s="52"/>
      <c r="L50" s="73"/>
      <c r="M50" s="71"/>
      <c r="N50" s="70"/>
      <c r="O50" s="72"/>
      <c r="P50" s="6" t="n">
        <f aca="true">IF(I50="","",SUMIFS(OrderItems_Qty,OrderItems_Type,"PURCHASE",OrderItems_SKU,I50)-SUMIFS(OrderItems_Qty,OrderItems_Type,"SALE",OrderItems_SKU,I50))</f>
        <v>0</v>
      </c>
      <c r="Q50" s="6"/>
      <c r="R50" s="6"/>
      <c r="S50" s="6"/>
      <c r="T50" s="6"/>
      <c r="U50" s="6"/>
      <c r="V50" s="6"/>
      <c r="W50" s="6"/>
      <c r="X50" s="6"/>
      <c r="Y50" s="6"/>
      <c r="Z50" s="6"/>
    </row>
    <row r="51" customFormat="false" ht="17.25" hidden="false" customHeight="true" outlineLevel="0" collapsed="false">
      <c r="C51" s="6"/>
      <c r="D51" s="45"/>
      <c r="E51" s="6"/>
      <c r="F51" s="6"/>
      <c r="G51" s="6"/>
      <c r="H51" s="6"/>
      <c r="I51" s="69"/>
      <c r="J51" s="6"/>
      <c r="K51" s="52"/>
      <c r="L51" s="73"/>
      <c r="M51" s="71"/>
      <c r="N51" s="70"/>
      <c r="O51" s="72"/>
      <c r="P51" s="6" t="n">
        <f aca="true">IF(I51="","",SUMIFS(OrderItems_Qty,OrderItems_Type,"PURCHASE",OrderItems_SKU,I51)-SUMIFS(OrderItems_Qty,OrderItems_Type,"SALE",OrderItems_SKU,I51))</f>
        <v>0</v>
      </c>
      <c r="Q51" s="6"/>
      <c r="R51" s="6"/>
      <c r="S51" s="6"/>
      <c r="T51" s="6"/>
      <c r="U51" s="6"/>
      <c r="V51" s="6"/>
      <c r="W51" s="6"/>
      <c r="X51" s="6"/>
      <c r="Y51" s="6"/>
      <c r="Z51" s="6"/>
    </row>
    <row r="52" customFormat="false" ht="17.25" hidden="false" customHeight="true" outlineLevel="0" collapsed="false">
      <c r="C52" s="6"/>
      <c r="D52" s="45"/>
      <c r="E52" s="6"/>
      <c r="F52" s="6"/>
      <c r="G52" s="6"/>
      <c r="H52" s="6"/>
      <c r="I52" s="69"/>
      <c r="J52" s="6"/>
      <c r="K52" s="52"/>
      <c r="L52" s="73"/>
      <c r="M52" s="71"/>
      <c r="N52" s="70"/>
      <c r="O52" s="72"/>
      <c r="P52" s="6" t="n">
        <f aca="true">IF(I52="","",SUMIFS(OrderItems_Qty,OrderItems_Type,"PURCHASE",OrderItems_SKU,I52)-SUMIFS(OrderItems_Qty,OrderItems_Type,"SALE",OrderItems_SKU,I52))</f>
        <v>0</v>
      </c>
      <c r="Q52" s="6"/>
      <c r="R52" s="6"/>
      <c r="S52" s="6"/>
      <c r="T52" s="6"/>
      <c r="U52" s="6"/>
      <c r="V52" s="6"/>
      <c r="W52" s="6"/>
      <c r="X52" s="6"/>
      <c r="Y52" s="6"/>
      <c r="Z52" s="6"/>
    </row>
    <row r="53" customFormat="false" ht="17.25" hidden="false" customHeight="true" outlineLevel="0" collapsed="false">
      <c r="C53" s="6"/>
      <c r="D53" s="45"/>
      <c r="E53" s="6"/>
      <c r="F53" s="6"/>
      <c r="G53" s="6"/>
      <c r="H53" s="6"/>
      <c r="I53" s="69"/>
      <c r="J53" s="6"/>
      <c r="K53" s="52"/>
      <c r="L53" s="73"/>
      <c r="M53" s="71"/>
      <c r="N53" s="70"/>
      <c r="O53" s="72"/>
      <c r="P53" s="6" t="n">
        <f aca="true">IF(I53="","",SUMIFS(OrderItems_Qty,OrderItems_Type,"PURCHASE",OrderItems_SKU,I53)-SUMIFS(OrderItems_Qty,OrderItems_Type,"SALE",OrderItems_SKU,I53))</f>
        <v>0</v>
      </c>
      <c r="Q53" s="6"/>
      <c r="R53" s="6"/>
      <c r="S53" s="6"/>
      <c r="T53" s="6"/>
      <c r="U53" s="6"/>
      <c r="V53" s="6"/>
      <c r="W53" s="6"/>
      <c r="X53" s="6"/>
      <c r="Y53" s="6"/>
      <c r="Z53" s="6"/>
    </row>
    <row r="54" customFormat="false" ht="17.25" hidden="false" customHeight="true" outlineLevel="0" collapsed="false">
      <c r="C54" s="6"/>
      <c r="D54" s="45"/>
      <c r="E54" s="6"/>
      <c r="F54" s="6"/>
      <c r="G54" s="6"/>
      <c r="H54" s="6"/>
      <c r="I54" s="69"/>
      <c r="J54" s="6"/>
      <c r="K54" s="52"/>
      <c r="L54" s="73"/>
      <c r="M54" s="71"/>
      <c r="N54" s="70"/>
      <c r="O54" s="72"/>
      <c r="P54" s="6" t="n">
        <f aca="true">IF(I54="","",SUMIFS(OrderItems_Qty,OrderItems_Type,"PURCHASE",OrderItems_SKU,I54)-SUMIFS(OrderItems_Qty,OrderItems_Type,"SALE",OrderItems_SKU,I54))</f>
        <v>0</v>
      </c>
      <c r="Q54" s="6"/>
      <c r="R54" s="6"/>
      <c r="S54" s="6"/>
      <c r="T54" s="6"/>
      <c r="U54" s="6"/>
      <c r="V54" s="6"/>
      <c r="W54" s="6"/>
      <c r="X54" s="6"/>
      <c r="Y54" s="6"/>
      <c r="Z54" s="6"/>
    </row>
    <row r="55" customFormat="false" ht="17.25" hidden="false" customHeight="true" outlineLevel="0" collapsed="false">
      <c r="C55" s="6"/>
      <c r="D55" s="45"/>
      <c r="E55" s="6"/>
      <c r="F55" s="6"/>
      <c r="G55" s="6"/>
      <c r="H55" s="6"/>
      <c r="I55" s="69"/>
      <c r="J55" s="6"/>
      <c r="K55" s="52"/>
      <c r="L55" s="73"/>
      <c r="M55" s="71"/>
      <c r="N55" s="70"/>
      <c r="O55" s="72"/>
      <c r="P55" s="6" t="n">
        <f aca="true">IF(I55="","",SUMIFS(OrderItems_Qty,OrderItems_Type,"PURCHASE",OrderItems_SKU,I55)-SUMIFS(OrderItems_Qty,OrderItems_Type,"SALE",OrderItems_SKU,I55))</f>
        <v>0</v>
      </c>
      <c r="Q55" s="6"/>
      <c r="R55" s="6"/>
      <c r="S55" s="6"/>
      <c r="T55" s="6"/>
      <c r="U55" s="6"/>
      <c r="V55" s="6"/>
      <c r="W55" s="6"/>
      <c r="X55" s="6"/>
      <c r="Y55" s="6"/>
      <c r="Z55" s="6"/>
    </row>
    <row r="56" customFormat="false" ht="17.25" hidden="false" customHeight="true" outlineLevel="0" collapsed="false">
      <c r="C56" s="6"/>
      <c r="D56" s="45"/>
      <c r="E56" s="6"/>
      <c r="F56" s="6"/>
      <c r="G56" s="6"/>
      <c r="H56" s="6"/>
      <c r="I56" s="69"/>
      <c r="J56" s="6"/>
      <c r="K56" s="52"/>
      <c r="L56" s="73"/>
      <c r="M56" s="71"/>
      <c r="N56" s="70"/>
      <c r="O56" s="72"/>
      <c r="P56" s="6" t="n">
        <f aca="true">IF(I56="","",SUMIFS(OrderItems_Qty,OrderItems_Type,"PURCHASE",OrderItems_SKU,I56)-SUMIFS(OrderItems_Qty,OrderItems_Type,"SALE",OrderItems_SKU,I56))</f>
        <v>0</v>
      </c>
      <c r="Q56" s="6"/>
      <c r="R56" s="6"/>
      <c r="S56" s="6"/>
      <c r="T56" s="6"/>
      <c r="U56" s="6"/>
      <c r="V56" s="6"/>
      <c r="W56" s="6"/>
      <c r="X56" s="6"/>
      <c r="Y56" s="6"/>
      <c r="Z56" s="6"/>
    </row>
    <row r="57" customFormat="false" ht="17.25" hidden="false" customHeight="true" outlineLevel="0" collapsed="false">
      <c r="C57" s="6"/>
      <c r="D57" s="45"/>
      <c r="E57" s="6"/>
      <c r="F57" s="6"/>
      <c r="G57" s="6"/>
      <c r="H57" s="6"/>
      <c r="I57" s="69"/>
      <c r="J57" s="6"/>
      <c r="K57" s="52"/>
      <c r="L57" s="73"/>
      <c r="M57" s="71"/>
      <c r="N57" s="70"/>
      <c r="O57" s="72"/>
      <c r="P57" s="6" t="n">
        <f aca="true">IF(I57="","",SUMIFS(OrderItems_Qty,OrderItems_Type,"PURCHASE",OrderItems_SKU,I57)-SUMIFS(OrderItems_Qty,OrderItems_Type,"SALE",OrderItems_SKU,I57))</f>
        <v>0</v>
      </c>
      <c r="Q57" s="6"/>
      <c r="R57" s="6"/>
      <c r="S57" s="6"/>
      <c r="T57" s="6"/>
      <c r="U57" s="6"/>
      <c r="V57" s="6"/>
      <c r="W57" s="6"/>
      <c r="X57" s="6"/>
      <c r="Y57" s="6"/>
      <c r="Z57" s="6"/>
    </row>
    <row r="58" customFormat="false" ht="17.25" hidden="false" customHeight="true" outlineLevel="0" collapsed="false">
      <c r="C58" s="6"/>
      <c r="D58" s="45"/>
      <c r="E58" s="6"/>
      <c r="F58" s="6"/>
      <c r="G58" s="6"/>
      <c r="H58" s="6"/>
      <c r="I58" s="69"/>
      <c r="J58" s="6"/>
      <c r="K58" s="52"/>
      <c r="L58" s="73"/>
      <c r="M58" s="71"/>
      <c r="N58" s="70"/>
      <c r="O58" s="72"/>
      <c r="P58" s="6" t="n">
        <f aca="true">IF(I58="","",SUMIFS(OrderItems_Qty,OrderItems_Type,"PURCHASE",OrderItems_SKU,I58)-SUMIFS(OrderItems_Qty,OrderItems_Type,"SALE",OrderItems_SKU,I58))</f>
        <v>0</v>
      </c>
      <c r="Q58" s="6"/>
      <c r="R58" s="6"/>
      <c r="S58" s="6"/>
      <c r="T58" s="6"/>
      <c r="U58" s="6"/>
      <c r="V58" s="6"/>
      <c r="W58" s="6"/>
      <c r="X58" s="6"/>
      <c r="Y58" s="6"/>
      <c r="Z58" s="6"/>
    </row>
    <row r="59" customFormat="false" ht="17.25" hidden="false" customHeight="true" outlineLevel="0" collapsed="false">
      <c r="C59" s="6"/>
      <c r="D59" s="45"/>
      <c r="E59" s="6"/>
      <c r="F59" s="6"/>
      <c r="G59" s="6"/>
      <c r="H59" s="6"/>
      <c r="I59" s="69"/>
      <c r="J59" s="6"/>
      <c r="K59" s="52"/>
      <c r="L59" s="73"/>
      <c r="M59" s="71"/>
      <c r="N59" s="70"/>
      <c r="O59" s="72"/>
      <c r="P59" s="6" t="n">
        <f aca="true">IF(I59="","",SUMIFS(OrderItems_Qty,OrderItems_Type,"PURCHASE",OrderItems_SKU,I59)-SUMIFS(OrderItems_Qty,OrderItems_Type,"SALE",OrderItems_SKU,I59))</f>
        <v>0</v>
      </c>
      <c r="Q59" s="6"/>
      <c r="R59" s="6"/>
      <c r="S59" s="6"/>
      <c r="T59" s="6"/>
      <c r="U59" s="6"/>
      <c r="V59" s="6"/>
      <c r="W59" s="6"/>
      <c r="X59" s="6"/>
      <c r="Y59" s="6"/>
      <c r="Z59" s="6"/>
    </row>
    <row r="60" customFormat="false" ht="14.9" hidden="false" customHeight="false" outlineLevel="0" collapsed="false">
      <c r="C60" s="6"/>
      <c r="D60" s="45"/>
      <c r="E60" s="6"/>
      <c r="F60" s="6"/>
      <c r="G60" s="6"/>
      <c r="H60" s="6"/>
      <c r="I60" s="69"/>
      <c r="J60" s="6"/>
      <c r="K60" s="52"/>
      <c r="L60" s="73"/>
      <c r="M60" s="71"/>
      <c r="N60" s="70"/>
      <c r="O60" s="72"/>
      <c r="P60" s="6" t="n">
        <f aca="true">IF(I60="","",SUMIFS(OrderItems_Qty,OrderItems_Type,"PURCHASE",OrderItems_SKU,I60)-SUMIFS(OrderItems_Qty,OrderItems_Type,"SALE",OrderItems_SKU,I60))</f>
        <v>0</v>
      </c>
      <c r="Q60" s="6"/>
      <c r="R60" s="6"/>
      <c r="S60" s="6"/>
      <c r="T60" s="6"/>
      <c r="U60" s="6"/>
      <c r="V60" s="6"/>
      <c r="W60" s="6"/>
      <c r="X60" s="6"/>
      <c r="Y60" s="6"/>
      <c r="Z60" s="6"/>
    </row>
    <row r="61" customFormat="false" ht="14.9" hidden="false" customHeight="false" outlineLevel="0" collapsed="false">
      <c r="C61" s="6"/>
      <c r="D61" s="45"/>
      <c r="E61" s="6"/>
      <c r="F61" s="6"/>
      <c r="G61" s="6"/>
      <c r="H61" s="6"/>
      <c r="I61" s="69"/>
      <c r="J61" s="6"/>
      <c r="K61" s="52"/>
      <c r="L61" s="73"/>
      <c r="M61" s="71"/>
      <c r="N61" s="70"/>
      <c r="O61" s="72"/>
      <c r="P61" s="6" t="n">
        <f aca="true">IF(I61="","",SUMIFS(OrderItems_Qty,OrderItems_Type,"PURCHASE",OrderItems_SKU,I61)-SUMIFS(OrderItems_Qty,OrderItems_Type,"SALE",OrderItems_SKU,I61))</f>
        <v>0</v>
      </c>
      <c r="Q61" s="6"/>
      <c r="R61" s="6"/>
      <c r="S61" s="6"/>
      <c r="T61" s="6"/>
      <c r="U61" s="6"/>
      <c r="V61" s="6"/>
      <c r="W61" s="6"/>
      <c r="X61" s="6"/>
      <c r="Y61" s="6"/>
      <c r="Z61" s="6"/>
    </row>
    <row r="62" customFormat="false" ht="14.9" hidden="false" customHeight="false" outlineLevel="0" collapsed="false">
      <c r="C62" s="6"/>
      <c r="D62" s="45"/>
      <c r="E62" s="6"/>
      <c r="F62" s="6"/>
      <c r="G62" s="6"/>
      <c r="H62" s="6"/>
      <c r="I62" s="69"/>
      <c r="J62" s="6"/>
      <c r="K62" s="52"/>
      <c r="L62" s="73"/>
      <c r="M62" s="71"/>
      <c r="N62" s="70"/>
      <c r="O62" s="72"/>
      <c r="P62" s="6" t="n">
        <f aca="true">IF(I62="","",SUMIFS(OrderItems_Qty,OrderItems_Type,"PURCHASE",OrderItems_SKU,I62)-SUMIFS(OrderItems_Qty,OrderItems_Type,"SALE",OrderItems_SKU,I62))</f>
        <v>0</v>
      </c>
      <c r="Q62" s="6"/>
      <c r="R62" s="6"/>
      <c r="S62" s="6"/>
      <c r="T62" s="6"/>
      <c r="U62" s="6"/>
      <c r="V62" s="6"/>
      <c r="W62" s="6"/>
      <c r="X62" s="6"/>
      <c r="Y62" s="6"/>
      <c r="Z62" s="6"/>
    </row>
    <row r="63" customFormat="false" ht="14.9" hidden="false" customHeight="false" outlineLevel="0" collapsed="false">
      <c r="C63" s="6"/>
      <c r="D63" s="45"/>
      <c r="E63" s="6"/>
      <c r="F63" s="6"/>
      <c r="G63" s="6"/>
      <c r="H63" s="6"/>
      <c r="I63" s="69"/>
      <c r="J63" s="6"/>
      <c r="K63" s="52"/>
      <c r="L63" s="73"/>
      <c r="M63" s="71"/>
      <c r="N63" s="70"/>
      <c r="O63" s="72"/>
      <c r="P63" s="6" t="n">
        <f aca="true">IF(I63="","",SUMIFS(OrderItems_Qty,OrderItems_Type,"PURCHASE",OrderItems_SKU,I63)-SUMIFS(OrderItems_Qty,OrderItems_Type,"SALE",OrderItems_SKU,I63))</f>
        <v>0</v>
      </c>
      <c r="Q63" s="6"/>
      <c r="R63" s="6"/>
      <c r="S63" s="6"/>
      <c r="T63" s="6"/>
      <c r="U63" s="6"/>
      <c r="V63" s="6"/>
      <c r="W63" s="6"/>
      <c r="X63" s="6"/>
      <c r="Y63" s="6"/>
      <c r="Z63" s="6"/>
    </row>
    <row r="64" customFormat="false" ht="14.9" hidden="false" customHeight="false" outlineLevel="0" collapsed="false">
      <c r="C64" s="6"/>
      <c r="D64" s="45"/>
      <c r="E64" s="6"/>
      <c r="F64" s="6"/>
      <c r="G64" s="6"/>
      <c r="H64" s="6"/>
      <c r="I64" s="69"/>
      <c r="J64" s="6"/>
      <c r="K64" s="52"/>
      <c r="L64" s="73"/>
      <c r="M64" s="71"/>
      <c r="N64" s="70"/>
      <c r="O64" s="72"/>
      <c r="P64" s="6" t="n">
        <f aca="true">IF(I64="","",SUMIFS(OrderItems_Qty,OrderItems_Type,"PURCHASE",OrderItems_SKU,I64)-SUMIFS(OrderItems_Qty,OrderItems_Type,"SALE",OrderItems_SKU,I64))</f>
        <v>0</v>
      </c>
      <c r="Q64" s="6"/>
      <c r="R64" s="6"/>
      <c r="S64" s="6"/>
      <c r="T64" s="6"/>
      <c r="U64" s="6"/>
      <c r="V64" s="6"/>
      <c r="W64" s="6"/>
      <c r="X64" s="6"/>
      <c r="Y64" s="6"/>
      <c r="Z64" s="6"/>
    </row>
    <row r="65" customFormat="false" ht="14.9" hidden="false" customHeight="false" outlineLevel="0" collapsed="false">
      <c r="C65" s="6"/>
      <c r="D65" s="45"/>
      <c r="E65" s="6"/>
      <c r="F65" s="6"/>
      <c r="G65" s="6"/>
      <c r="H65" s="6"/>
      <c r="I65" s="69"/>
      <c r="J65" s="6"/>
      <c r="K65" s="52"/>
      <c r="L65" s="73"/>
      <c r="M65" s="71"/>
      <c r="N65" s="70"/>
      <c r="O65" s="72"/>
      <c r="P65" s="6" t="n">
        <f aca="true">IF(I65="","",SUMIFS(OrderItems_Qty,OrderItems_Type,"PURCHASE",OrderItems_SKU,I65)-SUMIFS(OrderItems_Qty,OrderItems_Type,"SALE",OrderItems_SKU,I65))</f>
        <v>0</v>
      </c>
      <c r="Q65" s="6"/>
      <c r="R65" s="6"/>
      <c r="S65" s="6"/>
      <c r="T65" s="6"/>
      <c r="U65" s="6"/>
      <c r="V65" s="6"/>
      <c r="W65" s="6"/>
      <c r="X65" s="6"/>
      <c r="Y65" s="6"/>
      <c r="Z65" s="6"/>
    </row>
    <row r="66" customFormat="false" ht="14.9" hidden="false" customHeight="false" outlineLevel="0" collapsed="false">
      <c r="C66" s="6"/>
      <c r="D66" s="45"/>
      <c r="E66" s="6"/>
      <c r="F66" s="6"/>
      <c r="G66" s="6"/>
      <c r="H66" s="6"/>
      <c r="I66" s="69"/>
      <c r="J66" s="6"/>
      <c r="K66" s="52"/>
      <c r="L66" s="73"/>
      <c r="M66" s="71"/>
      <c r="N66" s="70"/>
      <c r="O66" s="72"/>
      <c r="P66" s="6" t="n">
        <f aca="true">IF(I66="","",SUMIFS(OrderItems_Qty,OrderItems_Type,"PURCHASE",OrderItems_SKU,I66)-SUMIFS(OrderItems_Qty,OrderItems_Type,"SALE",OrderItems_SKU,I66))</f>
        <v>0</v>
      </c>
      <c r="Q66" s="6"/>
      <c r="R66" s="6"/>
      <c r="S66" s="6"/>
      <c r="T66" s="6"/>
      <c r="U66" s="6"/>
      <c r="V66" s="6"/>
      <c r="W66" s="6"/>
      <c r="X66" s="6"/>
      <c r="Y66" s="6"/>
      <c r="Z66" s="6"/>
    </row>
    <row r="67" customFormat="false" ht="14.9" hidden="false" customHeight="false" outlineLevel="0" collapsed="false">
      <c r="C67" s="6"/>
      <c r="D67" s="45"/>
      <c r="E67" s="6"/>
      <c r="F67" s="6"/>
      <c r="G67" s="6"/>
      <c r="H67" s="6"/>
      <c r="I67" s="69"/>
      <c r="J67" s="6"/>
      <c r="K67" s="52"/>
      <c r="L67" s="73"/>
      <c r="M67" s="71"/>
      <c r="N67" s="70"/>
      <c r="O67" s="72"/>
      <c r="P67" s="6" t="n">
        <f aca="true">IF(I67="","",SUMIFS(OrderItems_Qty,OrderItems_Type,"PURCHASE",OrderItems_SKU,I67)-SUMIFS(OrderItems_Qty,OrderItems_Type,"SALE",OrderItems_SKU,I67))</f>
        <v>0</v>
      </c>
      <c r="Q67" s="6"/>
      <c r="R67" s="6"/>
      <c r="S67" s="6"/>
      <c r="T67" s="6"/>
      <c r="U67" s="6"/>
      <c r="V67" s="6"/>
      <c r="W67" s="6"/>
      <c r="X67" s="6"/>
      <c r="Y67" s="6"/>
      <c r="Z67" s="6"/>
    </row>
    <row r="68" customFormat="false" ht="14.9" hidden="false" customHeight="false" outlineLevel="0" collapsed="false">
      <c r="C68" s="6"/>
      <c r="D68" s="45"/>
      <c r="E68" s="6"/>
      <c r="F68" s="6"/>
      <c r="G68" s="6"/>
      <c r="H68" s="6"/>
      <c r="I68" s="69"/>
      <c r="J68" s="6"/>
      <c r="K68" s="52"/>
      <c r="L68" s="73"/>
      <c r="M68" s="71"/>
      <c r="N68" s="70"/>
      <c r="O68" s="72"/>
      <c r="P68" s="6" t="n">
        <f aca="true">IF(I68="","",SUMIFS(OrderItems_Qty,OrderItems_Type,"PURCHASE",OrderItems_SKU,I68)-SUMIFS(OrderItems_Qty,OrderItems_Type,"SALE",OrderItems_SKU,I68))</f>
        <v>0</v>
      </c>
      <c r="Q68" s="6"/>
      <c r="R68" s="6"/>
      <c r="S68" s="6"/>
      <c r="T68" s="6"/>
      <c r="U68" s="6"/>
      <c r="V68" s="6"/>
      <c r="W68" s="6"/>
      <c r="X68" s="6"/>
      <c r="Y68" s="6"/>
      <c r="Z68" s="6"/>
    </row>
    <row r="69" customFormat="false" ht="14.9" hidden="false" customHeight="false" outlineLevel="0" collapsed="false">
      <c r="C69" s="6"/>
      <c r="D69" s="45"/>
      <c r="E69" s="6"/>
      <c r="F69" s="6"/>
      <c r="G69" s="6"/>
      <c r="H69" s="6"/>
      <c r="I69" s="69"/>
      <c r="J69" s="6"/>
      <c r="K69" s="52"/>
      <c r="L69" s="73"/>
      <c r="M69" s="71"/>
      <c r="N69" s="70"/>
      <c r="O69" s="72"/>
      <c r="P69" s="6" t="n">
        <f aca="true">IF(I69="","",SUMIFS(OrderItems_Qty,OrderItems_Type,"PURCHASE",OrderItems_SKU,I69)-SUMIFS(OrderItems_Qty,OrderItems_Type,"SALE",OrderItems_SKU,I69))</f>
        <v>0</v>
      </c>
      <c r="Q69" s="6"/>
      <c r="R69" s="6"/>
      <c r="S69" s="6"/>
      <c r="T69" s="6"/>
      <c r="U69" s="6"/>
      <c r="V69" s="6"/>
      <c r="W69" s="6"/>
      <c r="X69" s="6"/>
      <c r="Y69" s="6"/>
      <c r="Z69" s="6"/>
    </row>
    <row r="70" customFormat="false" ht="14.9" hidden="false" customHeight="false" outlineLevel="0" collapsed="false">
      <c r="C70" s="6"/>
      <c r="D70" s="45"/>
      <c r="E70" s="6"/>
      <c r="F70" s="6"/>
      <c r="G70" s="6"/>
      <c r="H70" s="6"/>
      <c r="I70" s="69"/>
      <c r="J70" s="6"/>
      <c r="K70" s="52"/>
      <c r="L70" s="73"/>
      <c r="M70" s="71"/>
      <c r="N70" s="70"/>
      <c r="O70" s="72"/>
      <c r="P70" s="6" t="n">
        <f aca="true">IF(I70="","",SUMIFS(OrderItems_Qty,OrderItems_Type,"PURCHASE",OrderItems_SKU,I70)-SUMIFS(OrderItems_Qty,OrderItems_Type,"SALE",OrderItems_SKU,I70))</f>
        <v>0</v>
      </c>
      <c r="Q70" s="6"/>
      <c r="R70" s="6"/>
      <c r="S70" s="6"/>
      <c r="T70" s="6"/>
      <c r="U70" s="6"/>
      <c r="V70" s="6"/>
      <c r="W70" s="6"/>
      <c r="X70" s="6"/>
      <c r="Y70" s="6"/>
      <c r="Z70" s="6"/>
    </row>
    <row r="71" customFormat="false" ht="14.9" hidden="false" customHeight="false" outlineLevel="0" collapsed="false">
      <c r="C71" s="6"/>
      <c r="D71" s="45"/>
      <c r="E71" s="6"/>
      <c r="F71" s="6"/>
      <c r="G71" s="6"/>
      <c r="H71" s="6"/>
      <c r="I71" s="69"/>
      <c r="J71" s="6"/>
      <c r="K71" s="52"/>
      <c r="L71" s="73"/>
      <c r="M71" s="71"/>
      <c r="N71" s="70"/>
      <c r="O71" s="72"/>
      <c r="P71" s="6" t="n">
        <f aca="true">IF(I71="","",SUMIFS(OrderItems_Qty,OrderItems_Type,"PURCHASE",OrderItems_SKU,I71)-SUMIFS(OrderItems_Qty,OrderItems_Type,"SALE",OrderItems_SKU,I71))</f>
        <v>0</v>
      </c>
      <c r="Q71" s="6"/>
      <c r="R71" s="6"/>
      <c r="S71" s="6"/>
      <c r="T71" s="6"/>
      <c r="U71" s="6"/>
      <c r="V71" s="6"/>
      <c r="W71" s="6"/>
      <c r="X71" s="6"/>
      <c r="Y71" s="6"/>
      <c r="Z71" s="6"/>
    </row>
    <row r="72" customFormat="false" ht="14.9" hidden="false" customHeight="false" outlineLevel="0" collapsed="false">
      <c r="C72" s="6"/>
      <c r="D72" s="45"/>
      <c r="E72" s="6"/>
      <c r="F72" s="6"/>
      <c r="G72" s="6"/>
      <c r="H72" s="6"/>
      <c r="I72" s="69"/>
      <c r="J72" s="6"/>
      <c r="K72" s="52"/>
      <c r="L72" s="73"/>
      <c r="M72" s="71"/>
      <c r="N72" s="70"/>
      <c r="O72" s="72"/>
      <c r="P72" s="6" t="n">
        <f aca="true">IF(I72="","",SUMIFS(OrderItems_Qty,OrderItems_Type,"PURCHASE",OrderItems_SKU,I72)-SUMIFS(OrderItems_Qty,OrderItems_Type,"SALE",OrderItems_SKU,I72))</f>
        <v>0</v>
      </c>
      <c r="Q72" s="6"/>
      <c r="R72" s="6"/>
      <c r="S72" s="6"/>
      <c r="T72" s="6"/>
      <c r="U72" s="6"/>
      <c r="V72" s="6"/>
      <c r="W72" s="6"/>
      <c r="X72" s="6"/>
      <c r="Y72" s="6"/>
      <c r="Z72" s="6"/>
    </row>
    <row r="73" customFormat="false" ht="14.9" hidden="false" customHeight="false" outlineLevel="0" collapsed="false">
      <c r="C73" s="6"/>
      <c r="D73" s="45"/>
      <c r="E73" s="6"/>
      <c r="F73" s="6"/>
      <c r="G73" s="6"/>
      <c r="H73" s="6"/>
      <c r="I73" s="69"/>
      <c r="J73" s="6"/>
      <c r="K73" s="52"/>
      <c r="L73" s="73"/>
      <c r="M73" s="71"/>
      <c r="N73" s="70"/>
      <c r="O73" s="72"/>
      <c r="P73" s="6" t="n">
        <f aca="true">IF(I73="","",SUMIFS(OrderItems_Qty,OrderItems_Type,"PURCHASE",OrderItems_SKU,I73)-SUMIFS(OrderItems_Qty,OrderItems_Type,"SALE",OrderItems_SKU,I73))</f>
        <v>0</v>
      </c>
      <c r="Q73" s="6"/>
      <c r="R73" s="6"/>
      <c r="S73" s="6"/>
      <c r="T73" s="6"/>
      <c r="U73" s="6"/>
      <c r="V73" s="6"/>
      <c r="W73" s="6"/>
      <c r="X73" s="6"/>
      <c r="Y73" s="6"/>
      <c r="Z73" s="6"/>
    </row>
    <row r="74" customFormat="false" ht="14.9" hidden="false" customHeight="false" outlineLevel="0" collapsed="false">
      <c r="C74" s="6"/>
      <c r="D74" s="45"/>
      <c r="E74" s="6"/>
      <c r="F74" s="6"/>
      <c r="G74" s="6"/>
      <c r="H74" s="6"/>
      <c r="I74" s="69"/>
      <c r="J74" s="6"/>
      <c r="K74" s="52"/>
      <c r="L74" s="73"/>
      <c r="M74" s="71"/>
      <c r="N74" s="70"/>
      <c r="O74" s="72"/>
      <c r="P74" s="6" t="n">
        <f aca="true">IF(I74="","",SUMIFS(OrderItems_Qty,OrderItems_Type,"PURCHASE",OrderItems_SKU,I74)-SUMIFS(OrderItems_Qty,OrderItems_Type,"SALE",OrderItems_SKU,I74))</f>
        <v>0</v>
      </c>
      <c r="Q74" s="6"/>
      <c r="R74" s="6"/>
      <c r="S74" s="6"/>
      <c r="T74" s="6"/>
      <c r="U74" s="6"/>
      <c r="V74" s="6"/>
      <c r="W74" s="6"/>
      <c r="X74" s="6"/>
      <c r="Y74" s="6"/>
      <c r="Z74" s="6"/>
    </row>
    <row r="75" customFormat="false" ht="14.9" hidden="false" customHeight="false" outlineLevel="0" collapsed="false">
      <c r="C75" s="6"/>
      <c r="D75" s="45"/>
      <c r="E75" s="6"/>
      <c r="F75" s="6"/>
      <c r="G75" s="6"/>
      <c r="H75" s="6"/>
      <c r="I75" s="69"/>
      <c r="J75" s="6"/>
      <c r="K75" s="52"/>
      <c r="L75" s="73"/>
      <c r="M75" s="71"/>
      <c r="N75" s="70"/>
      <c r="O75" s="72"/>
      <c r="P75" s="6" t="n">
        <f aca="true">IF(I75="","",SUMIFS(OrderItems_Qty,OrderItems_Type,"PURCHASE",OrderItems_SKU,I75)-SUMIFS(OrderItems_Qty,OrderItems_Type,"SALE",OrderItems_SKU,I75))</f>
        <v>0</v>
      </c>
      <c r="Q75" s="6"/>
      <c r="R75" s="6"/>
      <c r="S75" s="6"/>
      <c r="T75" s="6"/>
      <c r="U75" s="6"/>
      <c r="V75" s="6"/>
      <c r="W75" s="6"/>
      <c r="X75" s="6"/>
      <c r="Y75" s="6"/>
      <c r="Z75" s="6"/>
    </row>
    <row r="76" customFormat="false" ht="14.9" hidden="false" customHeight="false" outlineLevel="0" collapsed="false">
      <c r="C76" s="6"/>
      <c r="D76" s="45"/>
      <c r="E76" s="6"/>
      <c r="F76" s="6"/>
      <c r="G76" s="6"/>
      <c r="H76" s="6"/>
      <c r="I76" s="69"/>
      <c r="J76" s="6"/>
      <c r="K76" s="52"/>
      <c r="L76" s="73"/>
      <c r="M76" s="71"/>
      <c r="N76" s="70"/>
      <c r="O76" s="72"/>
      <c r="P76" s="6" t="n">
        <f aca="true">IF(I76="","",SUMIFS(OrderItems_Qty,OrderItems_Type,"PURCHASE",OrderItems_SKU,I76)-SUMIFS(OrderItems_Qty,OrderItems_Type,"SALE",OrderItems_SKU,I76))</f>
        <v>0</v>
      </c>
      <c r="Q76" s="6"/>
      <c r="R76" s="6"/>
      <c r="S76" s="6"/>
      <c r="T76" s="6"/>
      <c r="U76" s="6"/>
      <c r="V76" s="6"/>
      <c r="W76" s="6"/>
      <c r="X76" s="6"/>
      <c r="Y76" s="6"/>
      <c r="Z76" s="6"/>
    </row>
    <row r="77" customFormat="false" ht="14.9" hidden="false" customHeight="false" outlineLevel="0" collapsed="false">
      <c r="C77" s="6"/>
      <c r="D77" s="45"/>
      <c r="E77" s="6"/>
      <c r="F77" s="6"/>
      <c r="G77" s="6"/>
      <c r="H77" s="6"/>
      <c r="I77" s="69"/>
      <c r="J77" s="6"/>
      <c r="K77" s="52"/>
      <c r="L77" s="73"/>
      <c r="M77" s="71"/>
      <c r="N77" s="70"/>
      <c r="O77" s="72"/>
      <c r="P77" s="6" t="n">
        <f aca="true">IF(I77="","",SUMIFS(OrderItems_Qty,OrderItems_Type,"PURCHASE",OrderItems_SKU,I77)-SUMIFS(OrderItems_Qty,OrderItems_Type,"SALE",OrderItems_SKU,I77))</f>
        <v>0</v>
      </c>
      <c r="Q77" s="6"/>
      <c r="R77" s="6"/>
      <c r="S77" s="6"/>
      <c r="T77" s="6"/>
      <c r="U77" s="6"/>
      <c r="V77" s="6"/>
      <c r="W77" s="6"/>
      <c r="X77" s="6"/>
      <c r="Y77" s="6"/>
      <c r="Z77" s="6"/>
    </row>
    <row r="78" customFormat="false" ht="14.9" hidden="false" customHeight="false" outlineLevel="0" collapsed="false">
      <c r="C78" s="6"/>
      <c r="D78" s="45"/>
      <c r="E78" s="6"/>
      <c r="F78" s="6"/>
      <c r="G78" s="6"/>
      <c r="H78" s="6"/>
      <c r="I78" s="69"/>
      <c r="J78" s="6"/>
      <c r="K78" s="52"/>
      <c r="L78" s="73"/>
      <c r="M78" s="71"/>
      <c r="N78" s="70"/>
      <c r="O78" s="72"/>
      <c r="P78" s="6" t="n">
        <f aca="true">IF(I78="","",SUMIFS(OrderItems_Qty,OrderItems_Type,"PURCHASE",OrderItems_SKU,I78)-SUMIFS(OrderItems_Qty,OrderItems_Type,"SALE",OrderItems_SKU,I78))</f>
        <v>0</v>
      </c>
      <c r="Q78" s="6"/>
      <c r="R78" s="6"/>
      <c r="S78" s="6"/>
      <c r="T78" s="6"/>
      <c r="U78" s="6"/>
      <c r="V78" s="6"/>
      <c r="W78" s="6"/>
      <c r="X78" s="6"/>
      <c r="Y78" s="6"/>
      <c r="Z78" s="6"/>
    </row>
    <row r="79" customFormat="false" ht="14.9" hidden="false" customHeight="false" outlineLevel="0" collapsed="false">
      <c r="C79" s="6"/>
      <c r="D79" s="45"/>
      <c r="E79" s="6"/>
      <c r="F79" s="6"/>
      <c r="G79" s="6"/>
      <c r="H79" s="6"/>
      <c r="I79" s="69"/>
      <c r="J79" s="6"/>
      <c r="K79" s="52"/>
      <c r="L79" s="73"/>
      <c r="M79" s="71"/>
      <c r="N79" s="70"/>
      <c r="O79" s="72"/>
      <c r="P79" s="6" t="n">
        <f aca="true">IF(I79="","",SUMIFS(OrderItems_Qty,OrderItems_Type,"PURCHASE",OrderItems_SKU,I79)-SUMIFS(OrderItems_Qty,OrderItems_Type,"SALE",OrderItems_SKU,I79))</f>
        <v>0</v>
      </c>
      <c r="Q79" s="6"/>
      <c r="R79" s="6"/>
      <c r="S79" s="6"/>
      <c r="T79" s="6"/>
      <c r="U79" s="6"/>
      <c r="V79" s="6"/>
      <c r="W79" s="6"/>
      <c r="X79" s="6"/>
      <c r="Y79" s="6"/>
      <c r="Z79" s="6"/>
    </row>
    <row r="80" customFormat="false" ht="14.9" hidden="false" customHeight="false" outlineLevel="0" collapsed="false">
      <c r="C80" s="6"/>
      <c r="D80" s="45"/>
      <c r="E80" s="6"/>
      <c r="F80" s="6"/>
      <c r="G80" s="6"/>
      <c r="H80" s="6"/>
      <c r="I80" s="69"/>
      <c r="J80" s="6"/>
      <c r="K80" s="52"/>
      <c r="L80" s="73"/>
      <c r="M80" s="71"/>
      <c r="N80" s="70"/>
      <c r="O80" s="72"/>
      <c r="P80" s="6" t="n">
        <f aca="true">IF(I80="","",SUMIFS(OrderItems_Qty,OrderItems_Type,"PURCHASE",OrderItems_SKU,I80)-SUMIFS(OrderItems_Qty,OrderItems_Type,"SALE",OrderItems_SKU,I80))</f>
        <v>0</v>
      </c>
      <c r="Q80" s="6"/>
      <c r="R80" s="6"/>
      <c r="S80" s="6"/>
      <c r="T80" s="6"/>
      <c r="U80" s="6"/>
      <c r="V80" s="6"/>
      <c r="W80" s="6"/>
      <c r="X80" s="6"/>
      <c r="Y80" s="6"/>
      <c r="Z80" s="6"/>
    </row>
    <row r="81" customFormat="false" ht="14.9" hidden="false" customHeight="false" outlineLevel="0" collapsed="false">
      <c r="C81" s="6"/>
      <c r="D81" s="45"/>
      <c r="E81" s="6"/>
      <c r="F81" s="6"/>
      <c r="G81" s="6"/>
      <c r="H81" s="6"/>
      <c r="I81" s="69"/>
      <c r="J81" s="6"/>
      <c r="K81" s="52"/>
      <c r="L81" s="73"/>
      <c r="M81" s="71"/>
      <c r="N81" s="70"/>
      <c r="O81" s="72"/>
      <c r="P81" s="6" t="n">
        <f aca="true">IF(I81="","",SUMIFS(OrderItems_Qty,OrderItems_Type,"PURCHASE",OrderItems_SKU,I81)-SUMIFS(OrderItems_Qty,OrderItems_Type,"SALE",OrderItems_SKU,I81))</f>
        <v>0</v>
      </c>
      <c r="Q81" s="6"/>
      <c r="R81" s="6"/>
      <c r="S81" s="6"/>
      <c r="T81" s="6"/>
      <c r="U81" s="6"/>
      <c r="V81" s="6"/>
      <c r="W81" s="6"/>
      <c r="X81" s="6"/>
      <c r="Y81" s="6"/>
      <c r="Z81" s="6"/>
    </row>
    <row r="82" customFormat="false" ht="14.9" hidden="false" customHeight="false" outlineLevel="0" collapsed="false">
      <c r="C82" s="6"/>
      <c r="D82" s="45"/>
      <c r="E82" s="6"/>
      <c r="F82" s="6"/>
      <c r="G82" s="6"/>
      <c r="H82" s="6"/>
      <c r="I82" s="69"/>
      <c r="J82" s="6"/>
      <c r="K82" s="52"/>
      <c r="L82" s="73"/>
      <c r="M82" s="71"/>
      <c r="N82" s="70"/>
      <c r="O82" s="72"/>
      <c r="P82" s="6" t="n">
        <f aca="true">IF(I82="","",SUMIFS(OrderItems_Qty,OrderItems_Type,"PURCHASE",OrderItems_SKU,I82)-SUMIFS(OrderItems_Qty,OrderItems_Type,"SALE",OrderItems_SKU,I82))</f>
        <v>0</v>
      </c>
      <c r="Q82" s="6"/>
      <c r="R82" s="6"/>
      <c r="S82" s="6"/>
      <c r="T82" s="6"/>
      <c r="U82" s="6"/>
      <c r="V82" s="6"/>
      <c r="W82" s="6"/>
      <c r="X82" s="6"/>
      <c r="Y82" s="6"/>
      <c r="Z82" s="6"/>
    </row>
    <row r="83" customFormat="false" ht="14.9" hidden="false" customHeight="false" outlineLevel="0" collapsed="false">
      <c r="C83" s="6"/>
      <c r="D83" s="45"/>
      <c r="E83" s="6"/>
      <c r="F83" s="6"/>
      <c r="G83" s="6"/>
      <c r="H83" s="6"/>
      <c r="I83" s="69"/>
      <c r="J83" s="6"/>
      <c r="K83" s="52"/>
      <c r="L83" s="73"/>
      <c r="M83" s="71"/>
      <c r="N83" s="70"/>
      <c r="O83" s="72"/>
      <c r="P83" s="6" t="n">
        <f aca="true">IF(I83="","",SUMIFS(OrderItems_Qty,OrderItems_Type,"PURCHASE",OrderItems_SKU,I83)-SUMIFS(OrderItems_Qty,OrderItems_Type,"SALE",OrderItems_SKU,I83))</f>
        <v>0</v>
      </c>
      <c r="Q83" s="6"/>
      <c r="R83" s="6"/>
      <c r="S83" s="6"/>
      <c r="T83" s="6"/>
      <c r="U83" s="6"/>
      <c r="V83" s="6"/>
      <c r="W83" s="6"/>
      <c r="X83" s="6"/>
      <c r="Y83" s="6"/>
      <c r="Z83" s="6"/>
    </row>
    <row r="84" customFormat="false" ht="14.9" hidden="false" customHeight="false" outlineLevel="0" collapsed="false">
      <c r="C84" s="6"/>
      <c r="D84" s="45"/>
      <c r="E84" s="6"/>
      <c r="F84" s="6"/>
      <c r="G84" s="6"/>
      <c r="H84" s="6"/>
      <c r="I84" s="69"/>
      <c r="J84" s="6"/>
      <c r="K84" s="52"/>
      <c r="L84" s="73"/>
      <c r="M84" s="71"/>
      <c r="N84" s="70"/>
      <c r="O84" s="72"/>
      <c r="P84" s="6" t="n">
        <f aca="true">IF(I84="","",SUMIFS(OrderItems_Qty,OrderItems_Type,"PURCHASE",OrderItems_SKU,I84)-SUMIFS(OrderItems_Qty,OrderItems_Type,"SALE",OrderItems_SKU,I84))</f>
        <v>0</v>
      </c>
      <c r="Q84" s="6"/>
      <c r="R84" s="6"/>
      <c r="S84" s="6"/>
      <c r="T84" s="6"/>
      <c r="U84" s="6"/>
      <c r="V84" s="6"/>
      <c r="W84" s="6"/>
      <c r="X84" s="6"/>
      <c r="Y84" s="6"/>
      <c r="Z84" s="6"/>
    </row>
    <row r="85" customFormat="false" ht="14.9" hidden="false" customHeight="false" outlineLevel="0" collapsed="false">
      <c r="C85" s="6"/>
      <c r="D85" s="45"/>
      <c r="E85" s="6"/>
      <c r="F85" s="6"/>
      <c r="G85" s="6"/>
      <c r="H85" s="6"/>
      <c r="I85" s="69"/>
      <c r="J85" s="6"/>
      <c r="K85" s="52"/>
      <c r="L85" s="73"/>
      <c r="M85" s="71"/>
      <c r="N85" s="70"/>
      <c r="O85" s="72"/>
      <c r="P85" s="6" t="n">
        <f aca="true">IF(I85="","",SUMIFS(OrderItems_Qty,OrderItems_Type,"PURCHASE",OrderItems_SKU,I85)-SUMIFS(OrderItems_Qty,OrderItems_Type,"SALE",OrderItems_SKU,I85))</f>
        <v>0</v>
      </c>
      <c r="Q85" s="6"/>
      <c r="R85" s="6"/>
      <c r="S85" s="6"/>
      <c r="T85" s="6"/>
      <c r="U85" s="6"/>
      <c r="V85" s="6"/>
      <c r="W85" s="6"/>
      <c r="X85" s="6"/>
      <c r="Y85" s="6"/>
      <c r="Z85" s="6"/>
    </row>
    <row r="86" customFormat="false" ht="14.9" hidden="false" customHeight="false" outlineLevel="0" collapsed="false">
      <c r="C86" s="6"/>
      <c r="D86" s="45"/>
      <c r="E86" s="6"/>
      <c r="F86" s="6"/>
      <c r="G86" s="6"/>
      <c r="H86" s="6"/>
      <c r="I86" s="69"/>
      <c r="J86" s="6"/>
      <c r="K86" s="52"/>
      <c r="L86" s="73"/>
      <c r="M86" s="71"/>
      <c r="N86" s="70"/>
      <c r="O86" s="72"/>
      <c r="P86" s="6" t="n">
        <f aca="true">IF(I86="","",SUMIFS(OrderItems_Qty,OrderItems_Type,"PURCHASE",OrderItems_SKU,I86)-SUMIFS(OrderItems_Qty,OrderItems_Type,"SALE",OrderItems_SKU,I86))</f>
        <v>0</v>
      </c>
      <c r="Q86" s="6"/>
      <c r="R86" s="6"/>
      <c r="S86" s="6"/>
      <c r="T86" s="6"/>
      <c r="U86" s="6"/>
      <c r="V86" s="6"/>
      <c r="W86" s="6"/>
      <c r="X86" s="6"/>
      <c r="Y86" s="6"/>
      <c r="Z86" s="6"/>
    </row>
    <row r="87" customFormat="false" ht="14.9" hidden="false" customHeight="false" outlineLevel="0" collapsed="false">
      <c r="C87" s="6"/>
      <c r="D87" s="45"/>
      <c r="E87" s="6"/>
      <c r="F87" s="6"/>
      <c r="G87" s="6"/>
      <c r="H87" s="6"/>
      <c r="I87" s="69"/>
      <c r="J87" s="6"/>
      <c r="K87" s="52"/>
      <c r="L87" s="73"/>
      <c r="M87" s="71"/>
      <c r="N87" s="70"/>
      <c r="O87" s="72"/>
      <c r="P87" s="6" t="n">
        <f aca="true">IF(I87="","",SUMIFS(OrderItems_Qty,OrderItems_Type,"PURCHASE",OrderItems_SKU,I87)-SUMIFS(OrderItems_Qty,OrderItems_Type,"SALE",OrderItems_SKU,I87))</f>
        <v>0</v>
      </c>
      <c r="Q87" s="6"/>
      <c r="R87" s="6"/>
      <c r="S87" s="6"/>
      <c r="T87" s="6"/>
      <c r="U87" s="6"/>
      <c r="V87" s="6"/>
      <c r="W87" s="6"/>
      <c r="X87" s="6"/>
      <c r="Y87" s="6"/>
      <c r="Z87" s="6"/>
    </row>
    <row r="88" customFormat="false" ht="14.9" hidden="false" customHeight="false" outlineLevel="0" collapsed="false">
      <c r="C88" s="6"/>
      <c r="D88" s="45"/>
      <c r="E88" s="6"/>
      <c r="F88" s="6"/>
      <c r="G88" s="6"/>
      <c r="H88" s="6"/>
      <c r="I88" s="69"/>
      <c r="J88" s="6"/>
      <c r="K88" s="52"/>
      <c r="L88" s="73"/>
      <c r="M88" s="71"/>
      <c r="N88" s="70"/>
      <c r="O88" s="72"/>
      <c r="P88" s="6" t="n">
        <f aca="true">IF(I88="","",SUMIFS(OrderItems_Qty,OrderItems_Type,"PURCHASE",OrderItems_SKU,I88)-SUMIFS(OrderItems_Qty,OrderItems_Type,"SALE",OrderItems_SKU,I88))</f>
        <v>0</v>
      </c>
      <c r="Q88" s="6"/>
      <c r="R88" s="6"/>
      <c r="S88" s="6"/>
      <c r="T88" s="6"/>
      <c r="U88" s="6"/>
      <c r="V88" s="6"/>
      <c r="W88" s="6"/>
      <c r="X88" s="6"/>
      <c r="Y88" s="6"/>
      <c r="Z88" s="6"/>
    </row>
    <row r="89" customFormat="false" ht="14.9" hidden="false" customHeight="false" outlineLevel="0" collapsed="false">
      <c r="C89" s="6"/>
      <c r="D89" s="45"/>
      <c r="E89" s="6"/>
      <c r="F89" s="6"/>
      <c r="G89" s="6"/>
      <c r="H89" s="6"/>
      <c r="I89" s="69"/>
      <c r="J89" s="6"/>
      <c r="K89" s="52"/>
      <c r="L89" s="73"/>
      <c r="M89" s="71"/>
      <c r="N89" s="70"/>
      <c r="O89" s="72"/>
      <c r="P89" s="6" t="n">
        <f aca="true">IF(I89="","",SUMIFS(OrderItems_Qty,OrderItems_Type,"PURCHASE",OrderItems_SKU,I89)-SUMIFS(OrderItems_Qty,OrderItems_Type,"SALE",OrderItems_SKU,I89))</f>
        <v>0</v>
      </c>
      <c r="Q89" s="6"/>
      <c r="R89" s="6"/>
      <c r="S89" s="6"/>
      <c r="T89" s="6"/>
      <c r="U89" s="6"/>
      <c r="V89" s="6"/>
      <c r="W89" s="6"/>
      <c r="X89" s="6"/>
      <c r="Y89" s="6"/>
      <c r="Z89" s="6"/>
    </row>
    <row r="90" customFormat="false" ht="14.9" hidden="false" customHeight="false" outlineLevel="0" collapsed="false">
      <c r="C90" s="6"/>
      <c r="D90" s="45"/>
      <c r="E90" s="6"/>
      <c r="F90" s="6"/>
      <c r="G90" s="6"/>
      <c r="H90" s="6"/>
      <c r="I90" s="69"/>
      <c r="J90" s="6"/>
      <c r="K90" s="52"/>
      <c r="L90" s="73"/>
      <c r="M90" s="71"/>
      <c r="N90" s="70"/>
      <c r="O90" s="72"/>
      <c r="P90" s="6" t="n">
        <f aca="true">IF(I90="","",SUMIFS(OrderItems_Qty,OrderItems_Type,"PURCHASE",OrderItems_SKU,I90)-SUMIFS(OrderItems_Qty,OrderItems_Type,"SALE",OrderItems_SKU,I90))</f>
        <v>0</v>
      </c>
      <c r="Q90" s="6"/>
      <c r="R90" s="6"/>
      <c r="S90" s="6"/>
      <c r="T90" s="6"/>
      <c r="U90" s="6"/>
      <c r="V90" s="6"/>
      <c r="W90" s="6"/>
      <c r="X90" s="6"/>
      <c r="Y90" s="6"/>
      <c r="Z90" s="6"/>
    </row>
    <row r="91" customFormat="false" ht="14.9" hidden="false" customHeight="false" outlineLevel="0" collapsed="false">
      <c r="C91" s="6"/>
      <c r="D91" s="45"/>
      <c r="E91" s="6"/>
      <c r="F91" s="6"/>
      <c r="G91" s="6"/>
      <c r="H91" s="6"/>
      <c r="I91" s="69"/>
      <c r="J91" s="6"/>
      <c r="K91" s="52"/>
      <c r="L91" s="73"/>
      <c r="M91" s="71"/>
      <c r="N91" s="70"/>
      <c r="O91" s="72"/>
      <c r="P91" s="6" t="n">
        <f aca="true">IF(I91="","",SUMIFS(OrderItems_Qty,OrderItems_Type,"PURCHASE",OrderItems_SKU,I91)-SUMIFS(OrderItems_Qty,OrderItems_Type,"SALE",OrderItems_SKU,I91))</f>
        <v>0</v>
      </c>
      <c r="Q91" s="6"/>
      <c r="R91" s="6"/>
      <c r="S91" s="6"/>
      <c r="T91" s="6"/>
      <c r="U91" s="6"/>
      <c r="V91" s="6"/>
      <c r="W91" s="6"/>
      <c r="X91" s="6"/>
      <c r="Y91" s="6"/>
      <c r="Z91" s="6"/>
    </row>
    <row r="92" customFormat="false" ht="14.9" hidden="false" customHeight="false" outlineLevel="0" collapsed="false">
      <c r="C92" s="6"/>
      <c r="D92" s="45"/>
      <c r="E92" s="6"/>
      <c r="F92" s="6"/>
      <c r="G92" s="6"/>
      <c r="H92" s="6"/>
      <c r="I92" s="69"/>
      <c r="J92" s="6"/>
      <c r="K92" s="52"/>
      <c r="L92" s="73"/>
      <c r="M92" s="71"/>
      <c r="N92" s="70"/>
      <c r="O92" s="72"/>
      <c r="P92" s="6" t="n">
        <f aca="true">IF(I92="","",SUMIFS(OrderItems_Qty,OrderItems_Type,"PURCHASE",OrderItems_SKU,I92)-SUMIFS(OrderItems_Qty,OrderItems_Type,"SALE",OrderItems_SKU,I92))</f>
        <v>0</v>
      </c>
      <c r="Q92" s="6"/>
      <c r="R92" s="6"/>
      <c r="S92" s="6"/>
      <c r="T92" s="6"/>
      <c r="U92" s="6"/>
      <c r="V92" s="6"/>
      <c r="W92" s="6"/>
      <c r="X92" s="6"/>
      <c r="Y92" s="6"/>
      <c r="Z92" s="6"/>
    </row>
    <row r="93" customFormat="false" ht="14.9" hidden="false" customHeight="false" outlineLevel="0" collapsed="false">
      <c r="C93" s="6"/>
      <c r="D93" s="45"/>
      <c r="E93" s="6"/>
      <c r="F93" s="6"/>
      <c r="G93" s="6"/>
      <c r="H93" s="6"/>
      <c r="I93" s="69"/>
      <c r="J93" s="6"/>
      <c r="K93" s="74"/>
      <c r="L93" s="73"/>
      <c r="M93" s="71"/>
      <c r="N93" s="70"/>
      <c r="O93" s="72"/>
      <c r="P93" s="6" t="n">
        <f aca="true">IF(I93="","",SUMIFS(OrderItems_Qty,OrderItems_Type,"PURCHASE",OrderItems_SKU,I93)-SUMIFS(OrderItems_Qty,OrderItems_Type,"SALE",OrderItems_SKU,I93))</f>
        <v>0</v>
      </c>
      <c r="Q93" s="6"/>
      <c r="R93" s="6"/>
      <c r="S93" s="6"/>
      <c r="T93" s="6"/>
      <c r="U93" s="6"/>
      <c r="V93" s="6"/>
      <c r="W93" s="6"/>
      <c r="X93" s="6"/>
      <c r="Y93" s="6"/>
      <c r="Z93" s="6"/>
    </row>
    <row r="94" customFormat="false" ht="14.9" hidden="false" customHeight="false" outlineLevel="0" collapsed="false">
      <c r="C94" s="6"/>
      <c r="D94" s="45"/>
      <c r="E94" s="6"/>
      <c r="F94" s="6"/>
      <c r="G94" s="6"/>
      <c r="H94" s="6"/>
      <c r="I94" s="69"/>
      <c r="J94" s="6"/>
      <c r="K94" s="74"/>
      <c r="L94" s="73"/>
      <c r="M94" s="71"/>
      <c r="N94" s="70"/>
      <c r="O94" s="72"/>
      <c r="P94" s="6" t="n">
        <f aca="true">IF(I94="","",SUMIFS(OrderItems_Qty,OrderItems_Type,"PURCHASE",OrderItems_SKU,I94)-SUMIFS(OrderItems_Qty,OrderItems_Type,"SALE",OrderItems_SKU,I94))</f>
        <v>0</v>
      </c>
      <c r="Q94" s="6"/>
      <c r="R94" s="6"/>
      <c r="S94" s="6"/>
      <c r="T94" s="6"/>
      <c r="U94" s="6"/>
      <c r="V94" s="6"/>
      <c r="W94" s="6"/>
      <c r="X94" s="6"/>
      <c r="Y94" s="6"/>
      <c r="Z94" s="6"/>
    </row>
    <row r="95" customFormat="false" ht="14.9" hidden="false" customHeight="false" outlineLevel="0" collapsed="false">
      <c r="C95" s="6"/>
      <c r="D95" s="45"/>
      <c r="E95" s="6"/>
      <c r="F95" s="6"/>
      <c r="G95" s="6"/>
      <c r="H95" s="6"/>
      <c r="I95" s="69"/>
      <c r="J95" s="6"/>
      <c r="K95" s="74"/>
      <c r="L95" s="73"/>
      <c r="M95" s="71"/>
      <c r="N95" s="70"/>
      <c r="O95" s="72"/>
      <c r="P95" s="6" t="n">
        <f aca="true">IF(I95="","",SUMIFS(OrderItems_Qty,OrderItems_Type,"PURCHASE",OrderItems_SKU,I95)-SUMIFS(OrderItems_Qty,OrderItems_Type,"SALE",OrderItems_SKU,I95))</f>
        <v>0</v>
      </c>
      <c r="Q95" s="6"/>
      <c r="R95" s="6"/>
      <c r="S95" s="6"/>
      <c r="T95" s="6"/>
      <c r="U95" s="6"/>
      <c r="V95" s="6"/>
      <c r="W95" s="6"/>
      <c r="X95" s="6"/>
      <c r="Y95" s="6"/>
      <c r="Z95" s="6"/>
    </row>
    <row r="96" customFormat="false" ht="14.9" hidden="false" customHeight="false" outlineLevel="0" collapsed="false">
      <c r="C96" s="6"/>
      <c r="D96" s="45"/>
      <c r="E96" s="6"/>
      <c r="F96" s="6"/>
      <c r="G96" s="6"/>
      <c r="H96" s="6"/>
      <c r="I96" s="69"/>
      <c r="J96" s="6"/>
      <c r="K96" s="74"/>
      <c r="L96" s="73"/>
      <c r="M96" s="71"/>
      <c r="N96" s="70"/>
      <c r="O96" s="72"/>
      <c r="P96" s="6" t="n">
        <f aca="true">IF(I96="","",SUMIFS(OrderItems_Qty,OrderItems_Type,"PURCHASE",OrderItems_SKU,I96)-SUMIFS(OrderItems_Qty,OrderItems_Type,"SALE",OrderItems_SKU,I96))</f>
        <v>0</v>
      </c>
      <c r="Q96" s="6"/>
      <c r="R96" s="6"/>
      <c r="S96" s="6"/>
      <c r="T96" s="6"/>
      <c r="U96" s="6"/>
      <c r="V96" s="6"/>
      <c r="W96" s="6"/>
      <c r="X96" s="6"/>
      <c r="Y96" s="6"/>
      <c r="Z96" s="6"/>
    </row>
    <row r="97" customFormat="false" ht="14.9" hidden="false" customHeight="false" outlineLevel="0" collapsed="false">
      <c r="C97" s="6"/>
      <c r="D97" s="45"/>
      <c r="E97" s="6"/>
      <c r="F97" s="6"/>
      <c r="G97" s="6"/>
      <c r="H97" s="6"/>
      <c r="I97" s="69"/>
      <c r="J97" s="6"/>
      <c r="K97" s="74"/>
      <c r="L97" s="73"/>
      <c r="M97" s="71"/>
      <c r="N97" s="70"/>
      <c r="O97" s="72"/>
      <c r="P97" s="6" t="n">
        <f aca="true">IF(I97="","",SUMIFS(OrderItems_Qty,OrderItems_Type,"PURCHASE",OrderItems_SKU,I97)-SUMIFS(OrderItems_Qty,OrderItems_Type,"SALE",OrderItems_SKU,I97))</f>
        <v>0</v>
      </c>
      <c r="Q97" s="6"/>
      <c r="R97" s="6"/>
      <c r="S97" s="6"/>
      <c r="T97" s="6"/>
      <c r="U97" s="6"/>
      <c r="V97" s="6"/>
      <c r="W97" s="6"/>
      <c r="X97" s="6"/>
      <c r="Y97" s="6"/>
      <c r="Z97" s="6"/>
    </row>
    <row r="98" customFormat="false" ht="14.9" hidden="false" customHeight="false" outlineLevel="0" collapsed="false">
      <c r="C98" s="6"/>
      <c r="D98" s="45"/>
      <c r="E98" s="6"/>
      <c r="F98" s="6"/>
      <c r="G98" s="6"/>
      <c r="H98" s="6"/>
      <c r="I98" s="69"/>
      <c r="J98" s="6"/>
      <c r="K98" s="74"/>
      <c r="L98" s="73"/>
      <c r="M98" s="71"/>
      <c r="N98" s="70"/>
      <c r="O98" s="72"/>
      <c r="P98" s="6" t="n">
        <f aca="true">IF(I98="","",SUMIFS(OrderItems_Qty,OrderItems_Type,"PURCHASE",OrderItems_SKU,I98)-SUMIFS(OrderItems_Qty,OrderItems_Type,"SALE",OrderItems_SKU,I98))</f>
        <v>0</v>
      </c>
      <c r="Q98" s="6"/>
      <c r="R98" s="6"/>
      <c r="S98" s="6"/>
      <c r="T98" s="6"/>
      <c r="U98" s="6"/>
      <c r="V98" s="6"/>
      <c r="W98" s="6"/>
      <c r="X98" s="6"/>
      <c r="Y98" s="6"/>
      <c r="Z98" s="6"/>
    </row>
    <row r="99" customFormat="false" ht="14.9" hidden="false" customHeight="false" outlineLevel="0" collapsed="false">
      <c r="C99" s="6"/>
      <c r="D99" s="45"/>
      <c r="E99" s="6"/>
      <c r="F99" s="6"/>
      <c r="G99" s="6"/>
      <c r="H99" s="6"/>
      <c r="I99" s="69"/>
      <c r="J99" s="6"/>
      <c r="K99" s="74"/>
      <c r="L99" s="73"/>
      <c r="M99" s="71"/>
      <c r="N99" s="70"/>
      <c r="O99" s="72"/>
      <c r="P99" s="6" t="n">
        <f aca="true">IF(I99="","",SUMIFS(OrderItems_Qty,OrderItems_Type,"PURCHASE",OrderItems_SKU,I99)-SUMIFS(OrderItems_Qty,OrderItems_Type,"SALE",OrderItems_SKU,I99))</f>
        <v>0</v>
      </c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customFormat="false" ht="14.9" hidden="false" customHeight="false" outlineLevel="0" collapsed="false">
      <c r="C100" s="6"/>
      <c r="D100" s="45"/>
      <c r="E100" s="6"/>
      <c r="F100" s="6"/>
      <c r="G100" s="6"/>
      <c r="H100" s="6"/>
      <c r="I100" s="69"/>
      <c r="J100" s="6"/>
      <c r="K100" s="74"/>
      <c r="L100" s="73"/>
      <c r="M100" s="71"/>
      <c r="N100" s="70"/>
      <c r="O100" s="72"/>
      <c r="P100" s="6" t="n">
        <f aca="true">IF(I100="","",SUMIFS(OrderItems_Qty,OrderItems_Type,"PURCHASE",OrderItems_SKU,I100)-SUMIFS(OrderItems_Qty,OrderItems_Type,"SALE",OrderItems_SKU,I100))</f>
        <v>0</v>
      </c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customFormat="false" ht="14.9" hidden="false" customHeight="false" outlineLevel="0" collapsed="false">
      <c r="C101" s="6"/>
      <c r="D101" s="45"/>
      <c r="E101" s="6"/>
      <c r="F101" s="6"/>
      <c r="G101" s="6"/>
      <c r="H101" s="6"/>
      <c r="I101" s="69"/>
      <c r="J101" s="6"/>
      <c r="K101" s="74"/>
      <c r="L101" s="73"/>
      <c r="M101" s="71"/>
      <c r="N101" s="70"/>
      <c r="O101" s="72"/>
      <c r="P101" s="6" t="n">
        <f aca="true">IF(I101="","",SUMIFS(OrderItems_Qty,OrderItems_Type,"PURCHASE",OrderItems_SKU,I101)-SUMIFS(OrderItems_Qty,OrderItems_Type,"SALE",OrderItems_SKU,I101))</f>
        <v>0</v>
      </c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customFormat="false" ht="14.9" hidden="false" customHeight="false" outlineLevel="0" collapsed="false">
      <c r="C102" s="6"/>
      <c r="D102" s="45"/>
      <c r="E102" s="6"/>
      <c r="F102" s="6"/>
      <c r="G102" s="6"/>
      <c r="H102" s="6"/>
      <c r="I102" s="69"/>
      <c r="J102" s="6"/>
      <c r="K102" s="74"/>
      <c r="L102" s="73"/>
      <c r="M102" s="71"/>
      <c r="N102" s="70"/>
      <c r="O102" s="72"/>
      <c r="P102" s="6" t="n">
        <f aca="true">IF(I102="","",SUMIFS(OrderItems_Qty,OrderItems_Type,"PURCHASE",OrderItems_SKU,I102)-SUMIFS(OrderItems_Qty,OrderItems_Type,"SALE",OrderItems_SKU,I102))</f>
        <v>0</v>
      </c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customFormat="false" ht="14.9" hidden="false" customHeight="false" outlineLevel="0" collapsed="false">
      <c r="C103" s="6"/>
      <c r="D103" s="45"/>
      <c r="E103" s="6"/>
      <c r="F103" s="6"/>
      <c r="G103" s="6"/>
      <c r="H103" s="6"/>
      <c r="I103" s="69"/>
      <c r="J103" s="6"/>
      <c r="K103" s="74"/>
      <c r="L103" s="73"/>
      <c r="M103" s="71"/>
      <c r="N103" s="70"/>
      <c r="O103" s="72"/>
      <c r="P103" s="6" t="n">
        <f aca="true">IF(I103="","",SUMIFS(OrderItems_Qty,OrderItems_Type,"PURCHASE",OrderItems_SKU,I103)-SUMIFS(OrderItems_Qty,OrderItems_Type,"SALE",OrderItems_SKU,I103))</f>
        <v>0</v>
      </c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customFormat="false" ht="14.9" hidden="false" customHeight="false" outlineLevel="0" collapsed="false">
      <c r="C104" s="6"/>
      <c r="D104" s="45"/>
      <c r="E104" s="6"/>
      <c r="F104" s="6"/>
      <c r="G104" s="6"/>
      <c r="H104" s="6"/>
      <c r="I104" s="69"/>
      <c r="J104" s="6"/>
      <c r="K104" s="74"/>
      <c r="L104" s="73"/>
      <c r="M104" s="71"/>
      <c r="N104" s="70"/>
      <c r="O104" s="72"/>
      <c r="P104" s="6" t="n">
        <f aca="true">IF(I104="","",SUMIFS(OrderItems_Qty,OrderItems_Type,"PURCHASE",OrderItems_SKU,I104)-SUMIFS(OrderItems_Qty,OrderItems_Type,"SALE",OrderItems_SKU,I104))</f>
        <v>0</v>
      </c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customFormat="false" ht="14.9" hidden="false" customHeight="false" outlineLevel="0" collapsed="false">
      <c r="C105" s="6"/>
      <c r="D105" s="45"/>
      <c r="E105" s="6"/>
      <c r="F105" s="6"/>
      <c r="G105" s="6"/>
      <c r="H105" s="6"/>
      <c r="I105" s="69"/>
      <c r="J105" s="6"/>
      <c r="K105" s="74"/>
      <c r="L105" s="73"/>
      <c r="M105" s="71"/>
      <c r="N105" s="70"/>
      <c r="O105" s="72"/>
      <c r="P105" s="6" t="n">
        <f aca="true">IF(I105="","",SUMIFS(OrderItems_Qty,OrderItems_Type,"PURCHASE",OrderItems_SKU,I105)-SUMIFS(OrderItems_Qty,OrderItems_Type,"SALE",OrderItems_SKU,I105))</f>
        <v>0</v>
      </c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customFormat="false" ht="14.9" hidden="false" customHeight="false" outlineLevel="0" collapsed="false">
      <c r="C106" s="6"/>
      <c r="D106" s="45"/>
      <c r="E106" s="6"/>
      <c r="F106" s="6"/>
      <c r="G106" s="6"/>
      <c r="H106" s="6"/>
      <c r="I106" s="69"/>
      <c r="J106" s="6"/>
      <c r="K106" s="74"/>
      <c r="L106" s="73"/>
      <c r="M106" s="71"/>
      <c r="N106" s="70"/>
      <c r="O106" s="72"/>
      <c r="P106" s="6" t="n">
        <f aca="true">IF(I106="","",SUMIFS(OrderItems_Qty,OrderItems_Type,"PURCHASE",OrderItems_SKU,I106)-SUMIFS(OrderItems_Qty,OrderItems_Type,"SALE",OrderItems_SKU,I106))</f>
        <v>0</v>
      </c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customFormat="false" ht="14.9" hidden="false" customHeight="false" outlineLevel="0" collapsed="false">
      <c r="C107" s="6"/>
      <c r="D107" s="45"/>
      <c r="E107" s="6"/>
      <c r="F107" s="6"/>
      <c r="G107" s="6"/>
      <c r="H107" s="6"/>
      <c r="I107" s="69"/>
      <c r="J107" s="6"/>
      <c r="K107" s="74"/>
      <c r="L107" s="73"/>
      <c r="M107" s="71"/>
      <c r="N107" s="70"/>
      <c r="O107" s="72"/>
      <c r="P107" s="6" t="n">
        <f aca="true">IF(I107="","",SUMIFS(OrderItems_Qty,OrderItems_Type,"PURCHASE",OrderItems_SKU,I107)-SUMIFS(OrderItems_Qty,OrderItems_Type,"SALE",OrderItems_SKU,I107))</f>
        <v>0</v>
      </c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customFormat="false" ht="14.9" hidden="false" customHeight="false" outlineLevel="0" collapsed="false">
      <c r="C108" s="6"/>
      <c r="D108" s="45"/>
      <c r="E108" s="6"/>
      <c r="F108" s="6"/>
      <c r="G108" s="6"/>
      <c r="H108" s="6"/>
      <c r="I108" s="69"/>
      <c r="J108" s="6"/>
      <c r="K108" s="74"/>
      <c r="L108" s="73"/>
      <c r="M108" s="71"/>
      <c r="N108" s="70"/>
      <c r="O108" s="72"/>
      <c r="P108" s="6" t="n">
        <f aca="true">IF(I108="","",SUMIFS(OrderItems_Qty,OrderItems_Type,"PURCHASE",OrderItems_SKU,I108)-SUMIFS(OrderItems_Qty,OrderItems_Type,"SALE",OrderItems_SKU,I108))</f>
        <v>0</v>
      </c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customFormat="false" ht="14.9" hidden="false" customHeight="false" outlineLevel="0" collapsed="false">
      <c r="C109" s="6"/>
      <c r="D109" s="45"/>
      <c r="E109" s="6"/>
      <c r="F109" s="6"/>
      <c r="G109" s="6"/>
      <c r="H109" s="6"/>
      <c r="I109" s="69"/>
      <c r="J109" s="6"/>
      <c r="K109" s="74"/>
      <c r="L109" s="73"/>
      <c r="M109" s="71"/>
      <c r="N109" s="70"/>
      <c r="O109" s="72"/>
      <c r="P109" s="6" t="n">
        <f aca="true">IF(I109="","",SUMIFS(OrderItems_Qty,OrderItems_Type,"PURCHASE",OrderItems_SKU,I109)-SUMIFS(OrderItems_Qty,OrderItems_Type,"SALE",OrderItems_SKU,I109))</f>
        <v>0</v>
      </c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customFormat="false" ht="14.9" hidden="false" customHeight="false" outlineLevel="0" collapsed="false">
      <c r="C110" s="6"/>
      <c r="D110" s="45"/>
      <c r="E110" s="6"/>
      <c r="F110" s="6"/>
      <c r="G110" s="6"/>
      <c r="H110" s="6"/>
      <c r="I110" s="69"/>
      <c r="J110" s="6"/>
      <c r="K110" s="74"/>
      <c r="L110" s="73"/>
      <c r="M110" s="71"/>
      <c r="N110" s="70"/>
      <c r="O110" s="72"/>
      <c r="P110" s="6" t="n">
        <f aca="true">IF(I110="","",SUMIFS(OrderItems_Qty,OrderItems_Type,"PURCHASE",OrderItems_SKU,I110)-SUMIFS(OrderItems_Qty,OrderItems_Type,"SALE",OrderItems_SKU,I110))</f>
        <v>0</v>
      </c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customFormat="false" ht="14.9" hidden="false" customHeight="false" outlineLevel="0" collapsed="false">
      <c r="C111" s="6"/>
      <c r="D111" s="45"/>
      <c r="E111" s="6"/>
      <c r="F111" s="6"/>
      <c r="G111" s="6"/>
      <c r="H111" s="6"/>
      <c r="I111" s="69"/>
      <c r="J111" s="6"/>
      <c r="K111" s="74"/>
      <c r="L111" s="73"/>
      <c r="M111" s="71"/>
      <c r="N111" s="70"/>
      <c r="O111" s="72"/>
      <c r="P111" s="6" t="n">
        <f aca="true">IF(I111="","",SUMIFS(OrderItems_Qty,OrderItems_Type,"PURCHASE",OrderItems_SKU,I111)-SUMIFS(OrderItems_Qty,OrderItems_Type,"SALE",OrderItems_SKU,I111))</f>
        <v>0</v>
      </c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customFormat="false" ht="14.9" hidden="false" customHeight="false" outlineLevel="0" collapsed="false">
      <c r="C112" s="6"/>
      <c r="D112" s="45"/>
      <c r="E112" s="6"/>
      <c r="F112" s="6"/>
      <c r="G112" s="6"/>
      <c r="H112" s="6"/>
      <c r="I112" s="69"/>
      <c r="J112" s="6"/>
      <c r="K112" s="74"/>
      <c r="L112" s="73"/>
      <c r="M112" s="71"/>
      <c r="N112" s="70"/>
      <c r="O112" s="72"/>
      <c r="P112" s="6" t="n">
        <f aca="true">IF(I112="","",SUMIFS(OrderItems_Qty,OrderItems_Type,"PURCHASE",OrderItems_SKU,I112)-SUMIFS(OrderItems_Qty,OrderItems_Type,"SALE",OrderItems_SKU,I112))</f>
        <v>0</v>
      </c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customFormat="false" ht="14.9" hidden="false" customHeight="false" outlineLevel="0" collapsed="false">
      <c r="C113" s="6"/>
      <c r="D113" s="45"/>
      <c r="E113" s="6"/>
      <c r="F113" s="6"/>
      <c r="G113" s="6"/>
      <c r="H113" s="6"/>
      <c r="I113" s="69"/>
      <c r="J113" s="6"/>
      <c r="K113" s="74"/>
      <c r="L113" s="73"/>
      <c r="M113" s="71"/>
      <c r="N113" s="70"/>
      <c r="O113" s="72"/>
      <c r="P113" s="6" t="n">
        <f aca="true">IF(I113="","",SUMIFS(OrderItems_Qty,OrderItems_Type,"PURCHASE",OrderItems_SKU,I113)-SUMIFS(OrderItems_Qty,OrderItems_Type,"SALE",OrderItems_SKU,I113))</f>
        <v>0</v>
      </c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customFormat="false" ht="14.9" hidden="false" customHeight="false" outlineLevel="0" collapsed="false">
      <c r="C114" s="6"/>
      <c r="D114" s="45"/>
      <c r="E114" s="6"/>
      <c r="F114" s="6"/>
      <c r="G114" s="6"/>
      <c r="H114" s="6"/>
      <c r="I114" s="69"/>
      <c r="J114" s="6"/>
      <c r="K114" s="74"/>
      <c r="L114" s="73"/>
      <c r="M114" s="71"/>
      <c r="N114" s="70"/>
      <c r="O114" s="72"/>
      <c r="P114" s="6" t="n">
        <f aca="true">IF(I114="","",SUMIFS(OrderItems_Qty,OrderItems_Type,"PURCHASE",OrderItems_SKU,I114)-SUMIFS(OrderItems_Qty,OrderItems_Type,"SALE",OrderItems_SKU,I114))</f>
        <v>0</v>
      </c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customFormat="false" ht="14.9" hidden="false" customHeight="false" outlineLevel="0" collapsed="false">
      <c r="C115" s="6"/>
      <c r="D115" s="45"/>
      <c r="E115" s="6"/>
      <c r="F115" s="6"/>
      <c r="G115" s="6"/>
      <c r="H115" s="6"/>
      <c r="I115" s="69"/>
      <c r="J115" s="6"/>
      <c r="K115" s="74"/>
      <c r="L115" s="73"/>
      <c r="M115" s="71"/>
      <c r="N115" s="70"/>
      <c r="O115" s="72"/>
      <c r="P115" s="6" t="n">
        <f aca="true">IF(I115="","",SUMIFS(OrderItems_Qty,OrderItems_Type,"PURCHASE",OrderItems_SKU,I115)-SUMIFS(OrderItems_Qty,OrderItems_Type,"SALE",OrderItems_SKU,I115))</f>
        <v>0</v>
      </c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customFormat="false" ht="14.9" hidden="false" customHeight="false" outlineLevel="0" collapsed="false">
      <c r="C116" s="6"/>
      <c r="D116" s="45"/>
      <c r="E116" s="6"/>
      <c r="F116" s="6"/>
      <c r="G116" s="6"/>
      <c r="H116" s="6"/>
      <c r="I116" s="69"/>
      <c r="J116" s="6"/>
      <c r="K116" s="74"/>
      <c r="L116" s="73"/>
      <c r="M116" s="71"/>
      <c r="N116" s="70"/>
      <c r="O116" s="72"/>
      <c r="P116" s="6" t="n">
        <f aca="true">IF(I116="","",SUMIFS(OrderItems_Qty,OrderItems_Type,"PURCHASE",OrderItems_SKU,I116)-SUMIFS(OrderItems_Qty,OrderItems_Type,"SALE",OrderItems_SKU,I116))</f>
        <v>0</v>
      </c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customFormat="false" ht="14.9" hidden="false" customHeight="false" outlineLevel="0" collapsed="false">
      <c r="C117" s="6"/>
      <c r="D117" s="45"/>
      <c r="E117" s="6"/>
      <c r="F117" s="6"/>
      <c r="G117" s="6"/>
      <c r="H117" s="6"/>
      <c r="I117" s="69"/>
      <c r="J117" s="6"/>
      <c r="K117" s="74"/>
      <c r="L117" s="73"/>
      <c r="M117" s="71"/>
      <c r="N117" s="70"/>
      <c r="O117" s="72"/>
      <c r="P117" s="6" t="n">
        <f aca="true">IF(I117="","",SUMIFS(OrderItems_Qty,OrderItems_Type,"PURCHASE",OrderItems_SKU,I117)-SUMIFS(OrderItems_Qty,OrderItems_Type,"SALE",OrderItems_SKU,I117))</f>
        <v>0</v>
      </c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customFormat="false" ht="14.9" hidden="false" customHeight="false" outlineLevel="0" collapsed="false">
      <c r="C118" s="6"/>
      <c r="D118" s="45"/>
      <c r="E118" s="6"/>
      <c r="F118" s="6"/>
      <c r="G118" s="6"/>
      <c r="H118" s="6"/>
      <c r="I118" s="69"/>
      <c r="J118" s="6"/>
      <c r="K118" s="74"/>
      <c r="L118" s="73"/>
      <c r="M118" s="71"/>
      <c r="N118" s="70"/>
      <c r="O118" s="72"/>
      <c r="P118" s="6" t="n">
        <f aca="true">IF(I118="","",SUMIFS(OrderItems_Qty,OrderItems_Type,"PURCHASE",OrderItems_SKU,I118)-SUMIFS(OrderItems_Qty,OrderItems_Type,"SALE",OrderItems_SKU,I118))</f>
        <v>0</v>
      </c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customFormat="false" ht="14.9" hidden="false" customHeight="false" outlineLevel="0" collapsed="false">
      <c r="C119" s="6"/>
      <c r="D119" s="45"/>
      <c r="E119" s="6"/>
      <c r="F119" s="6"/>
      <c r="G119" s="6"/>
      <c r="H119" s="6"/>
      <c r="I119" s="69"/>
      <c r="J119" s="6"/>
      <c r="K119" s="74"/>
      <c r="L119" s="73"/>
      <c r="M119" s="71"/>
      <c r="N119" s="70"/>
      <c r="O119" s="72"/>
      <c r="P119" s="6" t="n">
        <f aca="true">IF(I119="","",SUMIFS(OrderItems_Qty,OrderItems_Type,"PURCHASE",OrderItems_SKU,I119)-SUMIFS(OrderItems_Qty,OrderItems_Type,"SALE",OrderItems_SKU,I119))</f>
        <v>0</v>
      </c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customFormat="false" ht="14.9" hidden="false" customHeight="false" outlineLevel="0" collapsed="false">
      <c r="C120" s="6"/>
      <c r="D120" s="45"/>
      <c r="E120" s="6"/>
      <c r="F120" s="6"/>
      <c r="G120" s="6"/>
      <c r="H120" s="6"/>
      <c r="I120" s="69"/>
      <c r="J120" s="6"/>
      <c r="K120" s="74"/>
      <c r="L120" s="73"/>
      <c r="M120" s="71"/>
      <c r="N120" s="70"/>
      <c r="O120" s="72"/>
      <c r="P120" s="6" t="n">
        <f aca="true">IF(I120="","",SUMIFS(OrderItems_Qty,OrderItems_Type,"PURCHASE",OrderItems_SKU,I120)-SUMIFS(OrderItems_Qty,OrderItems_Type,"SALE",OrderItems_SKU,I120))</f>
        <v>0</v>
      </c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customFormat="false" ht="14.9" hidden="false" customHeight="false" outlineLevel="0" collapsed="false">
      <c r="C121" s="6"/>
      <c r="D121" s="45"/>
      <c r="E121" s="6"/>
      <c r="F121" s="6"/>
      <c r="G121" s="6"/>
      <c r="H121" s="6"/>
      <c r="I121" s="69"/>
      <c r="J121" s="6"/>
      <c r="K121" s="74"/>
      <c r="L121" s="73"/>
      <c r="M121" s="71"/>
      <c r="N121" s="70"/>
      <c r="O121" s="72"/>
      <c r="P121" s="6" t="n">
        <f aca="true">IF(I121="","",SUMIFS(OrderItems_Qty,OrderItems_Type,"PURCHASE",OrderItems_SKU,I121)-SUMIFS(OrderItems_Qty,OrderItems_Type,"SALE",OrderItems_SKU,I121))</f>
        <v>0</v>
      </c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customFormat="false" ht="14.9" hidden="false" customHeight="false" outlineLevel="0" collapsed="false">
      <c r="C122" s="6"/>
      <c r="D122" s="45"/>
      <c r="E122" s="6"/>
      <c r="F122" s="6"/>
      <c r="G122" s="6"/>
      <c r="H122" s="6"/>
      <c r="I122" s="69"/>
      <c r="J122" s="6"/>
      <c r="K122" s="74"/>
      <c r="L122" s="73"/>
      <c r="M122" s="71"/>
      <c r="N122" s="70"/>
      <c r="O122" s="72"/>
      <c r="P122" s="6" t="n">
        <f aca="true">IF(I122="","",SUMIFS(OrderItems_Qty,OrderItems_Type,"PURCHASE",OrderItems_SKU,I122)-SUMIFS(OrderItems_Qty,OrderItems_Type,"SALE",OrderItems_SKU,I122))</f>
        <v>0</v>
      </c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customFormat="false" ht="14.9" hidden="false" customHeight="false" outlineLevel="0" collapsed="false">
      <c r="C123" s="6"/>
      <c r="D123" s="45"/>
      <c r="E123" s="6"/>
      <c r="F123" s="6"/>
      <c r="G123" s="6"/>
      <c r="H123" s="6"/>
      <c r="I123" s="69"/>
      <c r="J123" s="6"/>
      <c r="K123" s="74"/>
      <c r="L123" s="73"/>
      <c r="M123" s="71"/>
      <c r="N123" s="70"/>
      <c r="O123" s="72"/>
      <c r="P123" s="6" t="n">
        <f aca="true">IF(I123="","",SUMIFS(OrderItems_Qty,OrderItems_Type,"PURCHASE",OrderItems_SKU,I123)-SUMIFS(OrderItems_Qty,OrderItems_Type,"SALE",OrderItems_SKU,I123))</f>
        <v>0</v>
      </c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customFormat="false" ht="14.9" hidden="false" customHeight="false" outlineLevel="0" collapsed="false">
      <c r="C124" s="6"/>
      <c r="D124" s="45"/>
      <c r="E124" s="6"/>
      <c r="F124" s="6"/>
      <c r="G124" s="6"/>
      <c r="H124" s="6"/>
      <c r="I124" s="69"/>
      <c r="J124" s="6"/>
      <c r="K124" s="74"/>
      <c r="L124" s="73"/>
      <c r="M124" s="71"/>
      <c r="N124" s="70"/>
      <c r="O124" s="72"/>
      <c r="P124" s="6" t="n">
        <f aca="true">IF(I124="","",SUMIFS(OrderItems_Qty,OrderItems_Type,"PURCHASE",OrderItems_SKU,I124)-SUMIFS(OrderItems_Qty,OrderItems_Type,"SALE",OrderItems_SKU,I124))</f>
        <v>0</v>
      </c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customFormat="false" ht="14.9" hidden="false" customHeight="false" outlineLevel="0" collapsed="false">
      <c r="C125" s="6"/>
      <c r="D125" s="45"/>
      <c r="E125" s="6"/>
      <c r="F125" s="6"/>
      <c r="G125" s="6"/>
      <c r="H125" s="6"/>
      <c r="I125" s="69"/>
      <c r="J125" s="6"/>
      <c r="K125" s="74"/>
      <c r="L125" s="73"/>
      <c r="M125" s="71"/>
      <c r="N125" s="70"/>
      <c r="O125" s="72"/>
      <c r="P125" s="6" t="n">
        <f aca="true">IF(I125="","",SUMIFS(OrderItems_Qty,OrderItems_Type,"PURCHASE",OrderItems_SKU,I125)-SUMIFS(OrderItems_Qty,OrderItems_Type,"SALE",OrderItems_SKU,I125))</f>
        <v>0</v>
      </c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customFormat="false" ht="14.9" hidden="false" customHeight="false" outlineLevel="0" collapsed="false">
      <c r="C126" s="6"/>
      <c r="D126" s="45"/>
      <c r="E126" s="6"/>
      <c r="F126" s="6"/>
      <c r="G126" s="6"/>
      <c r="H126" s="6"/>
      <c r="I126" s="69"/>
      <c r="J126" s="6"/>
      <c r="K126" s="74"/>
      <c r="L126" s="73"/>
      <c r="M126" s="71"/>
      <c r="N126" s="70"/>
      <c r="O126" s="72"/>
      <c r="P126" s="6" t="n">
        <f aca="true">IF(I126="","",SUMIFS(OrderItems_Qty,OrderItems_Type,"PURCHASE",OrderItems_SKU,I126)-SUMIFS(OrderItems_Qty,OrderItems_Type,"SALE",OrderItems_SKU,I126))</f>
        <v>0</v>
      </c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customFormat="false" ht="14.9" hidden="false" customHeight="false" outlineLevel="0" collapsed="false">
      <c r="C127" s="6"/>
      <c r="D127" s="45"/>
      <c r="E127" s="6"/>
      <c r="F127" s="6"/>
      <c r="G127" s="6"/>
      <c r="H127" s="6"/>
      <c r="I127" s="69"/>
      <c r="J127" s="6"/>
      <c r="K127" s="74"/>
      <c r="L127" s="73"/>
      <c r="M127" s="71"/>
      <c r="N127" s="70"/>
      <c r="O127" s="72"/>
      <c r="P127" s="6" t="n">
        <f aca="true">IF(I127="","",SUMIFS(OrderItems_Qty,OrderItems_Type,"PURCHASE",OrderItems_SKU,I127)-SUMIFS(OrderItems_Qty,OrderItems_Type,"SALE",OrderItems_SKU,I127))</f>
        <v>0</v>
      </c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customFormat="false" ht="14.9" hidden="false" customHeight="false" outlineLevel="0" collapsed="false">
      <c r="C128" s="6"/>
      <c r="D128" s="45"/>
      <c r="E128" s="6"/>
      <c r="F128" s="6"/>
      <c r="G128" s="6"/>
      <c r="H128" s="6"/>
      <c r="I128" s="69"/>
      <c r="J128" s="6"/>
      <c r="K128" s="74"/>
      <c r="L128" s="73"/>
      <c r="M128" s="71"/>
      <c r="N128" s="70"/>
      <c r="O128" s="72"/>
      <c r="P128" s="6" t="n">
        <f aca="true">IF(I128="","",SUMIFS(OrderItems_Qty,OrderItems_Type,"PURCHASE",OrderItems_SKU,I128)-SUMIFS(OrderItems_Qty,OrderItems_Type,"SALE",OrderItems_SKU,I128))</f>
        <v>0</v>
      </c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customFormat="false" ht="14.9" hidden="false" customHeight="false" outlineLevel="0" collapsed="false">
      <c r="C129" s="6"/>
      <c r="D129" s="45"/>
      <c r="E129" s="6"/>
      <c r="F129" s="6"/>
      <c r="G129" s="6"/>
      <c r="H129" s="6"/>
      <c r="I129" s="69"/>
      <c r="J129" s="6"/>
      <c r="K129" s="74"/>
      <c r="L129" s="73"/>
      <c r="M129" s="71"/>
      <c r="N129" s="70"/>
      <c r="O129" s="72"/>
      <c r="P129" s="6" t="n">
        <f aca="true">IF(I129="","",SUMIFS(OrderItems_Qty,OrderItems_Type,"PURCHASE",OrderItems_SKU,I129)-SUMIFS(OrderItems_Qty,OrderItems_Type,"SALE",OrderItems_SKU,I129))</f>
        <v>0</v>
      </c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customFormat="false" ht="14.9" hidden="false" customHeight="false" outlineLevel="0" collapsed="false">
      <c r="C130" s="6"/>
      <c r="D130" s="45"/>
      <c r="E130" s="6"/>
      <c r="F130" s="6"/>
      <c r="G130" s="6"/>
      <c r="H130" s="6"/>
      <c r="I130" s="69"/>
      <c r="J130" s="6"/>
      <c r="K130" s="74"/>
      <c r="L130" s="73"/>
      <c r="M130" s="71"/>
      <c r="N130" s="70"/>
      <c r="O130" s="72"/>
      <c r="P130" s="6" t="n">
        <f aca="true">IF(I130="","",SUMIFS(OrderItems_Qty,OrderItems_Type,"PURCHASE",OrderItems_SKU,I130)-SUMIFS(OrderItems_Qty,OrderItems_Type,"SALE",OrderItems_SKU,I130))</f>
        <v>0</v>
      </c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customFormat="false" ht="14.9" hidden="false" customHeight="false" outlineLevel="0" collapsed="false">
      <c r="C131" s="6"/>
      <c r="D131" s="45"/>
      <c r="E131" s="6"/>
      <c r="F131" s="6"/>
      <c r="G131" s="6"/>
      <c r="H131" s="6"/>
      <c r="I131" s="69"/>
      <c r="J131" s="6"/>
      <c r="K131" s="74"/>
      <c r="L131" s="73"/>
      <c r="M131" s="71"/>
      <c r="N131" s="70"/>
      <c r="O131" s="72"/>
      <c r="P131" s="6" t="n">
        <f aca="true">IF(I131="","",SUMIFS(OrderItems_Qty,OrderItems_Type,"PURCHASE",OrderItems_SKU,I131)-SUMIFS(OrderItems_Qty,OrderItems_Type,"SALE",OrderItems_SKU,I131))</f>
        <v>0</v>
      </c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customFormat="false" ht="14.9" hidden="false" customHeight="false" outlineLevel="0" collapsed="false">
      <c r="C132" s="6"/>
      <c r="D132" s="45"/>
      <c r="E132" s="6"/>
      <c r="F132" s="6"/>
      <c r="G132" s="6"/>
      <c r="H132" s="6"/>
      <c r="I132" s="69"/>
      <c r="J132" s="6"/>
      <c r="K132" s="74"/>
      <c r="L132" s="73"/>
      <c r="M132" s="71"/>
      <c r="N132" s="70"/>
      <c r="O132" s="72"/>
      <c r="P132" s="6" t="n">
        <f aca="true">IF(I132="","",SUMIFS(OrderItems_Qty,OrderItems_Type,"PURCHASE",OrderItems_SKU,I132)-SUMIFS(OrderItems_Qty,OrderItems_Type,"SALE",OrderItems_SKU,I132))</f>
        <v>0</v>
      </c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customFormat="false" ht="14.9" hidden="false" customHeight="false" outlineLevel="0" collapsed="false">
      <c r="C133" s="6"/>
      <c r="D133" s="45"/>
      <c r="E133" s="6"/>
      <c r="F133" s="6"/>
      <c r="G133" s="6"/>
      <c r="H133" s="6"/>
      <c r="I133" s="69"/>
      <c r="J133" s="6"/>
      <c r="K133" s="74"/>
      <c r="L133" s="73"/>
      <c r="M133" s="71"/>
      <c r="N133" s="70"/>
      <c r="O133" s="72"/>
      <c r="P133" s="6" t="n">
        <f aca="true">IF(I133="","",SUMIFS(OrderItems_Qty,OrderItems_Type,"PURCHASE",OrderItems_SKU,I133)-SUMIFS(OrderItems_Qty,OrderItems_Type,"SALE",OrderItems_SKU,I133))</f>
        <v>0</v>
      </c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customFormat="false" ht="14.9" hidden="false" customHeight="false" outlineLevel="0" collapsed="false">
      <c r="C134" s="6"/>
      <c r="D134" s="45"/>
      <c r="E134" s="6"/>
      <c r="F134" s="6"/>
      <c r="G134" s="6"/>
      <c r="H134" s="6"/>
      <c r="I134" s="69"/>
      <c r="J134" s="6"/>
      <c r="K134" s="74"/>
      <c r="L134" s="73"/>
      <c r="M134" s="71"/>
      <c r="N134" s="70"/>
      <c r="O134" s="72"/>
      <c r="P134" s="6" t="n">
        <f aca="true">IF(I134="","",SUMIFS(OrderItems_Qty,OrderItems_Type,"PURCHASE",OrderItems_SKU,I134)-SUMIFS(OrderItems_Qty,OrderItems_Type,"SALE",OrderItems_SKU,I134))</f>
        <v>0</v>
      </c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customFormat="false" ht="14.9" hidden="false" customHeight="false" outlineLevel="0" collapsed="false">
      <c r="C135" s="6"/>
      <c r="D135" s="45"/>
      <c r="E135" s="6"/>
      <c r="F135" s="6"/>
      <c r="G135" s="6"/>
      <c r="H135" s="6"/>
      <c r="I135" s="69"/>
      <c r="J135" s="6"/>
      <c r="K135" s="74"/>
      <c r="L135" s="73"/>
      <c r="M135" s="71"/>
      <c r="N135" s="70"/>
      <c r="O135" s="72"/>
      <c r="P135" s="6" t="n">
        <f aca="true">IF(I135="","",SUMIFS(OrderItems_Qty,OrderItems_Type,"PURCHASE",OrderItems_SKU,I135)-SUMIFS(OrderItems_Qty,OrderItems_Type,"SALE",OrderItems_SKU,I135))</f>
        <v>0</v>
      </c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customFormat="false" ht="14.9" hidden="false" customHeight="false" outlineLevel="0" collapsed="false">
      <c r="C136" s="6"/>
      <c r="D136" s="45"/>
      <c r="E136" s="6"/>
      <c r="F136" s="6"/>
      <c r="G136" s="6"/>
      <c r="H136" s="6"/>
      <c r="I136" s="69"/>
      <c r="J136" s="6"/>
      <c r="K136" s="74"/>
      <c r="L136" s="73"/>
      <c r="M136" s="71"/>
      <c r="N136" s="70"/>
      <c r="O136" s="72"/>
      <c r="P136" s="6" t="n">
        <f aca="true">IF(I136="","",SUMIFS(OrderItems_Qty,OrderItems_Type,"PURCHASE",OrderItems_SKU,I136)-SUMIFS(OrderItems_Qty,OrderItems_Type,"SALE",OrderItems_SKU,I136))</f>
        <v>0</v>
      </c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customFormat="false" ht="14.9" hidden="false" customHeight="false" outlineLevel="0" collapsed="false">
      <c r="C137" s="6"/>
      <c r="D137" s="45"/>
      <c r="E137" s="6"/>
      <c r="F137" s="6"/>
      <c r="G137" s="6"/>
      <c r="H137" s="6"/>
      <c r="I137" s="69"/>
      <c r="J137" s="6"/>
      <c r="K137" s="74"/>
      <c r="L137" s="73"/>
      <c r="M137" s="71"/>
      <c r="N137" s="70"/>
      <c r="O137" s="72"/>
      <c r="P137" s="6" t="n">
        <f aca="true">IF(I137="","",SUMIFS(OrderItems_Qty,OrderItems_Type,"PURCHASE",OrderItems_SKU,I137)-SUMIFS(OrderItems_Qty,OrderItems_Type,"SALE",OrderItems_SKU,I137))</f>
        <v>0</v>
      </c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customFormat="false" ht="14.9" hidden="false" customHeight="false" outlineLevel="0" collapsed="false">
      <c r="C138" s="6"/>
      <c r="D138" s="45"/>
      <c r="E138" s="6"/>
      <c r="F138" s="6"/>
      <c r="G138" s="6"/>
      <c r="H138" s="6"/>
      <c r="I138" s="69"/>
      <c r="J138" s="6"/>
      <c r="K138" s="74"/>
      <c r="L138" s="73"/>
      <c r="M138" s="71"/>
      <c r="N138" s="70"/>
      <c r="O138" s="72"/>
      <c r="P138" s="6" t="n">
        <f aca="true">IF(I138="","",SUMIFS(OrderItems_Qty,OrderItems_Type,"PURCHASE",OrderItems_SKU,I138)-SUMIFS(OrderItems_Qty,OrderItems_Type,"SALE",OrderItems_SKU,I138))</f>
        <v>0</v>
      </c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customFormat="false" ht="14.9" hidden="false" customHeight="false" outlineLevel="0" collapsed="false">
      <c r="C139" s="6"/>
      <c r="D139" s="45"/>
      <c r="E139" s="6"/>
      <c r="F139" s="6"/>
      <c r="G139" s="6"/>
      <c r="H139" s="6"/>
      <c r="I139" s="69"/>
      <c r="J139" s="6"/>
      <c r="K139" s="74"/>
      <c r="L139" s="73"/>
      <c r="M139" s="71"/>
      <c r="N139" s="70"/>
      <c r="O139" s="72"/>
      <c r="P139" s="6" t="n">
        <f aca="true">IF(I139="","",SUMIFS(OrderItems_Qty,OrderItems_Type,"PURCHASE",OrderItems_SKU,I139)-SUMIFS(OrderItems_Qty,OrderItems_Type,"SALE",OrderItems_SKU,I139))</f>
        <v>0</v>
      </c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customFormat="false" ht="14.9" hidden="false" customHeight="false" outlineLevel="0" collapsed="false">
      <c r="C140" s="6"/>
      <c r="D140" s="45"/>
      <c r="E140" s="6"/>
      <c r="F140" s="6"/>
      <c r="G140" s="6"/>
      <c r="H140" s="6"/>
      <c r="I140" s="69"/>
      <c r="J140" s="6"/>
      <c r="K140" s="74"/>
      <c r="L140" s="73"/>
      <c r="M140" s="71"/>
      <c r="N140" s="70"/>
      <c r="O140" s="72"/>
      <c r="P140" s="6" t="n">
        <f aca="true">IF(I140="","",SUMIFS(OrderItems_Qty,OrderItems_Type,"PURCHASE",OrderItems_SKU,I140)-SUMIFS(OrderItems_Qty,OrderItems_Type,"SALE",OrderItems_SKU,I140))</f>
        <v>0</v>
      </c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customFormat="false" ht="14.9" hidden="false" customHeight="false" outlineLevel="0" collapsed="false">
      <c r="C141" s="6"/>
      <c r="D141" s="45"/>
      <c r="E141" s="6"/>
      <c r="F141" s="6"/>
      <c r="G141" s="6"/>
      <c r="H141" s="6"/>
      <c r="I141" s="69"/>
      <c r="J141" s="6"/>
      <c r="K141" s="74"/>
      <c r="L141" s="73"/>
      <c r="M141" s="71"/>
      <c r="N141" s="70"/>
      <c r="O141" s="72"/>
      <c r="P141" s="6" t="n">
        <f aca="true">IF(I141="","",SUMIFS(OrderItems_Qty,OrderItems_Type,"PURCHASE",OrderItems_SKU,I141)-SUMIFS(OrderItems_Qty,OrderItems_Type,"SALE",OrderItems_SKU,I141))</f>
        <v>0</v>
      </c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customFormat="false" ht="14.9" hidden="false" customHeight="false" outlineLevel="0" collapsed="false">
      <c r="C142" s="6"/>
      <c r="D142" s="45"/>
      <c r="E142" s="6"/>
      <c r="F142" s="6"/>
      <c r="G142" s="6"/>
      <c r="H142" s="6"/>
      <c r="I142" s="69"/>
      <c r="J142" s="6"/>
      <c r="K142" s="74"/>
      <c r="L142" s="73"/>
      <c r="M142" s="71"/>
      <c r="N142" s="70"/>
      <c r="O142" s="72"/>
      <c r="P142" s="6" t="n">
        <f aca="true">IF(I142="","",SUMIFS(OrderItems_Qty,OrderItems_Type,"PURCHASE",OrderItems_SKU,I142)-SUMIFS(OrderItems_Qty,OrderItems_Type,"SALE",OrderItems_SKU,I142))</f>
        <v>0</v>
      </c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customFormat="false" ht="14.9" hidden="false" customHeight="false" outlineLevel="0" collapsed="false">
      <c r="C143" s="6"/>
      <c r="D143" s="45"/>
      <c r="E143" s="6"/>
      <c r="F143" s="6"/>
      <c r="G143" s="6"/>
      <c r="H143" s="6"/>
      <c r="I143" s="69"/>
      <c r="J143" s="6"/>
      <c r="K143" s="74"/>
      <c r="L143" s="73"/>
      <c r="M143" s="71"/>
      <c r="N143" s="70"/>
      <c r="O143" s="72"/>
      <c r="P143" s="6" t="n">
        <f aca="true">IF(I143="","",SUMIFS(OrderItems_Qty,OrderItems_Type,"PURCHASE",OrderItems_SKU,I143)-SUMIFS(OrderItems_Qty,OrderItems_Type,"SALE",OrderItems_SKU,I143))</f>
        <v>0</v>
      </c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customFormat="false" ht="14.9" hidden="false" customHeight="false" outlineLevel="0" collapsed="false">
      <c r="C144" s="6"/>
      <c r="D144" s="45"/>
      <c r="E144" s="6"/>
      <c r="F144" s="6"/>
      <c r="G144" s="6"/>
      <c r="H144" s="6"/>
      <c r="I144" s="69"/>
      <c r="J144" s="6"/>
      <c r="K144" s="74"/>
      <c r="L144" s="73"/>
      <c r="M144" s="71"/>
      <c r="N144" s="70"/>
      <c r="O144" s="72"/>
      <c r="P144" s="6" t="n">
        <f aca="true">IF(I144="","",SUMIFS(OrderItems_Qty,OrderItems_Type,"PURCHASE",OrderItems_SKU,I144)-SUMIFS(OrderItems_Qty,OrderItems_Type,"SALE",OrderItems_SKU,I144))</f>
        <v>0</v>
      </c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customFormat="false" ht="14.9" hidden="false" customHeight="false" outlineLevel="0" collapsed="false">
      <c r="C145" s="6"/>
      <c r="D145" s="45"/>
      <c r="E145" s="6"/>
      <c r="F145" s="6"/>
      <c r="G145" s="6"/>
      <c r="H145" s="6"/>
      <c r="I145" s="69"/>
      <c r="J145" s="6"/>
      <c r="K145" s="74"/>
      <c r="L145" s="73"/>
      <c r="M145" s="71"/>
      <c r="N145" s="70"/>
      <c r="O145" s="72"/>
      <c r="P145" s="6" t="n">
        <f aca="true">IF(I145="","",SUMIFS(OrderItems_Qty,OrderItems_Type,"PURCHASE",OrderItems_SKU,I145)-SUMIFS(OrderItems_Qty,OrderItems_Type,"SALE",OrderItems_SKU,I145))</f>
        <v>0</v>
      </c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customFormat="false" ht="14.9" hidden="false" customHeight="false" outlineLevel="0" collapsed="false">
      <c r="C146" s="6"/>
      <c r="D146" s="45"/>
      <c r="E146" s="6"/>
      <c r="F146" s="6"/>
      <c r="G146" s="6"/>
      <c r="H146" s="6"/>
      <c r="I146" s="69"/>
      <c r="J146" s="6"/>
      <c r="K146" s="74"/>
      <c r="L146" s="73"/>
      <c r="M146" s="71"/>
      <c r="N146" s="70"/>
      <c r="O146" s="72"/>
      <c r="P146" s="6" t="n">
        <f aca="true">IF(I146="","",SUMIFS(OrderItems_Qty,OrderItems_Type,"PURCHASE",OrderItems_SKU,I146)-SUMIFS(OrderItems_Qty,OrderItems_Type,"SALE",OrderItems_SKU,I146))</f>
        <v>0</v>
      </c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customFormat="false" ht="14.9" hidden="false" customHeight="false" outlineLevel="0" collapsed="false">
      <c r="C147" s="6"/>
      <c r="D147" s="45"/>
      <c r="E147" s="6"/>
      <c r="F147" s="6"/>
      <c r="G147" s="6"/>
      <c r="H147" s="6"/>
      <c r="I147" s="69"/>
      <c r="J147" s="6"/>
      <c r="K147" s="74"/>
      <c r="L147" s="73"/>
      <c r="M147" s="71"/>
      <c r="N147" s="70"/>
      <c r="O147" s="72"/>
      <c r="P147" s="6" t="n">
        <f aca="true">IF(I147="","",SUMIFS(OrderItems_Qty,OrderItems_Type,"PURCHASE",OrderItems_SKU,I147)-SUMIFS(OrderItems_Qty,OrderItems_Type,"SALE",OrderItems_SKU,I147))</f>
        <v>0</v>
      </c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customFormat="false" ht="14.9" hidden="false" customHeight="false" outlineLevel="0" collapsed="false">
      <c r="C148" s="6"/>
      <c r="D148" s="45"/>
      <c r="E148" s="6"/>
      <c r="F148" s="6"/>
      <c r="G148" s="6"/>
      <c r="H148" s="6"/>
      <c r="I148" s="69"/>
      <c r="J148" s="6"/>
      <c r="K148" s="74"/>
      <c r="L148" s="73"/>
      <c r="M148" s="71"/>
      <c r="N148" s="70"/>
      <c r="O148" s="72"/>
      <c r="P148" s="6" t="n">
        <f aca="true">IF(I148="","",SUMIFS(OrderItems_Qty,OrderItems_Type,"PURCHASE",OrderItems_SKU,I148)-SUMIFS(OrderItems_Qty,OrderItems_Type,"SALE",OrderItems_SKU,I148))</f>
        <v>0</v>
      </c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customFormat="false" ht="14.9" hidden="false" customHeight="false" outlineLevel="0" collapsed="false">
      <c r="C149" s="6"/>
      <c r="D149" s="45"/>
      <c r="E149" s="6"/>
      <c r="F149" s="6"/>
      <c r="G149" s="6"/>
      <c r="H149" s="6"/>
      <c r="I149" s="69"/>
      <c r="J149" s="6"/>
      <c r="K149" s="74"/>
      <c r="L149" s="73"/>
      <c r="M149" s="71"/>
      <c r="N149" s="70"/>
      <c r="O149" s="72"/>
      <c r="P149" s="6" t="n">
        <f aca="true">IF(I149="","",SUMIFS(OrderItems_Qty,OrderItems_Type,"PURCHASE",OrderItems_SKU,I149)-SUMIFS(OrderItems_Qty,OrderItems_Type,"SALE",OrderItems_SKU,I149))</f>
        <v>0</v>
      </c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customFormat="false" ht="14.9" hidden="false" customHeight="false" outlineLevel="0" collapsed="false">
      <c r="C150" s="6"/>
      <c r="D150" s="45"/>
      <c r="E150" s="6"/>
      <c r="F150" s="6"/>
      <c r="G150" s="6"/>
      <c r="H150" s="6"/>
      <c r="I150" s="69"/>
      <c r="J150" s="6"/>
      <c r="K150" s="74"/>
      <c r="L150" s="73"/>
      <c r="M150" s="71"/>
      <c r="N150" s="70"/>
      <c r="O150" s="72"/>
      <c r="P150" s="6" t="n">
        <f aca="true">IF(I150="","",SUMIFS(OrderItems_Qty,OrderItems_Type,"PURCHASE",OrderItems_SKU,I150)-SUMIFS(OrderItems_Qty,OrderItems_Type,"SALE",OrderItems_SKU,I150))</f>
        <v>0</v>
      </c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customFormat="false" ht="14.9" hidden="false" customHeight="false" outlineLevel="0" collapsed="false">
      <c r="C151" s="6"/>
      <c r="D151" s="45"/>
      <c r="E151" s="6"/>
      <c r="F151" s="6"/>
      <c r="G151" s="6"/>
      <c r="H151" s="6"/>
      <c r="I151" s="69"/>
      <c r="J151" s="6"/>
      <c r="K151" s="74"/>
      <c r="L151" s="73"/>
      <c r="M151" s="71"/>
      <c r="N151" s="70"/>
      <c r="O151" s="72"/>
      <c r="P151" s="6" t="n">
        <f aca="true">IF(I151="","",SUMIFS(OrderItems_Qty,OrderItems_Type,"PURCHASE",OrderItems_SKU,I151)-SUMIFS(OrderItems_Qty,OrderItems_Type,"SALE",OrderItems_SKU,I151))</f>
        <v>0</v>
      </c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customFormat="false" ht="14.9" hidden="false" customHeight="false" outlineLevel="0" collapsed="false">
      <c r="C152" s="6"/>
      <c r="D152" s="45"/>
      <c r="E152" s="6"/>
      <c r="F152" s="6"/>
      <c r="G152" s="6"/>
      <c r="H152" s="6"/>
      <c r="I152" s="69"/>
      <c r="J152" s="6"/>
      <c r="K152" s="74"/>
      <c r="L152" s="73"/>
      <c r="M152" s="71"/>
      <c r="N152" s="70"/>
      <c r="O152" s="72"/>
      <c r="P152" s="6" t="n">
        <f aca="true">IF(I152="","",SUMIFS(OrderItems_Qty,OrderItems_Type,"PURCHASE",OrderItems_SKU,I152)-SUMIFS(OrderItems_Qty,OrderItems_Type,"SALE",OrderItems_SKU,I152))</f>
        <v>0</v>
      </c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customFormat="false" ht="14.9" hidden="false" customHeight="false" outlineLevel="0" collapsed="false">
      <c r="C153" s="6"/>
      <c r="D153" s="45"/>
      <c r="E153" s="6"/>
      <c r="F153" s="6"/>
      <c r="G153" s="6"/>
      <c r="H153" s="6"/>
      <c r="I153" s="69"/>
      <c r="J153" s="6"/>
      <c r="K153" s="74"/>
      <c r="L153" s="73"/>
      <c r="M153" s="71"/>
      <c r="N153" s="70"/>
      <c r="O153" s="72"/>
      <c r="P153" s="6" t="n">
        <f aca="true">IF(I153="","",SUMIFS(OrderItems_Qty,OrderItems_Type,"PURCHASE",OrderItems_SKU,I153)-SUMIFS(OrderItems_Qty,OrderItems_Type,"SALE",OrderItems_SKU,I153))</f>
        <v>0</v>
      </c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customFormat="false" ht="14.9" hidden="false" customHeight="false" outlineLevel="0" collapsed="false">
      <c r="C154" s="6"/>
      <c r="D154" s="45"/>
      <c r="E154" s="6"/>
      <c r="F154" s="6"/>
      <c r="G154" s="6"/>
      <c r="H154" s="6"/>
      <c r="I154" s="69"/>
      <c r="J154" s="6"/>
      <c r="K154" s="74"/>
      <c r="L154" s="73"/>
      <c r="M154" s="71"/>
      <c r="N154" s="70"/>
      <c r="O154" s="72"/>
      <c r="P154" s="6" t="n">
        <f aca="true">IF(I154="","",SUMIFS(OrderItems_Qty,OrderItems_Type,"PURCHASE",OrderItems_SKU,I154)-SUMIFS(OrderItems_Qty,OrderItems_Type,"SALE",OrderItems_SKU,I154))</f>
        <v>0</v>
      </c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customFormat="false" ht="14.9" hidden="false" customHeight="false" outlineLevel="0" collapsed="false">
      <c r="C155" s="6"/>
      <c r="D155" s="45"/>
      <c r="E155" s="6"/>
      <c r="F155" s="6"/>
      <c r="G155" s="6"/>
      <c r="H155" s="6"/>
      <c r="I155" s="69"/>
      <c r="J155" s="6"/>
      <c r="K155" s="74"/>
      <c r="L155" s="73"/>
      <c r="M155" s="71"/>
      <c r="N155" s="70"/>
      <c r="O155" s="72"/>
      <c r="P155" s="6" t="n">
        <f aca="true">IF(I155="","",SUMIFS(OrderItems_Qty,OrderItems_Type,"PURCHASE",OrderItems_SKU,I155)-SUMIFS(OrderItems_Qty,OrderItems_Type,"SALE",OrderItems_SKU,I155))</f>
        <v>0</v>
      </c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customFormat="false" ht="14.9" hidden="false" customHeight="false" outlineLevel="0" collapsed="false">
      <c r="C156" s="6"/>
      <c r="D156" s="45"/>
      <c r="E156" s="6"/>
      <c r="F156" s="6"/>
      <c r="G156" s="6"/>
      <c r="H156" s="6"/>
      <c r="I156" s="69"/>
      <c r="J156" s="6"/>
      <c r="K156" s="74"/>
      <c r="L156" s="73"/>
      <c r="M156" s="71"/>
      <c r="N156" s="70"/>
      <c r="O156" s="72"/>
      <c r="P156" s="6" t="n">
        <f aca="true">IF(I156="","",SUMIFS(OrderItems_Qty,OrderItems_Type,"PURCHASE",OrderItems_SKU,I156)-SUMIFS(OrderItems_Qty,OrderItems_Type,"SALE",OrderItems_SKU,I156))</f>
        <v>0</v>
      </c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customFormat="false" ht="14.9" hidden="false" customHeight="false" outlineLevel="0" collapsed="false">
      <c r="C157" s="6"/>
      <c r="D157" s="45"/>
      <c r="E157" s="6"/>
      <c r="F157" s="6"/>
      <c r="G157" s="6"/>
      <c r="H157" s="6"/>
      <c r="I157" s="69"/>
      <c r="J157" s="6"/>
      <c r="K157" s="74"/>
      <c r="L157" s="73"/>
      <c r="M157" s="71"/>
      <c r="N157" s="70"/>
      <c r="O157" s="72"/>
      <c r="P157" s="6" t="n">
        <f aca="true">IF(I157="","",SUMIFS(OrderItems_Qty,OrderItems_Type,"PURCHASE",OrderItems_SKU,I157)-SUMIFS(OrderItems_Qty,OrderItems_Type,"SALE",OrderItems_SKU,I157))</f>
        <v>0</v>
      </c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customFormat="false" ht="14.9" hidden="false" customHeight="false" outlineLevel="0" collapsed="false">
      <c r="C158" s="6"/>
      <c r="D158" s="45"/>
      <c r="E158" s="6"/>
      <c r="F158" s="6"/>
      <c r="G158" s="6"/>
      <c r="H158" s="6"/>
      <c r="I158" s="69"/>
      <c r="J158" s="6"/>
      <c r="K158" s="74"/>
      <c r="L158" s="73"/>
      <c r="M158" s="71"/>
      <c r="N158" s="70"/>
      <c r="O158" s="72"/>
      <c r="P158" s="6" t="n">
        <f aca="true">IF(I158="","",SUMIFS(OrderItems_Qty,OrderItems_Type,"PURCHASE",OrderItems_SKU,I158)-SUMIFS(OrderItems_Qty,OrderItems_Type,"SALE",OrderItems_SKU,I158))</f>
        <v>0</v>
      </c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customFormat="false" ht="14.9" hidden="false" customHeight="false" outlineLevel="0" collapsed="false">
      <c r="C159" s="6"/>
      <c r="D159" s="45"/>
      <c r="E159" s="6"/>
      <c r="F159" s="6"/>
      <c r="G159" s="6"/>
      <c r="H159" s="6"/>
      <c r="I159" s="69"/>
      <c r="J159" s="6"/>
      <c r="K159" s="74"/>
      <c r="L159" s="73"/>
      <c r="M159" s="71"/>
      <c r="N159" s="70"/>
      <c r="O159" s="72"/>
      <c r="P159" s="6" t="n">
        <f aca="true">IF(I159="","",SUMIFS(OrderItems_Qty,OrderItems_Type,"PURCHASE",OrderItems_SKU,I159)-SUMIFS(OrderItems_Qty,OrderItems_Type,"SALE",OrderItems_SKU,I159))</f>
        <v>0</v>
      </c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customFormat="false" ht="14.9" hidden="false" customHeight="false" outlineLevel="0" collapsed="false">
      <c r="C160" s="6"/>
      <c r="D160" s="45"/>
      <c r="E160" s="6"/>
      <c r="F160" s="6"/>
      <c r="G160" s="6"/>
      <c r="H160" s="6"/>
      <c r="I160" s="69"/>
      <c r="J160" s="6"/>
      <c r="K160" s="74"/>
      <c r="L160" s="73"/>
      <c r="M160" s="71"/>
      <c r="N160" s="70"/>
      <c r="O160" s="72"/>
      <c r="P160" s="6" t="n">
        <f aca="true">IF(I160="","",SUMIFS(OrderItems_Qty,OrderItems_Type,"PURCHASE",OrderItems_SKU,I160)-SUMIFS(OrderItems_Qty,OrderItems_Type,"SALE",OrderItems_SKU,I160))</f>
        <v>0</v>
      </c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customFormat="false" ht="14.9" hidden="false" customHeight="false" outlineLevel="0" collapsed="false">
      <c r="C161" s="6"/>
      <c r="D161" s="45"/>
      <c r="E161" s="6"/>
      <c r="F161" s="6"/>
      <c r="G161" s="6"/>
      <c r="H161" s="6"/>
      <c r="I161" s="69"/>
      <c r="J161" s="6"/>
      <c r="K161" s="74"/>
      <c r="L161" s="73"/>
      <c r="M161" s="71"/>
      <c r="N161" s="70"/>
      <c r="O161" s="72"/>
      <c r="P161" s="6" t="n">
        <f aca="true">IF(I161="","",SUMIFS(OrderItems_Qty,OrderItems_Type,"PURCHASE",OrderItems_SKU,I161)-SUMIFS(OrderItems_Qty,OrderItems_Type,"SALE",OrderItems_SKU,I161))</f>
        <v>0</v>
      </c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customFormat="false" ht="14.9" hidden="false" customHeight="false" outlineLevel="0" collapsed="false">
      <c r="C162" s="6"/>
      <c r="D162" s="45"/>
      <c r="E162" s="6"/>
      <c r="F162" s="6"/>
      <c r="G162" s="6"/>
      <c r="H162" s="6"/>
      <c r="I162" s="69"/>
      <c r="J162" s="6"/>
      <c r="K162" s="74"/>
      <c r="L162" s="73"/>
      <c r="M162" s="71"/>
      <c r="N162" s="70"/>
      <c r="O162" s="72"/>
      <c r="P162" s="6" t="n">
        <f aca="true">IF(I162="","",SUMIFS(OrderItems_Qty,OrderItems_Type,"PURCHASE",OrderItems_SKU,I162)-SUMIFS(OrderItems_Qty,OrderItems_Type,"SALE",OrderItems_SKU,I162))</f>
        <v>0</v>
      </c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customFormat="false" ht="14.9" hidden="false" customHeight="false" outlineLevel="0" collapsed="false">
      <c r="C163" s="6"/>
      <c r="D163" s="45"/>
      <c r="E163" s="6"/>
      <c r="F163" s="6"/>
      <c r="G163" s="6"/>
      <c r="H163" s="6"/>
      <c r="I163" s="69"/>
      <c r="J163" s="6"/>
      <c r="K163" s="74"/>
      <c r="L163" s="73"/>
      <c r="M163" s="71"/>
      <c r="N163" s="70"/>
      <c r="O163" s="72"/>
      <c r="P163" s="6" t="n">
        <f aca="true">IF(I163="","",SUMIFS(OrderItems_Qty,OrderItems_Type,"PURCHASE",OrderItems_SKU,I163)-SUMIFS(OrderItems_Qty,OrderItems_Type,"SALE",OrderItems_SKU,I163))</f>
        <v>0</v>
      </c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customFormat="false" ht="14.9" hidden="false" customHeight="false" outlineLevel="0" collapsed="false">
      <c r="C164" s="6"/>
      <c r="D164" s="45"/>
      <c r="E164" s="6"/>
      <c r="F164" s="6"/>
      <c r="G164" s="6"/>
      <c r="H164" s="6"/>
      <c r="I164" s="69"/>
      <c r="J164" s="6"/>
      <c r="K164" s="74"/>
      <c r="L164" s="73"/>
      <c r="M164" s="71"/>
      <c r="N164" s="70"/>
      <c r="O164" s="72"/>
      <c r="P164" s="6" t="n">
        <f aca="true">IF(I164="","",SUMIFS(OrderItems_Qty,OrderItems_Type,"PURCHASE",OrderItems_SKU,I164)-SUMIFS(OrderItems_Qty,OrderItems_Type,"SALE",OrderItems_SKU,I164))</f>
        <v>0</v>
      </c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customFormat="false" ht="14.9" hidden="false" customHeight="false" outlineLevel="0" collapsed="false">
      <c r="C165" s="6"/>
      <c r="D165" s="45"/>
      <c r="E165" s="6"/>
      <c r="F165" s="6"/>
      <c r="G165" s="6"/>
      <c r="H165" s="6"/>
      <c r="I165" s="69"/>
      <c r="J165" s="6"/>
      <c r="K165" s="74"/>
      <c r="L165" s="73"/>
      <c r="M165" s="71"/>
      <c r="N165" s="70"/>
      <c r="O165" s="72"/>
      <c r="P165" s="6" t="n">
        <f aca="true">IF(I165="","",SUMIFS(OrderItems_Qty,OrderItems_Type,"PURCHASE",OrderItems_SKU,I165)-SUMIFS(OrderItems_Qty,OrderItems_Type,"SALE",OrderItems_SKU,I165))</f>
        <v>0</v>
      </c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customFormat="false" ht="14.9" hidden="false" customHeight="false" outlineLevel="0" collapsed="false">
      <c r="C166" s="6"/>
      <c r="D166" s="45"/>
      <c r="E166" s="6"/>
      <c r="F166" s="6"/>
      <c r="G166" s="6"/>
      <c r="H166" s="6"/>
      <c r="I166" s="69"/>
      <c r="J166" s="6"/>
      <c r="K166" s="74"/>
      <c r="L166" s="73"/>
      <c r="M166" s="71"/>
      <c r="N166" s="70"/>
      <c r="O166" s="72"/>
      <c r="P166" s="6" t="n">
        <f aca="true">IF(I166="","",SUMIFS(OrderItems_Qty,OrderItems_Type,"PURCHASE",OrderItems_SKU,I166)-SUMIFS(OrderItems_Qty,OrderItems_Type,"SALE",OrderItems_SKU,I166))</f>
        <v>0</v>
      </c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customFormat="false" ht="14.9" hidden="false" customHeight="false" outlineLevel="0" collapsed="false">
      <c r="C167" s="6"/>
      <c r="D167" s="45"/>
      <c r="E167" s="6"/>
      <c r="F167" s="6"/>
      <c r="G167" s="6"/>
      <c r="H167" s="6"/>
      <c r="I167" s="69"/>
      <c r="J167" s="6"/>
      <c r="K167" s="74"/>
      <c r="L167" s="73"/>
      <c r="M167" s="71"/>
      <c r="N167" s="70"/>
      <c r="O167" s="72"/>
      <c r="P167" s="6" t="n">
        <f aca="true">IF(I167="","",SUMIFS(OrderItems_Qty,OrderItems_Type,"PURCHASE",OrderItems_SKU,I167)-SUMIFS(OrderItems_Qty,OrderItems_Type,"SALE",OrderItems_SKU,I167))</f>
        <v>0</v>
      </c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customFormat="false" ht="14.9" hidden="false" customHeight="false" outlineLevel="0" collapsed="false">
      <c r="C168" s="6"/>
      <c r="D168" s="45"/>
      <c r="E168" s="6"/>
      <c r="F168" s="6"/>
      <c r="G168" s="6"/>
      <c r="H168" s="6"/>
      <c r="I168" s="69"/>
      <c r="J168" s="6"/>
      <c r="K168" s="74"/>
      <c r="L168" s="73"/>
      <c r="M168" s="71"/>
      <c r="N168" s="70"/>
      <c r="O168" s="72"/>
      <c r="P168" s="6" t="n">
        <f aca="true">IF(I168="","",SUMIFS(OrderItems_Qty,OrderItems_Type,"PURCHASE",OrderItems_SKU,I168)-SUMIFS(OrderItems_Qty,OrderItems_Type,"SALE",OrderItems_SKU,I168))</f>
        <v>0</v>
      </c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customFormat="false" ht="14.9" hidden="false" customHeight="false" outlineLevel="0" collapsed="false">
      <c r="C169" s="6"/>
      <c r="D169" s="45"/>
      <c r="E169" s="6"/>
      <c r="F169" s="6"/>
      <c r="G169" s="6"/>
      <c r="H169" s="6"/>
      <c r="I169" s="69"/>
      <c r="J169" s="6"/>
      <c r="K169" s="74"/>
      <c r="L169" s="73"/>
      <c r="M169" s="71"/>
      <c r="N169" s="70"/>
      <c r="O169" s="72"/>
      <c r="P169" s="6" t="n">
        <f aca="true">IF(I169="","",SUMIFS(OrderItems_Qty,OrderItems_Type,"PURCHASE",OrderItems_SKU,I169)-SUMIFS(OrderItems_Qty,OrderItems_Type,"SALE",OrderItems_SKU,I169))</f>
        <v>0</v>
      </c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customFormat="false" ht="14.9" hidden="false" customHeight="false" outlineLevel="0" collapsed="false">
      <c r="C170" s="6"/>
      <c r="D170" s="45"/>
      <c r="E170" s="6"/>
      <c r="F170" s="6"/>
      <c r="G170" s="6"/>
      <c r="H170" s="6"/>
      <c r="I170" s="69"/>
      <c r="J170" s="6"/>
      <c r="K170" s="74"/>
      <c r="L170" s="73"/>
      <c r="M170" s="71"/>
      <c r="N170" s="70"/>
      <c r="O170" s="72"/>
      <c r="P170" s="6" t="n">
        <f aca="true">IF(I170="","",SUMIFS(OrderItems_Qty,OrderItems_Type,"PURCHASE",OrderItems_SKU,I170)-SUMIFS(OrderItems_Qty,OrderItems_Type,"SALE",OrderItems_SKU,I170))</f>
        <v>0</v>
      </c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customFormat="false" ht="14.9" hidden="false" customHeight="false" outlineLevel="0" collapsed="false">
      <c r="C171" s="6"/>
      <c r="D171" s="45"/>
      <c r="E171" s="6"/>
      <c r="F171" s="6"/>
      <c r="G171" s="6"/>
      <c r="H171" s="6"/>
      <c r="I171" s="69"/>
      <c r="J171" s="6"/>
      <c r="K171" s="74"/>
      <c r="L171" s="73"/>
      <c r="M171" s="71"/>
      <c r="N171" s="70"/>
      <c r="O171" s="72"/>
      <c r="P171" s="6" t="n">
        <f aca="true">IF(I171="","",SUMIFS(OrderItems_Qty,OrderItems_Type,"PURCHASE",OrderItems_SKU,I171)-SUMIFS(OrderItems_Qty,OrderItems_Type,"SALE",OrderItems_SKU,I171))</f>
        <v>0</v>
      </c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customFormat="false" ht="14.9" hidden="false" customHeight="false" outlineLevel="0" collapsed="false">
      <c r="C172" s="6"/>
      <c r="D172" s="45"/>
      <c r="E172" s="6"/>
      <c r="F172" s="6"/>
      <c r="G172" s="6"/>
      <c r="H172" s="6"/>
      <c r="I172" s="69"/>
      <c r="J172" s="6"/>
      <c r="K172" s="74"/>
      <c r="L172" s="73"/>
      <c r="M172" s="71"/>
      <c r="N172" s="70"/>
      <c r="O172" s="72"/>
      <c r="P172" s="6" t="n">
        <f aca="true">IF(I172="","",SUMIFS(OrderItems_Qty,OrderItems_Type,"PURCHASE",OrderItems_SKU,I172)-SUMIFS(OrderItems_Qty,OrderItems_Type,"SALE",OrderItems_SKU,I172))</f>
        <v>0</v>
      </c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customFormat="false" ht="14.9" hidden="false" customHeight="false" outlineLevel="0" collapsed="false">
      <c r="C173" s="6"/>
      <c r="D173" s="45"/>
      <c r="E173" s="6"/>
      <c r="F173" s="6"/>
      <c r="G173" s="6"/>
      <c r="H173" s="6"/>
      <c r="I173" s="69"/>
      <c r="J173" s="6"/>
      <c r="K173" s="74"/>
      <c r="L173" s="73"/>
      <c r="M173" s="71"/>
      <c r="N173" s="70"/>
      <c r="O173" s="72"/>
      <c r="P173" s="6" t="n">
        <f aca="true">IF(I173="","",SUMIFS(OrderItems_Qty,OrderItems_Type,"PURCHASE",OrderItems_SKU,I173)-SUMIFS(OrderItems_Qty,OrderItems_Type,"SALE",OrderItems_SKU,I173))</f>
        <v>0</v>
      </c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customFormat="false" ht="14.9" hidden="false" customHeight="false" outlineLevel="0" collapsed="false">
      <c r="C174" s="6"/>
      <c r="D174" s="45"/>
      <c r="E174" s="6"/>
      <c r="F174" s="6"/>
      <c r="G174" s="6"/>
      <c r="H174" s="6"/>
      <c r="I174" s="69"/>
      <c r="J174" s="6"/>
      <c r="K174" s="74"/>
      <c r="L174" s="73"/>
      <c r="M174" s="71"/>
      <c r="N174" s="70"/>
      <c r="O174" s="72"/>
      <c r="P174" s="6" t="n">
        <f aca="true">IF(I174="","",SUMIFS(OrderItems_Qty,OrderItems_Type,"PURCHASE",OrderItems_SKU,I174)-SUMIFS(OrderItems_Qty,OrderItems_Type,"SALE",OrderItems_SKU,I174))</f>
        <v>0</v>
      </c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customFormat="false" ht="14.9" hidden="false" customHeight="false" outlineLevel="0" collapsed="false">
      <c r="C175" s="6"/>
      <c r="D175" s="45"/>
      <c r="E175" s="6"/>
      <c r="F175" s="6"/>
      <c r="G175" s="6"/>
      <c r="H175" s="6"/>
      <c r="I175" s="69"/>
      <c r="J175" s="6"/>
      <c r="K175" s="74"/>
      <c r="L175" s="73"/>
      <c r="M175" s="71"/>
      <c r="N175" s="70"/>
      <c r="O175" s="72"/>
      <c r="P175" s="6" t="n">
        <f aca="true">IF(I175="","",SUMIFS(OrderItems_Qty,OrderItems_Type,"PURCHASE",OrderItems_SKU,I175)-SUMIFS(OrderItems_Qty,OrderItems_Type,"SALE",OrderItems_SKU,I175))</f>
        <v>0</v>
      </c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customFormat="false" ht="14.9" hidden="false" customHeight="false" outlineLevel="0" collapsed="false">
      <c r="C176" s="6"/>
      <c r="D176" s="45"/>
      <c r="E176" s="6"/>
      <c r="F176" s="6"/>
      <c r="G176" s="6"/>
      <c r="H176" s="6"/>
      <c r="I176" s="69"/>
      <c r="J176" s="6"/>
      <c r="K176" s="74"/>
      <c r="L176" s="73"/>
      <c r="M176" s="71"/>
      <c r="N176" s="70"/>
      <c r="O176" s="72"/>
      <c r="P176" s="6" t="n">
        <f aca="true">IF(I176="","",SUMIFS(OrderItems_Qty,OrderItems_Type,"PURCHASE",OrderItems_SKU,I176)-SUMIFS(OrderItems_Qty,OrderItems_Type,"SALE",OrderItems_SKU,I176))</f>
        <v>0</v>
      </c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customFormat="false" ht="14.9" hidden="false" customHeight="false" outlineLevel="0" collapsed="false">
      <c r="C177" s="6"/>
      <c r="D177" s="45"/>
      <c r="E177" s="6"/>
      <c r="F177" s="6"/>
      <c r="G177" s="6"/>
      <c r="H177" s="6"/>
      <c r="I177" s="69"/>
      <c r="J177" s="6"/>
      <c r="K177" s="74"/>
      <c r="L177" s="73"/>
      <c r="M177" s="71"/>
      <c r="N177" s="70"/>
      <c r="O177" s="72"/>
      <c r="P177" s="6" t="n">
        <f aca="true">IF(I177="","",SUMIFS(OrderItems_Qty,OrderItems_Type,"PURCHASE",OrderItems_SKU,I177)-SUMIFS(OrderItems_Qty,OrderItems_Type,"SALE",OrderItems_SKU,I177))</f>
        <v>0</v>
      </c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customFormat="false" ht="14.9" hidden="false" customHeight="false" outlineLevel="0" collapsed="false">
      <c r="C178" s="6"/>
      <c r="D178" s="45"/>
      <c r="E178" s="6"/>
      <c r="F178" s="6"/>
      <c r="G178" s="6"/>
      <c r="H178" s="6"/>
      <c r="I178" s="69"/>
      <c r="J178" s="6"/>
      <c r="K178" s="74"/>
      <c r="L178" s="73"/>
      <c r="M178" s="71"/>
      <c r="N178" s="70"/>
      <c r="O178" s="72"/>
      <c r="P178" s="6" t="n">
        <f aca="true">IF(I178="","",SUMIFS(OrderItems_Qty,OrderItems_Type,"PURCHASE",OrderItems_SKU,I178)-SUMIFS(OrderItems_Qty,OrderItems_Type,"SALE",OrderItems_SKU,I178))</f>
        <v>0</v>
      </c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customFormat="false" ht="14.9" hidden="false" customHeight="false" outlineLevel="0" collapsed="false">
      <c r="C179" s="6"/>
      <c r="D179" s="45"/>
      <c r="E179" s="6"/>
      <c r="F179" s="6"/>
      <c r="G179" s="6"/>
      <c r="H179" s="6"/>
      <c r="I179" s="69"/>
      <c r="J179" s="6"/>
      <c r="K179" s="74"/>
      <c r="L179" s="73"/>
      <c r="M179" s="71"/>
      <c r="N179" s="70"/>
      <c r="O179" s="72"/>
      <c r="P179" s="6" t="n">
        <f aca="true">IF(I179="","",SUMIFS(OrderItems_Qty,OrderItems_Type,"PURCHASE",OrderItems_SKU,I179)-SUMIFS(OrderItems_Qty,OrderItems_Type,"SALE",OrderItems_SKU,I179))</f>
        <v>0</v>
      </c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customFormat="false" ht="14.9" hidden="false" customHeight="false" outlineLevel="0" collapsed="false">
      <c r="C180" s="6"/>
      <c r="D180" s="45"/>
      <c r="E180" s="6"/>
      <c r="F180" s="6"/>
      <c r="G180" s="6"/>
      <c r="H180" s="6"/>
      <c r="I180" s="69"/>
      <c r="J180" s="6"/>
      <c r="K180" s="74"/>
      <c r="L180" s="73"/>
      <c r="M180" s="71"/>
      <c r="N180" s="70"/>
      <c r="O180" s="72"/>
      <c r="P180" s="6" t="n">
        <f aca="true">IF(I180="","",SUMIFS(OrderItems_Qty,OrderItems_Type,"PURCHASE",OrderItems_SKU,I180)-SUMIFS(OrderItems_Qty,OrderItems_Type,"SALE",OrderItems_SKU,I180))</f>
        <v>0</v>
      </c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customFormat="false" ht="14.9" hidden="false" customHeight="false" outlineLevel="0" collapsed="false">
      <c r="C181" s="6"/>
      <c r="D181" s="45"/>
      <c r="E181" s="6"/>
      <c r="F181" s="6"/>
      <c r="G181" s="6"/>
      <c r="H181" s="6"/>
      <c r="I181" s="69"/>
      <c r="J181" s="6"/>
      <c r="K181" s="74"/>
      <c r="L181" s="73"/>
      <c r="M181" s="71"/>
      <c r="N181" s="70"/>
      <c r="O181" s="72"/>
      <c r="P181" s="6" t="n">
        <f aca="true">IF(I181="","",SUMIFS(OrderItems_Qty,OrderItems_Type,"PURCHASE",OrderItems_SKU,I181)-SUMIFS(OrderItems_Qty,OrderItems_Type,"SALE",OrderItems_SKU,I181))</f>
        <v>0</v>
      </c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customFormat="false" ht="14.9" hidden="false" customHeight="false" outlineLevel="0" collapsed="false">
      <c r="C182" s="6"/>
      <c r="D182" s="45"/>
      <c r="E182" s="6"/>
      <c r="F182" s="6"/>
      <c r="G182" s="6"/>
      <c r="H182" s="6"/>
      <c r="I182" s="69"/>
      <c r="J182" s="6"/>
      <c r="K182" s="74"/>
      <c r="L182" s="73"/>
      <c r="M182" s="71"/>
      <c r="N182" s="70"/>
      <c r="O182" s="72"/>
      <c r="P182" s="6" t="n">
        <f aca="true">IF(I182="","",SUMIFS(OrderItems_Qty,OrderItems_Type,"PURCHASE",OrderItems_SKU,I182)-SUMIFS(OrderItems_Qty,OrderItems_Type,"SALE",OrderItems_SKU,I182))</f>
        <v>0</v>
      </c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customFormat="false" ht="14.9" hidden="false" customHeight="false" outlineLevel="0" collapsed="false">
      <c r="C183" s="6"/>
      <c r="D183" s="45"/>
      <c r="E183" s="6"/>
      <c r="F183" s="6"/>
      <c r="G183" s="6"/>
      <c r="H183" s="6"/>
      <c r="I183" s="69"/>
      <c r="J183" s="6"/>
      <c r="K183" s="74"/>
      <c r="L183" s="73"/>
      <c r="M183" s="71"/>
      <c r="N183" s="70"/>
      <c r="O183" s="72"/>
      <c r="P183" s="6" t="n">
        <f aca="true">IF(I183="","",SUMIFS(OrderItems_Qty,OrderItems_Type,"PURCHASE",OrderItems_SKU,I183)-SUMIFS(OrderItems_Qty,OrderItems_Type,"SALE",OrderItems_SKU,I183))</f>
        <v>0</v>
      </c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customFormat="false" ht="14.9" hidden="false" customHeight="false" outlineLevel="0" collapsed="false">
      <c r="C184" s="6"/>
      <c r="D184" s="45"/>
      <c r="E184" s="6"/>
      <c r="F184" s="6"/>
      <c r="G184" s="6"/>
      <c r="H184" s="6"/>
      <c r="I184" s="69"/>
      <c r="J184" s="6"/>
      <c r="K184" s="74"/>
      <c r="L184" s="73"/>
      <c r="M184" s="71"/>
      <c r="N184" s="70"/>
      <c r="O184" s="72"/>
      <c r="P184" s="6" t="n">
        <f aca="true">IF(I184="","",SUMIFS(OrderItems_Qty,OrderItems_Type,"PURCHASE",OrderItems_SKU,I184)-SUMIFS(OrderItems_Qty,OrderItems_Type,"SALE",OrderItems_SKU,I184))</f>
        <v>0</v>
      </c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customFormat="false" ht="14.9" hidden="false" customHeight="false" outlineLevel="0" collapsed="false">
      <c r="C185" s="6"/>
      <c r="D185" s="45"/>
      <c r="E185" s="6"/>
      <c r="F185" s="6"/>
      <c r="G185" s="6"/>
      <c r="H185" s="6"/>
      <c r="I185" s="69"/>
      <c r="J185" s="6"/>
      <c r="K185" s="74"/>
      <c r="L185" s="73"/>
      <c r="M185" s="71"/>
      <c r="N185" s="70"/>
      <c r="O185" s="72"/>
      <c r="P185" s="6" t="n">
        <f aca="true">IF(I185="","",SUMIFS(OrderItems_Qty,OrderItems_Type,"PURCHASE",OrderItems_SKU,I185)-SUMIFS(OrderItems_Qty,OrderItems_Type,"SALE",OrderItems_SKU,I185))</f>
        <v>0</v>
      </c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customFormat="false" ht="14.9" hidden="false" customHeight="false" outlineLevel="0" collapsed="false">
      <c r="C186" s="6"/>
      <c r="D186" s="45"/>
      <c r="E186" s="6"/>
      <c r="F186" s="6"/>
      <c r="G186" s="6"/>
      <c r="H186" s="6"/>
      <c r="I186" s="69"/>
      <c r="J186" s="6"/>
      <c r="K186" s="74"/>
      <c r="L186" s="73"/>
      <c r="M186" s="71"/>
      <c r="N186" s="70"/>
      <c r="O186" s="72"/>
      <c r="P186" s="6" t="n">
        <f aca="true">IF(I186="","",SUMIFS(OrderItems_Qty,OrderItems_Type,"PURCHASE",OrderItems_SKU,I186)-SUMIFS(OrderItems_Qty,OrderItems_Type,"SALE",OrderItems_SKU,I186))</f>
        <v>0</v>
      </c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customFormat="false" ht="14.9" hidden="false" customHeight="false" outlineLevel="0" collapsed="false">
      <c r="C187" s="6"/>
      <c r="D187" s="45"/>
      <c r="E187" s="6"/>
      <c r="F187" s="6"/>
      <c r="G187" s="6"/>
      <c r="H187" s="6"/>
      <c r="I187" s="69"/>
      <c r="J187" s="6"/>
      <c r="K187" s="74"/>
      <c r="L187" s="73"/>
      <c r="M187" s="71"/>
      <c r="N187" s="70"/>
      <c r="O187" s="72"/>
      <c r="P187" s="6" t="n">
        <f aca="true">IF(I187="","",SUMIFS(OrderItems_Qty,OrderItems_Type,"PURCHASE",OrderItems_SKU,I187)-SUMIFS(OrderItems_Qty,OrderItems_Type,"SALE",OrderItems_SKU,I187))</f>
        <v>0</v>
      </c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customFormat="false" ht="14.9" hidden="false" customHeight="false" outlineLevel="0" collapsed="false">
      <c r="C188" s="6"/>
      <c r="D188" s="45"/>
      <c r="E188" s="6"/>
      <c r="F188" s="6"/>
      <c r="G188" s="6"/>
      <c r="H188" s="6"/>
      <c r="I188" s="69"/>
      <c r="J188" s="6"/>
      <c r="K188" s="74"/>
      <c r="L188" s="73"/>
      <c r="M188" s="71"/>
      <c r="N188" s="70"/>
      <c r="O188" s="72"/>
      <c r="P188" s="6" t="n">
        <f aca="true">IF(I188="","",SUMIFS(OrderItems_Qty,OrderItems_Type,"PURCHASE",OrderItems_SKU,I188)-SUMIFS(OrderItems_Qty,OrderItems_Type,"SALE",OrderItems_SKU,I188))</f>
        <v>0</v>
      </c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customFormat="false" ht="14.9" hidden="false" customHeight="false" outlineLevel="0" collapsed="false">
      <c r="C189" s="6"/>
      <c r="D189" s="45"/>
      <c r="E189" s="6"/>
      <c r="F189" s="6"/>
      <c r="G189" s="6"/>
      <c r="H189" s="6"/>
      <c r="I189" s="69"/>
      <c r="J189" s="6"/>
      <c r="K189" s="74"/>
      <c r="L189" s="73"/>
      <c r="M189" s="71"/>
      <c r="N189" s="70"/>
      <c r="O189" s="72"/>
      <c r="P189" s="6" t="n">
        <f aca="true">IF(I189="","",SUMIFS(OrderItems_Qty,OrderItems_Type,"PURCHASE",OrderItems_SKU,I189)-SUMIFS(OrderItems_Qty,OrderItems_Type,"SALE",OrderItems_SKU,I189))</f>
        <v>0</v>
      </c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customFormat="false" ht="14.9" hidden="false" customHeight="false" outlineLevel="0" collapsed="false">
      <c r="C190" s="6"/>
      <c r="D190" s="45"/>
      <c r="E190" s="6"/>
      <c r="F190" s="6"/>
      <c r="G190" s="6"/>
      <c r="H190" s="6"/>
      <c r="I190" s="69"/>
      <c r="J190" s="6"/>
      <c r="K190" s="74"/>
      <c r="L190" s="73"/>
      <c r="M190" s="71"/>
      <c r="N190" s="70"/>
      <c r="O190" s="72"/>
      <c r="P190" s="6" t="n">
        <f aca="true">IF(I190="","",SUMIFS(OrderItems_Qty,OrderItems_Type,"PURCHASE",OrderItems_SKU,I190)-SUMIFS(OrderItems_Qty,OrderItems_Type,"SALE",OrderItems_SKU,I190))</f>
        <v>0</v>
      </c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customFormat="false" ht="14.9" hidden="false" customHeight="false" outlineLevel="0" collapsed="false">
      <c r="C191" s="6"/>
      <c r="D191" s="45"/>
      <c r="E191" s="6"/>
      <c r="F191" s="6"/>
      <c r="G191" s="6"/>
      <c r="H191" s="6"/>
      <c r="I191" s="69"/>
      <c r="J191" s="6"/>
      <c r="K191" s="74"/>
      <c r="L191" s="73"/>
      <c r="M191" s="71"/>
      <c r="N191" s="70"/>
      <c r="O191" s="72"/>
      <c r="P191" s="6" t="n">
        <f aca="true">IF(I191="","",SUMIFS(OrderItems_Qty,OrderItems_Type,"PURCHASE",OrderItems_SKU,I191)-SUMIFS(OrderItems_Qty,OrderItems_Type,"SALE",OrderItems_SKU,I191))</f>
        <v>0</v>
      </c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customFormat="false" ht="14.9" hidden="false" customHeight="false" outlineLevel="0" collapsed="false">
      <c r="C192" s="6"/>
      <c r="D192" s="45"/>
      <c r="E192" s="6"/>
      <c r="F192" s="6"/>
      <c r="G192" s="6"/>
      <c r="H192" s="6"/>
      <c r="I192" s="69"/>
      <c r="J192" s="6"/>
      <c r="K192" s="74"/>
      <c r="L192" s="73"/>
      <c r="M192" s="71"/>
      <c r="N192" s="70"/>
      <c r="O192" s="72"/>
      <c r="P192" s="6" t="n">
        <f aca="true">IF(I192="","",SUMIFS(OrderItems_Qty,OrderItems_Type,"PURCHASE",OrderItems_SKU,I192)-SUMIFS(OrderItems_Qty,OrderItems_Type,"SALE",OrderItems_SKU,I192))</f>
        <v>0</v>
      </c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customFormat="false" ht="14.9" hidden="false" customHeight="false" outlineLevel="0" collapsed="false">
      <c r="C193" s="6"/>
      <c r="D193" s="45"/>
      <c r="E193" s="6"/>
      <c r="F193" s="6"/>
      <c r="G193" s="6"/>
      <c r="H193" s="6"/>
      <c r="I193" s="69"/>
      <c r="J193" s="6"/>
      <c r="K193" s="74"/>
      <c r="L193" s="73"/>
      <c r="M193" s="71"/>
      <c r="N193" s="70"/>
      <c r="O193" s="72"/>
      <c r="P193" s="6" t="n">
        <f aca="true">IF(I193="","",SUMIFS(OrderItems_Qty,OrderItems_Type,"PURCHASE",OrderItems_SKU,I193)-SUMIFS(OrderItems_Qty,OrderItems_Type,"SALE",OrderItems_SKU,I193))</f>
        <v>0</v>
      </c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customFormat="false" ht="14.9" hidden="false" customHeight="false" outlineLevel="0" collapsed="false">
      <c r="C194" s="6"/>
      <c r="D194" s="45"/>
      <c r="E194" s="6"/>
      <c r="F194" s="6"/>
      <c r="G194" s="6"/>
      <c r="H194" s="6"/>
      <c r="I194" s="69"/>
      <c r="J194" s="6"/>
      <c r="K194" s="74"/>
      <c r="L194" s="73"/>
      <c r="M194" s="71"/>
      <c r="N194" s="70"/>
      <c r="O194" s="72"/>
      <c r="P194" s="6" t="n">
        <f aca="true">IF(I194="","",SUMIFS(OrderItems_Qty,OrderItems_Type,"PURCHASE",OrderItems_SKU,I194)-SUMIFS(OrderItems_Qty,OrderItems_Type,"SALE",OrderItems_SKU,I194))</f>
        <v>0</v>
      </c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customFormat="false" ht="14.9" hidden="false" customHeight="false" outlineLevel="0" collapsed="false">
      <c r="C195" s="6"/>
      <c r="D195" s="45"/>
      <c r="E195" s="6"/>
      <c r="F195" s="6"/>
      <c r="G195" s="6"/>
      <c r="H195" s="6"/>
      <c r="I195" s="69"/>
      <c r="J195" s="6"/>
      <c r="K195" s="74"/>
      <c r="L195" s="73"/>
      <c r="M195" s="71"/>
      <c r="N195" s="70"/>
      <c r="O195" s="72"/>
      <c r="P195" s="6" t="n">
        <f aca="true">IF(I195="","",SUMIFS(OrderItems_Qty,OrderItems_Type,"PURCHASE",OrderItems_SKU,I195)-SUMIFS(OrderItems_Qty,OrderItems_Type,"SALE",OrderItems_SKU,I195))</f>
        <v>0</v>
      </c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customFormat="false" ht="14.9" hidden="false" customHeight="false" outlineLevel="0" collapsed="false">
      <c r="C196" s="6"/>
      <c r="D196" s="45"/>
      <c r="E196" s="6"/>
      <c r="F196" s="6"/>
      <c r="G196" s="6"/>
      <c r="H196" s="6"/>
      <c r="I196" s="69"/>
      <c r="J196" s="6"/>
      <c r="K196" s="74"/>
      <c r="L196" s="73"/>
      <c r="M196" s="71"/>
      <c r="N196" s="70"/>
      <c r="O196" s="72"/>
      <c r="P196" s="6" t="n">
        <f aca="true">IF(I196="","",SUMIFS(OrderItems_Qty,OrderItems_Type,"PURCHASE",OrderItems_SKU,I196)-SUMIFS(OrderItems_Qty,OrderItems_Type,"SALE",OrderItems_SKU,I196))</f>
        <v>0</v>
      </c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customFormat="false" ht="14.9" hidden="false" customHeight="false" outlineLevel="0" collapsed="false">
      <c r="C197" s="6"/>
      <c r="D197" s="45"/>
      <c r="E197" s="6"/>
      <c r="F197" s="6"/>
      <c r="G197" s="6"/>
      <c r="H197" s="6"/>
      <c r="I197" s="69"/>
      <c r="J197" s="6"/>
      <c r="K197" s="74"/>
      <c r="L197" s="73"/>
      <c r="M197" s="71"/>
      <c r="N197" s="70"/>
      <c r="O197" s="72"/>
      <c r="P197" s="6" t="n">
        <f aca="true">IF(I197="","",SUMIFS(OrderItems_Qty,OrderItems_Type,"PURCHASE",OrderItems_SKU,I197)-SUMIFS(OrderItems_Qty,OrderItems_Type,"SALE",OrderItems_SKU,I197))</f>
        <v>0</v>
      </c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customFormat="false" ht="14.9" hidden="false" customHeight="false" outlineLevel="0" collapsed="false">
      <c r="C198" s="6"/>
      <c r="D198" s="6"/>
      <c r="E198" s="6"/>
      <c r="F198" s="6"/>
      <c r="G198" s="6"/>
      <c r="H198" s="6"/>
      <c r="I198" s="69"/>
      <c r="J198" s="6"/>
      <c r="K198" s="74"/>
      <c r="L198" s="73"/>
      <c r="M198" s="71"/>
      <c r="N198" s="73"/>
      <c r="O198" s="72"/>
      <c r="P198" s="6" t="n">
        <f aca="true">IF(I198="","",SUMIFS(OrderItems_Qty,OrderItems_Type,"PURCHASE",OrderItems_SKU,I198)-SUMIFS(OrderItems_Qty,OrderItems_Type,"SALE",OrderItems_SKU,I198))</f>
        <v>0</v>
      </c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customFormat="false" ht="14.9" hidden="false" customHeight="false" outlineLevel="0" collapsed="false">
      <c r="C199" s="6"/>
      <c r="D199" s="6"/>
      <c r="E199" s="6"/>
      <c r="F199" s="6"/>
      <c r="G199" s="6"/>
      <c r="H199" s="6"/>
      <c r="I199" s="69"/>
      <c r="J199" s="6"/>
      <c r="K199" s="74"/>
      <c r="L199" s="73"/>
      <c r="M199" s="71"/>
      <c r="N199" s="73"/>
      <c r="O199" s="72"/>
      <c r="P199" s="6" t="n">
        <f aca="true">IF(I199="","",SUMIFS(OrderItems_Qty,OrderItems_Type,"PURCHASE",OrderItems_SKU,I199)-SUMIFS(OrderItems_Qty,OrderItems_Type,"SALE",OrderItems_SKU,I199))</f>
        <v>0</v>
      </c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customFormat="false" ht="14.9" hidden="false" customHeight="false" outlineLevel="0" collapsed="false">
      <c r="C200" s="6"/>
      <c r="D200" s="6"/>
      <c r="E200" s="6"/>
      <c r="F200" s="6"/>
      <c r="G200" s="6"/>
      <c r="H200" s="6"/>
      <c r="I200" s="69"/>
      <c r="J200" s="6"/>
      <c r="K200" s="74"/>
      <c r="L200" s="73"/>
      <c r="M200" s="71"/>
      <c r="N200" s="73"/>
      <c r="O200" s="72"/>
      <c r="P200" s="6" t="n">
        <f aca="true">IF(I200="","",SUMIFS(OrderItems_Qty,OrderItems_Type,"PURCHASE",OrderItems_SKU,I200)-SUMIFS(OrderItems_Qty,OrderItems_Type,"SALE",OrderItems_SKU,I200))</f>
        <v>0</v>
      </c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customFormat="false" ht="14.9" hidden="false" customHeight="false" outlineLevel="0" collapsed="false">
      <c r="C201" s="6"/>
      <c r="D201" s="6"/>
      <c r="E201" s="6"/>
      <c r="F201" s="6"/>
      <c r="G201" s="6"/>
      <c r="H201" s="6"/>
      <c r="I201" s="69"/>
      <c r="J201" s="6"/>
      <c r="K201" s="74"/>
      <c r="L201" s="73"/>
      <c r="M201" s="71"/>
      <c r="N201" s="73"/>
      <c r="O201" s="72"/>
      <c r="P201" s="6" t="n">
        <f aca="true">IF(I201="","",SUMIFS(OrderItems_Qty,OrderItems_Type,"PURCHASE",OrderItems_SKU,I201)-SUMIFS(OrderItems_Qty,OrderItems_Type,"SALE",OrderItems_SKU,I201))</f>
        <v>0</v>
      </c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customFormat="false" ht="15" hidden="false" customHeight="false" outlineLevel="0" collapsed="false">
      <c r="C202" s="6"/>
      <c r="D202" s="6"/>
      <c r="E202" s="6"/>
      <c r="F202" s="6"/>
      <c r="G202" s="6"/>
      <c r="H202" s="6"/>
      <c r="I202" s="69"/>
      <c r="J202" s="6"/>
      <c r="K202" s="74"/>
      <c r="L202" s="73"/>
      <c r="M202" s="71"/>
      <c r="N202" s="73"/>
      <c r="O202" s="72"/>
      <c r="P202" s="6" t="n">
        <f aca="true">IF(I202="","",SUMIFS(OrderItems_Qty,OrderItems_Type,"PURCHASE",OrderItems_SKU,I202)-SUMIFS(OrderItems_Qty,OrderItems_Type,"SALE",OrderItems_SKU,I202))</f>
        <v>0</v>
      </c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customFormat="false" ht="15" hidden="false" customHeight="false" outlineLevel="0" collapsed="false">
      <c r="C203" s="6"/>
      <c r="D203" s="6"/>
      <c r="E203" s="6"/>
      <c r="F203" s="6"/>
      <c r="G203" s="6"/>
      <c r="H203" s="6"/>
      <c r="I203" s="69"/>
      <c r="J203" s="6"/>
      <c r="K203" s="74"/>
      <c r="L203" s="73"/>
      <c r="M203" s="71"/>
      <c r="N203" s="73"/>
      <c r="O203" s="72"/>
      <c r="P203" s="6" t="n">
        <f aca="true">IF(I203="","",SUMIFS(OrderItems_Qty,OrderItems_Type,"PURCHASE",OrderItems_SKU,I203)-SUMIFS(OrderItems_Qty,OrderItems_Type,"SALE",OrderItems_SKU,I203))</f>
        <v>0</v>
      </c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customFormat="false" ht="15" hidden="false" customHeight="false" outlineLevel="0" collapsed="false">
      <c r="C204" s="6"/>
      <c r="D204" s="6"/>
      <c r="E204" s="6"/>
      <c r="F204" s="6"/>
      <c r="G204" s="6"/>
      <c r="H204" s="6"/>
      <c r="I204" s="69"/>
      <c r="J204" s="6"/>
      <c r="K204" s="74"/>
      <c r="L204" s="73"/>
      <c r="M204" s="71"/>
      <c r="N204" s="73"/>
      <c r="O204" s="72"/>
      <c r="P204" s="6" t="n">
        <f aca="true">IF(I204="","",SUMIFS(OrderItems_Qty,OrderItems_Type,"PURCHASE",OrderItems_SKU,I204)-SUMIFS(OrderItems_Qty,OrderItems_Type,"SALE",OrderItems_SKU,I204))</f>
        <v>0</v>
      </c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customFormat="false" ht="15" hidden="false" customHeight="false" outlineLevel="0" collapsed="false">
      <c r="C205" s="6"/>
      <c r="D205" s="6"/>
      <c r="E205" s="6"/>
      <c r="F205" s="6"/>
      <c r="G205" s="6"/>
      <c r="H205" s="6"/>
      <c r="I205" s="69"/>
      <c r="J205" s="6"/>
      <c r="K205" s="74"/>
      <c r="L205" s="73"/>
      <c r="M205" s="71"/>
      <c r="N205" s="73"/>
      <c r="O205" s="72"/>
      <c r="P205" s="6" t="n">
        <f aca="true">IF(I205="","",SUMIFS(OrderItems_Qty,OrderItems_Type,"PURCHASE",OrderItems_SKU,I205)-SUMIFS(OrderItems_Qty,OrderItems_Type,"SALE",OrderItems_SKU,I205))</f>
        <v>0</v>
      </c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customFormat="false" ht="15" hidden="false" customHeight="false" outlineLevel="0" collapsed="false">
      <c r="C206" s="6"/>
      <c r="D206" s="6"/>
      <c r="E206" s="6"/>
      <c r="F206" s="6"/>
      <c r="G206" s="6"/>
      <c r="H206" s="6"/>
      <c r="I206" s="69"/>
      <c r="J206" s="6"/>
      <c r="K206" s="74"/>
      <c r="L206" s="73"/>
      <c r="M206" s="71"/>
      <c r="N206" s="73"/>
      <c r="O206" s="72"/>
      <c r="P206" s="6" t="n">
        <f aca="true">IF(I206="","",SUMIFS(OrderItems_Qty,OrderItems_Type,"PURCHASE",OrderItems_SKU,I206)-SUMIFS(OrderItems_Qty,OrderItems_Type,"SALE",OrderItems_SKU,I206))</f>
        <v>0</v>
      </c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customFormat="false" ht="15" hidden="false" customHeight="false" outlineLevel="0" collapsed="false">
      <c r="C207" s="6"/>
      <c r="D207" s="6"/>
      <c r="E207" s="6"/>
      <c r="F207" s="6"/>
      <c r="G207" s="6"/>
      <c r="H207" s="6"/>
      <c r="I207" s="69"/>
      <c r="J207" s="6"/>
      <c r="K207" s="74"/>
      <c r="L207" s="73"/>
      <c r="M207" s="71"/>
      <c r="N207" s="73"/>
      <c r="O207" s="72"/>
      <c r="P207" s="6" t="n">
        <f aca="true">IF(I207="","",SUMIFS(OrderItems_Qty,OrderItems_Type,"PURCHASE",OrderItems_SKU,I207)-SUMIFS(OrderItems_Qty,OrderItems_Type,"SALE",OrderItems_SKU,I207))</f>
        <v>0</v>
      </c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customFormat="false" ht="15" hidden="false" customHeight="false" outlineLevel="0" collapsed="false">
      <c r="C208" s="6"/>
      <c r="D208" s="6"/>
      <c r="E208" s="6"/>
      <c r="F208" s="6"/>
      <c r="G208" s="6"/>
      <c r="H208" s="6"/>
      <c r="I208" s="69"/>
      <c r="J208" s="6"/>
      <c r="K208" s="74"/>
      <c r="L208" s="73"/>
      <c r="M208" s="71"/>
      <c r="N208" s="73"/>
      <c r="O208" s="72"/>
      <c r="P208" s="6" t="n">
        <f aca="true">IF(I208="","",SUMIFS(OrderItems_Qty,OrderItems_Type,"PURCHASE",OrderItems_SKU,I208)-SUMIFS(OrderItems_Qty,OrderItems_Type,"SALE",OrderItems_SKU,I208))</f>
        <v>0</v>
      </c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customFormat="false" ht="15" hidden="false" customHeight="false" outlineLevel="0" collapsed="false">
      <c r="C209" s="6"/>
      <c r="D209" s="6"/>
      <c r="E209" s="6"/>
      <c r="F209" s="6"/>
      <c r="G209" s="6"/>
      <c r="H209" s="6"/>
      <c r="I209" s="69"/>
      <c r="J209" s="6"/>
      <c r="K209" s="74"/>
      <c r="L209" s="73"/>
      <c r="M209" s="71"/>
      <c r="N209" s="73"/>
      <c r="O209" s="72"/>
      <c r="P209" s="6" t="n">
        <f aca="true">IF(I209="","",SUMIFS(OrderItems_Qty,OrderItems_Type,"PURCHASE",OrderItems_SKU,I209)-SUMIFS(OrderItems_Qty,OrderItems_Type,"SALE",OrderItems_SKU,I209))</f>
        <v>0</v>
      </c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customFormat="false" ht="15" hidden="false" customHeight="false" outlineLevel="0" collapsed="false">
      <c r="C210" s="6"/>
      <c r="D210" s="6"/>
      <c r="E210" s="6"/>
      <c r="F210" s="6"/>
      <c r="G210" s="6"/>
      <c r="H210" s="6"/>
      <c r="I210" s="69"/>
      <c r="J210" s="6"/>
      <c r="K210" s="74"/>
      <c r="L210" s="73"/>
      <c r="M210" s="71"/>
      <c r="N210" s="73"/>
      <c r="O210" s="72"/>
      <c r="P210" s="6" t="n">
        <f aca="true">IF(I210="","",SUMIFS(OrderItems_Qty,OrderItems_Type,"PURCHASE",OrderItems_SKU,I210)-SUMIFS(OrderItems_Qty,OrderItems_Type,"SALE",OrderItems_SKU,I210))</f>
        <v>0</v>
      </c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customFormat="false" ht="15" hidden="false" customHeight="false" outlineLevel="0" collapsed="false">
      <c r="C211" s="6"/>
      <c r="D211" s="6"/>
      <c r="E211" s="6"/>
      <c r="F211" s="6"/>
      <c r="G211" s="6"/>
      <c r="H211" s="6"/>
      <c r="I211" s="69"/>
      <c r="J211" s="6"/>
      <c r="K211" s="74"/>
      <c r="L211" s="73"/>
      <c r="M211" s="71"/>
      <c r="N211" s="73"/>
      <c r="O211" s="72"/>
      <c r="P211" s="6" t="n">
        <f aca="true">IF(I211="","",SUMIFS(OrderItems_Qty,OrderItems_Type,"PURCHASE",OrderItems_SKU,I211)-SUMIFS(OrderItems_Qty,OrderItems_Type,"SALE",OrderItems_SKU,I211))</f>
        <v>0</v>
      </c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customFormat="false" ht="15" hidden="false" customHeight="false" outlineLevel="0" collapsed="false">
      <c r="C212" s="6"/>
      <c r="D212" s="6"/>
      <c r="E212" s="6"/>
      <c r="F212" s="6"/>
      <c r="G212" s="6"/>
      <c r="H212" s="6"/>
      <c r="I212" s="69"/>
      <c r="J212" s="6"/>
      <c r="K212" s="74"/>
      <c r="L212" s="73"/>
      <c r="M212" s="71"/>
      <c r="N212" s="73"/>
      <c r="O212" s="72"/>
      <c r="P212" s="6" t="n">
        <f aca="true">IF(I212="","",SUMIFS(OrderItems_Qty,OrderItems_Type,"PURCHASE",OrderItems_SKU,I212)-SUMIFS(OrderItems_Qty,OrderItems_Type,"SALE",OrderItems_SKU,I212))</f>
        <v>0</v>
      </c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customFormat="false" ht="15" hidden="false" customHeight="false" outlineLevel="0" collapsed="false">
      <c r="C213" s="6"/>
      <c r="D213" s="6"/>
      <c r="E213" s="6"/>
      <c r="F213" s="6"/>
      <c r="G213" s="6"/>
      <c r="H213" s="6"/>
      <c r="I213" s="69"/>
      <c r="J213" s="6"/>
      <c r="K213" s="74"/>
      <c r="L213" s="73"/>
      <c r="M213" s="71"/>
      <c r="N213" s="73"/>
      <c r="O213" s="72"/>
      <c r="P213" s="6" t="n">
        <f aca="true">IF(I213="","",SUMIFS(OrderItems_Qty,OrderItems_Type,"PURCHASE",OrderItems_SKU,I213)-SUMIFS(OrderItems_Qty,OrderItems_Type,"SALE",OrderItems_SKU,I213))</f>
        <v>0</v>
      </c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customFormat="false" ht="15" hidden="false" customHeight="false" outlineLevel="0" collapsed="false">
      <c r="C214" s="6"/>
      <c r="D214" s="6"/>
      <c r="E214" s="6"/>
      <c r="F214" s="6"/>
      <c r="G214" s="6"/>
      <c r="H214" s="6"/>
      <c r="I214" s="69"/>
      <c r="J214" s="6"/>
      <c r="K214" s="74"/>
      <c r="L214" s="73"/>
      <c r="M214" s="71"/>
      <c r="N214" s="73"/>
      <c r="O214" s="72"/>
      <c r="P214" s="6" t="n">
        <f aca="true">IF(I214="","",SUMIFS(OrderItems_Qty,OrderItems_Type,"PURCHASE",OrderItems_SKU,I214)-SUMIFS(OrderItems_Qty,OrderItems_Type,"SALE",OrderItems_SKU,I214))</f>
        <v>0</v>
      </c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customFormat="false" ht="15" hidden="false" customHeight="false" outlineLevel="0" collapsed="false">
      <c r="C215" s="6"/>
      <c r="D215" s="6"/>
      <c r="E215" s="6"/>
      <c r="F215" s="6"/>
      <c r="G215" s="6"/>
      <c r="H215" s="6"/>
      <c r="I215" s="69"/>
      <c r="J215" s="6"/>
      <c r="K215" s="74"/>
      <c r="L215" s="73"/>
      <c r="M215" s="71"/>
      <c r="N215" s="73"/>
      <c r="O215" s="72"/>
      <c r="P215" s="6" t="n">
        <f aca="true">IF(I215="","",SUMIFS(OrderItems_Qty,OrderItems_Type,"PURCHASE",OrderItems_SKU,I215)-SUMIFS(OrderItems_Qty,OrderItems_Type,"SALE",OrderItems_SKU,I215))</f>
        <v>0</v>
      </c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customFormat="false" ht="15" hidden="false" customHeight="false" outlineLevel="0" collapsed="false">
      <c r="C216" s="6"/>
      <c r="D216" s="6"/>
      <c r="E216" s="6"/>
      <c r="F216" s="6"/>
      <c r="G216" s="6"/>
      <c r="H216" s="6"/>
      <c r="I216" s="69"/>
      <c r="J216" s="6"/>
      <c r="K216" s="74"/>
      <c r="L216" s="73"/>
      <c r="M216" s="71"/>
      <c r="N216" s="73"/>
      <c r="O216" s="72"/>
      <c r="P216" s="6" t="n">
        <f aca="true">IF(I216="","",SUMIFS(OrderItems_Qty,OrderItems_Type,"PURCHASE",OrderItems_SKU,I216)-SUMIFS(OrderItems_Qty,OrderItems_Type,"SALE",OrderItems_SKU,I216))</f>
        <v>0</v>
      </c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customFormat="false" ht="15" hidden="false" customHeight="false" outlineLevel="0" collapsed="false">
      <c r="C217" s="6"/>
      <c r="D217" s="6"/>
      <c r="E217" s="6"/>
      <c r="F217" s="6"/>
      <c r="G217" s="6"/>
      <c r="H217" s="6"/>
      <c r="I217" s="69"/>
      <c r="J217" s="6"/>
      <c r="K217" s="74"/>
      <c r="L217" s="73"/>
      <c r="M217" s="71"/>
      <c r="N217" s="73"/>
      <c r="O217" s="72"/>
      <c r="P217" s="6" t="n">
        <f aca="true">IF(I217="","",SUMIFS(OrderItems_Qty,OrderItems_Type,"PURCHASE",OrderItems_SKU,I217)-SUMIFS(OrderItems_Qty,OrderItems_Type,"SALE",OrderItems_SKU,I217))</f>
        <v>0</v>
      </c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customFormat="false" ht="15" hidden="false" customHeight="false" outlineLevel="0" collapsed="false">
      <c r="C218" s="6"/>
      <c r="D218" s="6"/>
      <c r="E218" s="6"/>
      <c r="F218" s="6"/>
      <c r="G218" s="6"/>
      <c r="H218" s="6"/>
      <c r="I218" s="69"/>
      <c r="J218" s="6"/>
      <c r="K218" s="74"/>
      <c r="L218" s="73"/>
      <c r="M218" s="71"/>
      <c r="N218" s="73"/>
      <c r="O218" s="72"/>
      <c r="P218" s="6" t="n">
        <f aca="true">IF(I218="","",SUMIFS(OrderItems_Qty,OrderItems_Type,"PURCHASE",OrderItems_SKU,I218)-SUMIFS(OrderItems_Qty,OrderItems_Type,"SALE",OrderItems_SKU,I218))</f>
        <v>0</v>
      </c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customFormat="false" ht="15" hidden="false" customHeight="false" outlineLevel="0" collapsed="false">
      <c r="C219" s="6"/>
      <c r="D219" s="6"/>
      <c r="E219" s="6"/>
      <c r="F219" s="6"/>
      <c r="G219" s="6"/>
      <c r="H219" s="6"/>
      <c r="I219" s="69"/>
      <c r="J219" s="6"/>
      <c r="K219" s="74"/>
      <c r="L219" s="73"/>
      <c r="M219" s="71"/>
      <c r="N219" s="73"/>
      <c r="O219" s="72"/>
      <c r="P219" s="6" t="n">
        <f aca="true">IF(I219="","",SUMIFS(OrderItems_Qty,OrderItems_Type,"PURCHASE",OrderItems_SKU,I219)-SUMIFS(OrderItems_Qty,OrderItems_Type,"SALE",OrderItems_SKU,I219))</f>
        <v>0</v>
      </c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customFormat="false" ht="15" hidden="false" customHeight="false" outlineLevel="0" collapsed="false">
      <c r="C220" s="6"/>
      <c r="D220" s="6"/>
      <c r="E220" s="6"/>
      <c r="F220" s="6"/>
      <c r="G220" s="6"/>
      <c r="H220" s="6"/>
      <c r="I220" s="69"/>
      <c r="J220" s="6"/>
      <c r="K220" s="74"/>
      <c r="L220" s="73"/>
      <c r="M220" s="71"/>
      <c r="N220" s="73"/>
      <c r="O220" s="72"/>
      <c r="P220" s="6" t="n">
        <f aca="true">IF(I220="","",SUMIFS(OrderItems_Qty,OrderItems_Type,"PURCHASE",OrderItems_SKU,I220)-SUMIFS(OrderItems_Qty,OrderItems_Type,"SALE",OrderItems_SKU,I220))</f>
        <v>0</v>
      </c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customFormat="false" ht="15" hidden="false" customHeight="false" outlineLevel="0" collapsed="false">
      <c r="C221" s="6"/>
      <c r="D221" s="6"/>
      <c r="E221" s="6"/>
      <c r="F221" s="6"/>
      <c r="G221" s="6"/>
      <c r="H221" s="6"/>
      <c r="I221" s="69"/>
      <c r="J221" s="6"/>
      <c r="K221" s="74"/>
      <c r="L221" s="73"/>
      <c r="M221" s="71"/>
      <c r="N221" s="73"/>
      <c r="O221" s="72"/>
      <c r="P221" s="6" t="n">
        <f aca="true">IF(I221="","",SUMIFS(OrderItems_Qty,OrderItems_Type,"PURCHASE",OrderItems_SKU,I221)-SUMIFS(OrderItems_Qty,OrderItems_Type,"SALE",OrderItems_SKU,I221))</f>
        <v>0</v>
      </c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customFormat="false" ht="15" hidden="false" customHeight="false" outlineLevel="0" collapsed="false">
      <c r="C222" s="6"/>
      <c r="D222" s="6"/>
      <c r="E222" s="6"/>
      <c r="F222" s="6"/>
      <c r="G222" s="6"/>
      <c r="H222" s="6"/>
      <c r="I222" s="69"/>
      <c r="J222" s="6"/>
      <c r="K222" s="74"/>
      <c r="L222" s="73"/>
      <c r="M222" s="71"/>
      <c r="N222" s="73"/>
      <c r="O222" s="72"/>
      <c r="P222" s="6" t="n">
        <f aca="true">IF(I222="","",SUMIFS(OrderItems_Qty,OrderItems_Type,"PURCHASE",OrderItems_SKU,I222)-SUMIFS(OrderItems_Qty,OrderItems_Type,"SALE",OrderItems_SKU,I222))</f>
        <v>0</v>
      </c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customFormat="false" ht="15" hidden="false" customHeight="false" outlineLevel="0" collapsed="false">
      <c r="C223" s="6"/>
      <c r="D223" s="6"/>
      <c r="E223" s="6"/>
      <c r="F223" s="6"/>
      <c r="G223" s="6"/>
      <c r="H223" s="6"/>
      <c r="I223" s="69"/>
      <c r="J223" s="6"/>
      <c r="K223" s="74"/>
      <c r="L223" s="73"/>
      <c r="M223" s="71"/>
      <c r="N223" s="73"/>
      <c r="O223" s="72"/>
      <c r="P223" s="6" t="n">
        <f aca="true">IF(I223="","",SUMIFS(OrderItems_Qty,OrderItems_Type,"PURCHASE",OrderItems_SKU,I223)-SUMIFS(OrderItems_Qty,OrderItems_Type,"SALE",OrderItems_SKU,I223))</f>
        <v>0</v>
      </c>
      <c r="Q223" s="6"/>
      <c r="R223" s="6"/>
      <c r="S223" s="6"/>
      <c r="T223" s="6"/>
      <c r="U223" s="6"/>
      <c r="V223" s="6"/>
      <c r="W223" s="6"/>
      <c r="X223" s="6"/>
      <c r="Y223" s="6"/>
      <c r="Z223" s="6"/>
    </row>
    <row r="224" customFormat="false" ht="15" hidden="false" customHeight="false" outlineLevel="0" collapsed="false">
      <c r="C224" s="6"/>
      <c r="D224" s="6"/>
      <c r="E224" s="6"/>
      <c r="F224" s="6"/>
      <c r="G224" s="6"/>
      <c r="H224" s="6"/>
      <c r="I224" s="69"/>
      <c r="J224" s="6"/>
      <c r="K224" s="74"/>
      <c r="L224" s="73"/>
      <c r="M224" s="71"/>
      <c r="N224" s="73"/>
      <c r="O224" s="72"/>
      <c r="P224" s="6" t="n">
        <f aca="true">IF(I224="","",SUMIFS(OrderItems_Qty,OrderItems_Type,"PURCHASE",OrderItems_SKU,I224)-SUMIFS(OrderItems_Qty,OrderItems_Type,"SALE",OrderItems_SKU,I224))</f>
        <v>0</v>
      </c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customFormat="false" ht="15" hidden="false" customHeight="false" outlineLevel="0" collapsed="false">
      <c r="C225" s="6"/>
      <c r="D225" s="6"/>
      <c r="E225" s="6"/>
      <c r="F225" s="6"/>
      <c r="G225" s="6"/>
      <c r="H225" s="6"/>
      <c r="I225" s="69"/>
      <c r="J225" s="6"/>
      <c r="K225" s="74"/>
      <c r="L225" s="73"/>
      <c r="M225" s="71"/>
      <c r="N225" s="73"/>
      <c r="O225" s="72"/>
      <c r="P225" s="6" t="n">
        <f aca="true">IF(I225="","",SUMIFS(OrderItems_Qty,OrderItems_Type,"PURCHASE",OrderItems_SKU,I225)-SUMIFS(OrderItems_Qty,OrderItems_Type,"SALE",OrderItems_SKU,I225))</f>
        <v>0</v>
      </c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customFormat="false" ht="15" hidden="false" customHeight="false" outlineLevel="0" collapsed="false">
      <c r="C226" s="6"/>
      <c r="D226" s="6"/>
      <c r="E226" s="6"/>
      <c r="F226" s="6"/>
      <c r="G226" s="6"/>
      <c r="H226" s="6"/>
      <c r="I226" s="69"/>
      <c r="J226" s="6"/>
      <c r="K226" s="74"/>
      <c r="L226" s="73"/>
      <c r="M226" s="71"/>
      <c r="N226" s="73"/>
      <c r="O226" s="72"/>
      <c r="P226" s="6" t="n">
        <f aca="true">IF(I226="","",SUMIFS(OrderItems_Qty,OrderItems_Type,"PURCHASE",OrderItems_SKU,I226)-SUMIFS(OrderItems_Qty,OrderItems_Type,"SALE",OrderItems_SKU,I226))</f>
        <v>0</v>
      </c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customFormat="false" ht="15" hidden="false" customHeight="false" outlineLevel="0" collapsed="false">
      <c r="C227" s="6"/>
      <c r="D227" s="6"/>
      <c r="E227" s="6"/>
      <c r="F227" s="6"/>
      <c r="G227" s="6"/>
      <c r="H227" s="6"/>
      <c r="I227" s="69"/>
      <c r="J227" s="6"/>
      <c r="K227" s="74"/>
      <c r="L227" s="73"/>
      <c r="M227" s="71"/>
      <c r="N227" s="73"/>
      <c r="O227" s="72"/>
      <c r="P227" s="6" t="n">
        <f aca="true">IF(I227="","",SUMIFS(OrderItems_Qty,OrderItems_Type,"PURCHASE",OrderItems_SKU,I227)-SUMIFS(OrderItems_Qty,OrderItems_Type,"SALE",OrderItems_SKU,I227))</f>
        <v>0</v>
      </c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customFormat="false" ht="15" hidden="false" customHeight="false" outlineLevel="0" collapsed="false">
      <c r="C228" s="6"/>
      <c r="D228" s="6"/>
      <c r="E228" s="6"/>
      <c r="F228" s="6"/>
      <c r="G228" s="6"/>
      <c r="H228" s="6"/>
      <c r="I228" s="69"/>
      <c r="J228" s="6"/>
      <c r="K228" s="74"/>
      <c r="L228" s="73"/>
      <c r="M228" s="71"/>
      <c r="N228" s="73"/>
      <c r="O228" s="72"/>
      <c r="P228" s="6" t="n">
        <f aca="true">IF(I228="","",SUMIFS(OrderItems_Qty,OrderItems_Type,"PURCHASE",OrderItems_SKU,I228)-SUMIFS(OrderItems_Qty,OrderItems_Type,"SALE",OrderItems_SKU,I228))</f>
        <v>0</v>
      </c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customFormat="false" ht="15" hidden="false" customHeight="false" outlineLevel="0" collapsed="false">
      <c r="C229" s="6"/>
      <c r="D229" s="6"/>
      <c r="E229" s="6"/>
      <c r="F229" s="6"/>
      <c r="G229" s="6"/>
      <c r="H229" s="6"/>
      <c r="I229" s="69"/>
      <c r="J229" s="6"/>
      <c r="K229" s="74"/>
      <c r="L229" s="73"/>
      <c r="M229" s="71"/>
      <c r="N229" s="73"/>
      <c r="O229" s="72"/>
      <c r="P229" s="6" t="n">
        <f aca="true">IF(I229="","",SUMIFS(OrderItems_Qty,OrderItems_Type,"PURCHASE",OrderItems_SKU,I229)-SUMIFS(OrderItems_Qty,OrderItems_Type,"SALE",OrderItems_SKU,I229))</f>
        <v>0</v>
      </c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customFormat="false" ht="15" hidden="false" customHeight="false" outlineLevel="0" collapsed="false">
      <c r="C230" s="6"/>
      <c r="D230" s="6"/>
      <c r="E230" s="6"/>
      <c r="F230" s="6"/>
      <c r="G230" s="6"/>
      <c r="H230" s="6"/>
      <c r="I230" s="69"/>
      <c r="J230" s="6"/>
      <c r="K230" s="74"/>
      <c r="L230" s="73"/>
      <c r="M230" s="71"/>
      <c r="N230" s="73"/>
      <c r="O230" s="72"/>
      <c r="P230" s="6" t="n">
        <f aca="true">IF(I230="","",SUMIFS(OrderItems_Qty,OrderItems_Type,"PURCHASE",OrderItems_SKU,I230)-SUMIFS(OrderItems_Qty,OrderItems_Type,"SALE",OrderItems_SKU,I230))</f>
        <v>0</v>
      </c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customFormat="false" ht="15" hidden="false" customHeight="false" outlineLevel="0" collapsed="false">
      <c r="C231" s="6"/>
      <c r="D231" s="6"/>
      <c r="E231" s="6"/>
      <c r="F231" s="6"/>
      <c r="G231" s="6"/>
      <c r="H231" s="6"/>
      <c r="I231" s="69"/>
      <c r="J231" s="6"/>
      <c r="K231" s="74"/>
      <c r="L231" s="73"/>
      <c r="M231" s="71"/>
      <c r="N231" s="73"/>
      <c r="O231" s="72"/>
      <c r="P231" s="6" t="n">
        <f aca="true">IF(I231="","",SUMIFS(OrderItems_Qty,OrderItems_Type,"PURCHASE",OrderItems_SKU,I231)-SUMIFS(OrderItems_Qty,OrderItems_Type,"SALE",OrderItems_SKU,I231))</f>
        <v>0</v>
      </c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customFormat="false" ht="15" hidden="false" customHeight="false" outlineLevel="0" collapsed="false">
      <c r="C232" s="6"/>
      <c r="D232" s="6"/>
      <c r="E232" s="6"/>
      <c r="F232" s="6"/>
      <c r="G232" s="6"/>
      <c r="H232" s="6"/>
      <c r="I232" s="69"/>
      <c r="J232" s="6"/>
      <c r="K232" s="74"/>
      <c r="L232" s="73"/>
      <c r="M232" s="71"/>
      <c r="N232" s="73"/>
      <c r="O232" s="72"/>
      <c r="P232" s="6" t="n">
        <f aca="true">IF(I232="","",SUMIFS(OrderItems_Qty,OrderItems_Type,"PURCHASE",OrderItems_SKU,I232)-SUMIFS(OrderItems_Qty,OrderItems_Type,"SALE",OrderItems_SKU,I232))</f>
        <v>0</v>
      </c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customFormat="false" ht="15" hidden="false" customHeight="false" outlineLevel="0" collapsed="false">
      <c r="C233" s="6"/>
      <c r="D233" s="6"/>
      <c r="E233" s="6"/>
      <c r="F233" s="6"/>
      <c r="G233" s="6"/>
      <c r="H233" s="6"/>
      <c r="I233" s="69"/>
      <c r="J233" s="6"/>
      <c r="K233" s="74"/>
      <c r="L233" s="73"/>
      <c r="M233" s="71"/>
      <c r="N233" s="73"/>
      <c r="O233" s="72"/>
      <c r="P233" s="6" t="n">
        <f aca="true">IF(I233="","",SUMIFS(OrderItems_Qty,OrderItems_Type,"PURCHASE",OrderItems_SKU,I233)-SUMIFS(OrderItems_Qty,OrderItems_Type,"SALE",OrderItems_SKU,I233))</f>
        <v>0</v>
      </c>
      <c r="Q233" s="6"/>
      <c r="R233" s="6"/>
      <c r="S233" s="6"/>
      <c r="T233" s="6"/>
      <c r="U233" s="6"/>
      <c r="V233" s="6"/>
      <c r="W233" s="6"/>
      <c r="X233" s="6"/>
      <c r="Y233" s="6"/>
      <c r="Z233" s="6"/>
    </row>
    <row r="234" customFormat="false" ht="15" hidden="false" customHeight="false" outlineLevel="0" collapsed="false">
      <c r="C234" s="6"/>
      <c r="D234" s="6"/>
      <c r="E234" s="6"/>
      <c r="F234" s="6"/>
      <c r="G234" s="6"/>
      <c r="H234" s="6"/>
      <c r="I234" s="69"/>
      <c r="J234" s="6"/>
      <c r="K234" s="74"/>
      <c r="L234" s="73"/>
      <c r="M234" s="71"/>
      <c r="N234" s="73"/>
      <c r="O234" s="72"/>
      <c r="P234" s="6" t="n">
        <f aca="true">IF(I234="","",SUMIFS(OrderItems_Qty,OrderItems_Type,"PURCHASE",OrderItems_SKU,I234)-SUMIFS(OrderItems_Qty,OrderItems_Type,"SALE",OrderItems_SKU,I234))</f>
        <v>0</v>
      </c>
      <c r="Q234" s="6"/>
      <c r="R234" s="6"/>
      <c r="S234" s="6"/>
      <c r="T234" s="6"/>
      <c r="U234" s="6"/>
      <c r="V234" s="6"/>
      <c r="W234" s="6"/>
      <c r="X234" s="6"/>
      <c r="Y234" s="6"/>
      <c r="Z234" s="6"/>
    </row>
    <row r="235" customFormat="false" ht="15" hidden="false" customHeight="false" outlineLevel="0" collapsed="false">
      <c r="C235" s="6"/>
      <c r="D235" s="6"/>
      <c r="E235" s="6"/>
      <c r="F235" s="6"/>
      <c r="G235" s="6"/>
      <c r="H235" s="6"/>
      <c r="I235" s="69"/>
      <c r="J235" s="6"/>
      <c r="K235" s="74"/>
      <c r="L235" s="73"/>
      <c r="M235" s="71"/>
      <c r="N235" s="73"/>
      <c r="O235" s="72"/>
      <c r="P235" s="6" t="n">
        <f aca="true">IF(I235="","",SUMIFS(OrderItems_Qty,OrderItems_Type,"PURCHASE",OrderItems_SKU,I235)-SUMIFS(OrderItems_Qty,OrderItems_Type,"SALE",OrderItems_SKU,I235))</f>
        <v>0</v>
      </c>
      <c r="Q235" s="6"/>
      <c r="R235" s="6"/>
      <c r="S235" s="6"/>
      <c r="T235" s="6"/>
      <c r="U235" s="6"/>
      <c r="V235" s="6"/>
      <c r="W235" s="6"/>
      <c r="X235" s="6"/>
      <c r="Y235" s="6"/>
      <c r="Z235" s="6"/>
    </row>
    <row r="236" customFormat="false" ht="15" hidden="false" customHeight="false" outlineLevel="0" collapsed="false">
      <c r="C236" s="6"/>
      <c r="D236" s="6"/>
      <c r="E236" s="6"/>
      <c r="F236" s="6"/>
      <c r="G236" s="6"/>
      <c r="H236" s="6"/>
      <c r="I236" s="69"/>
      <c r="J236" s="6"/>
      <c r="K236" s="74"/>
      <c r="L236" s="73"/>
      <c r="M236" s="71"/>
      <c r="N236" s="73"/>
      <c r="O236" s="72"/>
      <c r="P236" s="6" t="n">
        <f aca="true">IF(I236="","",SUMIFS(OrderItems_Qty,OrderItems_Type,"PURCHASE",OrderItems_SKU,I236)-SUMIFS(OrderItems_Qty,OrderItems_Type,"SALE",OrderItems_SKU,I236))</f>
        <v>0</v>
      </c>
      <c r="Q236" s="6"/>
      <c r="R236" s="6"/>
      <c r="S236" s="6"/>
      <c r="T236" s="6"/>
      <c r="U236" s="6"/>
      <c r="V236" s="6"/>
      <c r="W236" s="6"/>
      <c r="X236" s="6"/>
      <c r="Y236" s="6"/>
      <c r="Z236" s="6"/>
    </row>
    <row r="237" customFormat="false" ht="15" hidden="false" customHeight="false" outlineLevel="0" collapsed="false">
      <c r="C237" s="6"/>
      <c r="D237" s="6"/>
      <c r="E237" s="6"/>
      <c r="F237" s="6"/>
      <c r="G237" s="6"/>
      <c r="H237" s="6"/>
      <c r="I237" s="69"/>
      <c r="J237" s="6"/>
      <c r="K237" s="74"/>
      <c r="L237" s="73"/>
      <c r="M237" s="71"/>
      <c r="N237" s="73"/>
      <c r="O237" s="72"/>
      <c r="P237" s="6" t="n">
        <f aca="true">IF(I237="","",SUMIFS(OrderItems_Qty,OrderItems_Type,"PURCHASE",OrderItems_SKU,I237)-SUMIFS(OrderItems_Qty,OrderItems_Type,"SALE",OrderItems_SKU,I237))</f>
        <v>0</v>
      </c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customFormat="false" ht="15" hidden="false" customHeight="false" outlineLevel="0" collapsed="false">
      <c r="C238" s="6"/>
      <c r="D238" s="6"/>
      <c r="E238" s="6"/>
      <c r="F238" s="6"/>
      <c r="G238" s="6"/>
      <c r="H238" s="6"/>
      <c r="I238" s="69"/>
      <c r="J238" s="6"/>
      <c r="K238" s="74"/>
      <c r="L238" s="73"/>
      <c r="M238" s="71"/>
      <c r="N238" s="73"/>
      <c r="O238" s="72"/>
      <c r="P238" s="6" t="n">
        <f aca="true">IF(I238="","",SUMIFS(OrderItems_Qty,OrderItems_Type,"PURCHASE",OrderItems_SKU,I238)-SUMIFS(OrderItems_Qty,OrderItems_Type,"SALE",OrderItems_SKU,I238))</f>
        <v>0</v>
      </c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customFormat="false" ht="15" hidden="false" customHeight="false" outlineLevel="0" collapsed="false">
      <c r="C239" s="6"/>
      <c r="D239" s="6"/>
      <c r="E239" s="6"/>
      <c r="F239" s="6"/>
      <c r="G239" s="6"/>
      <c r="H239" s="6"/>
      <c r="I239" s="69"/>
      <c r="J239" s="6"/>
      <c r="K239" s="74"/>
      <c r="L239" s="73"/>
      <c r="M239" s="71"/>
      <c r="N239" s="73"/>
      <c r="O239" s="72"/>
      <c r="P239" s="6" t="n">
        <f aca="true">IF(I239="","",SUMIFS(OrderItems_Qty,OrderItems_Type,"PURCHASE",OrderItems_SKU,I239)-SUMIFS(OrderItems_Qty,OrderItems_Type,"SALE",OrderItems_SKU,I239))</f>
        <v>0</v>
      </c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customFormat="false" ht="15" hidden="false" customHeight="false" outlineLevel="0" collapsed="false">
      <c r="C240" s="6"/>
      <c r="D240" s="6"/>
      <c r="E240" s="6"/>
      <c r="F240" s="6"/>
      <c r="G240" s="6"/>
      <c r="H240" s="6"/>
      <c r="I240" s="69"/>
      <c r="J240" s="6"/>
      <c r="K240" s="74"/>
      <c r="L240" s="73"/>
      <c r="M240" s="71"/>
      <c r="N240" s="73"/>
      <c r="O240" s="72"/>
      <c r="P240" s="6" t="n">
        <f aca="true">IF(I240="","",SUMIFS(OrderItems_Qty,OrderItems_Type,"PURCHASE",OrderItems_SKU,I240)-SUMIFS(OrderItems_Qty,OrderItems_Type,"SALE",OrderItems_SKU,I240))</f>
        <v>0</v>
      </c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customFormat="false" ht="15" hidden="false" customHeight="false" outlineLevel="0" collapsed="false">
      <c r="C241" s="6"/>
      <c r="D241" s="6"/>
      <c r="E241" s="6"/>
      <c r="F241" s="6"/>
      <c r="G241" s="6"/>
      <c r="H241" s="6"/>
      <c r="I241" s="69"/>
      <c r="J241" s="6"/>
      <c r="K241" s="74"/>
      <c r="L241" s="73"/>
      <c r="M241" s="71"/>
      <c r="N241" s="73"/>
      <c r="O241" s="72"/>
      <c r="P241" s="6" t="n">
        <f aca="true">IF(I241="","",SUMIFS(OrderItems_Qty,OrderItems_Type,"PURCHASE",OrderItems_SKU,I241)-SUMIFS(OrderItems_Qty,OrderItems_Type,"SALE",OrderItems_SKU,I241))</f>
        <v>0</v>
      </c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customFormat="false" ht="15" hidden="false" customHeight="false" outlineLevel="0" collapsed="false">
      <c r="C242" s="6"/>
      <c r="D242" s="6"/>
      <c r="E242" s="6"/>
      <c r="F242" s="6"/>
      <c r="G242" s="6"/>
      <c r="H242" s="6"/>
      <c r="I242" s="69"/>
      <c r="J242" s="6"/>
      <c r="K242" s="74"/>
      <c r="L242" s="73"/>
      <c r="M242" s="71"/>
      <c r="N242" s="73"/>
      <c r="O242" s="72"/>
      <c r="P242" s="6" t="n">
        <f aca="true">IF(I242="","",SUMIFS(OrderItems_Qty,OrderItems_Type,"PURCHASE",OrderItems_SKU,I242)-SUMIFS(OrderItems_Qty,OrderItems_Type,"SALE",OrderItems_SKU,I242))</f>
        <v>0</v>
      </c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customFormat="false" ht="15" hidden="false" customHeight="false" outlineLevel="0" collapsed="false">
      <c r="C243" s="6"/>
      <c r="D243" s="6"/>
      <c r="E243" s="6"/>
      <c r="F243" s="6"/>
      <c r="G243" s="6"/>
      <c r="H243" s="6"/>
      <c r="I243" s="69"/>
      <c r="J243" s="6"/>
      <c r="K243" s="74"/>
      <c r="L243" s="73"/>
      <c r="M243" s="71"/>
      <c r="N243" s="73"/>
      <c r="O243" s="72"/>
      <c r="P243" s="6" t="n">
        <f aca="true">IF(I243="","",SUMIFS(OrderItems_Qty,OrderItems_Type,"PURCHASE",OrderItems_SKU,I243)-SUMIFS(OrderItems_Qty,OrderItems_Type,"SALE",OrderItems_SKU,I243))</f>
        <v>0</v>
      </c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customFormat="false" ht="15" hidden="false" customHeight="false" outlineLevel="0" collapsed="false">
      <c r="C244" s="6"/>
      <c r="D244" s="6"/>
      <c r="E244" s="6"/>
      <c r="F244" s="6"/>
      <c r="G244" s="6"/>
      <c r="H244" s="6"/>
      <c r="I244" s="69"/>
      <c r="J244" s="6"/>
      <c r="K244" s="74"/>
      <c r="L244" s="73"/>
      <c r="M244" s="71"/>
      <c r="N244" s="73"/>
      <c r="O244" s="72"/>
      <c r="P244" s="6" t="n">
        <f aca="true">IF(I244="","",SUMIFS(OrderItems_Qty,OrderItems_Type,"PURCHASE",OrderItems_SKU,I244)-SUMIFS(OrderItems_Qty,OrderItems_Type,"SALE",OrderItems_SKU,I244))</f>
        <v>0</v>
      </c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customFormat="false" ht="15" hidden="false" customHeight="false" outlineLevel="0" collapsed="false">
      <c r="C245" s="6"/>
      <c r="D245" s="6"/>
      <c r="E245" s="6"/>
      <c r="F245" s="6"/>
      <c r="G245" s="6"/>
      <c r="H245" s="6"/>
      <c r="I245" s="69"/>
      <c r="J245" s="6"/>
      <c r="K245" s="74"/>
      <c r="L245" s="73"/>
      <c r="M245" s="71"/>
      <c r="N245" s="73"/>
      <c r="O245" s="72"/>
      <c r="P245" s="6" t="n">
        <f aca="true">IF(I245="","",SUMIFS(OrderItems_Qty,OrderItems_Type,"PURCHASE",OrderItems_SKU,I245)-SUMIFS(OrderItems_Qty,OrderItems_Type,"SALE",OrderItems_SKU,I245))</f>
        <v>0</v>
      </c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customFormat="false" ht="15" hidden="false" customHeight="false" outlineLevel="0" collapsed="false">
      <c r="C246" s="6"/>
      <c r="D246" s="6"/>
      <c r="E246" s="6"/>
      <c r="F246" s="6"/>
      <c r="G246" s="6"/>
      <c r="H246" s="6"/>
      <c r="I246" s="69"/>
      <c r="J246" s="6"/>
      <c r="K246" s="74"/>
      <c r="L246" s="73"/>
      <c r="M246" s="71"/>
      <c r="N246" s="73"/>
      <c r="O246" s="72"/>
      <c r="P246" s="6" t="n">
        <f aca="true">IF(I246="","",SUMIFS(OrderItems_Qty,OrderItems_Type,"PURCHASE",OrderItems_SKU,I246)-SUMIFS(OrderItems_Qty,OrderItems_Type,"SALE",OrderItems_SKU,I246))</f>
        <v>0</v>
      </c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customFormat="false" ht="15" hidden="false" customHeight="false" outlineLevel="0" collapsed="false">
      <c r="C247" s="6"/>
      <c r="D247" s="6"/>
      <c r="E247" s="6"/>
      <c r="F247" s="6"/>
      <c r="G247" s="6"/>
      <c r="H247" s="6"/>
      <c r="I247" s="69"/>
      <c r="J247" s="6"/>
      <c r="K247" s="74"/>
      <c r="L247" s="73"/>
      <c r="M247" s="71"/>
      <c r="N247" s="73"/>
      <c r="O247" s="72"/>
      <c r="P247" s="6" t="n">
        <f aca="true">IF(I247="","",SUMIFS(OrderItems_Qty,OrderItems_Type,"PURCHASE",OrderItems_SKU,I247)-SUMIFS(OrderItems_Qty,OrderItems_Type,"SALE",OrderItems_SKU,I247))</f>
        <v>0</v>
      </c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customFormat="false" ht="15" hidden="false" customHeight="false" outlineLevel="0" collapsed="false">
      <c r="C248" s="6"/>
      <c r="D248" s="6"/>
      <c r="E248" s="6"/>
      <c r="F248" s="6"/>
      <c r="G248" s="6"/>
      <c r="H248" s="6"/>
      <c r="I248" s="69"/>
      <c r="J248" s="6"/>
      <c r="K248" s="74"/>
      <c r="L248" s="73"/>
      <c r="M248" s="71"/>
      <c r="N248" s="73"/>
      <c r="O248" s="72"/>
      <c r="P248" s="6" t="n">
        <f aca="true">IF(I248="","",SUMIFS(OrderItems_Qty,OrderItems_Type,"PURCHASE",OrderItems_SKU,I248)-SUMIFS(OrderItems_Qty,OrderItems_Type,"SALE",OrderItems_SKU,I248))</f>
        <v>0</v>
      </c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customFormat="false" ht="15" hidden="false" customHeight="false" outlineLevel="0" collapsed="false">
      <c r="C249" s="6"/>
      <c r="D249" s="6"/>
      <c r="E249" s="6"/>
      <c r="F249" s="6"/>
      <c r="G249" s="6"/>
      <c r="H249" s="6"/>
      <c r="I249" s="69"/>
      <c r="J249" s="6"/>
      <c r="K249" s="74"/>
      <c r="L249" s="73"/>
      <c r="M249" s="71"/>
      <c r="N249" s="73"/>
      <c r="O249" s="72"/>
      <c r="P249" s="6" t="n">
        <f aca="true">IF(I249="","",SUMIFS(OrderItems_Qty,OrderItems_Type,"PURCHASE",OrderItems_SKU,I249)-SUMIFS(OrderItems_Qty,OrderItems_Type,"SALE",OrderItems_SKU,I249))</f>
        <v>0</v>
      </c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customFormat="false" ht="15" hidden="false" customHeight="false" outlineLevel="0" collapsed="false">
      <c r="C250" s="6"/>
      <c r="D250" s="6"/>
      <c r="E250" s="6"/>
      <c r="F250" s="6"/>
      <c r="G250" s="6"/>
      <c r="H250" s="6"/>
      <c r="I250" s="69"/>
      <c r="J250" s="6"/>
      <c r="K250" s="74"/>
      <c r="L250" s="73"/>
      <c r="M250" s="71"/>
      <c r="N250" s="73"/>
      <c r="O250" s="72"/>
      <c r="P250" s="6" t="n">
        <f aca="true">IF(I250="","",SUMIFS(OrderItems_Qty,OrderItems_Type,"PURCHASE",OrderItems_SKU,I250)-SUMIFS(OrderItems_Qty,OrderItems_Type,"SALE",OrderItems_SKU,I250))</f>
        <v>0</v>
      </c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customFormat="false" ht="15" hidden="false" customHeight="false" outlineLevel="0" collapsed="false">
      <c r="C251" s="6"/>
      <c r="D251" s="6"/>
      <c r="E251" s="6"/>
      <c r="F251" s="6"/>
      <c r="G251" s="6"/>
      <c r="H251" s="6"/>
      <c r="I251" s="69"/>
      <c r="J251" s="6"/>
      <c r="K251" s="74"/>
      <c r="L251" s="73"/>
      <c r="M251" s="71"/>
      <c r="N251" s="73"/>
      <c r="O251" s="72"/>
      <c r="P251" s="6" t="n">
        <f aca="true">IF(I251="","",SUMIFS(OrderItems_Qty,OrderItems_Type,"PURCHASE",OrderItems_SKU,I251)-SUMIFS(OrderItems_Qty,OrderItems_Type,"SALE",OrderItems_SKU,I251))</f>
        <v>0</v>
      </c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customFormat="false" ht="15" hidden="false" customHeight="false" outlineLevel="0" collapsed="false">
      <c r="C252" s="6"/>
      <c r="D252" s="6"/>
      <c r="E252" s="6"/>
      <c r="F252" s="6"/>
      <c r="G252" s="6"/>
      <c r="H252" s="6"/>
      <c r="I252" s="69"/>
      <c r="J252" s="6"/>
      <c r="K252" s="74"/>
      <c r="L252" s="73"/>
      <c r="M252" s="71"/>
      <c r="N252" s="73"/>
      <c r="O252" s="72"/>
      <c r="P252" s="6" t="n">
        <f aca="true">IF(I252="","",SUMIFS(OrderItems_Qty,OrderItems_Type,"PURCHASE",OrderItems_SKU,I252)-SUMIFS(OrderItems_Qty,OrderItems_Type,"SALE",OrderItems_SKU,I252))</f>
        <v>0</v>
      </c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customFormat="false" ht="15" hidden="false" customHeight="false" outlineLevel="0" collapsed="false">
      <c r="C253" s="6"/>
      <c r="D253" s="6"/>
      <c r="E253" s="6"/>
      <c r="F253" s="6"/>
      <c r="G253" s="6"/>
      <c r="H253" s="6"/>
      <c r="I253" s="69"/>
      <c r="J253" s="6"/>
      <c r="K253" s="74"/>
      <c r="L253" s="73"/>
      <c r="M253" s="71"/>
      <c r="N253" s="73"/>
      <c r="O253" s="72"/>
      <c r="P253" s="6" t="n">
        <f aca="true">IF(I253="","",SUMIFS(OrderItems_Qty,OrderItems_Type,"PURCHASE",OrderItems_SKU,I253)-SUMIFS(OrderItems_Qty,OrderItems_Type,"SALE",OrderItems_SKU,I253))</f>
        <v>0</v>
      </c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customFormat="false" ht="15" hidden="false" customHeight="false" outlineLevel="0" collapsed="false">
      <c r="C254" s="6"/>
      <c r="D254" s="6"/>
      <c r="E254" s="6"/>
      <c r="F254" s="6"/>
      <c r="G254" s="6"/>
      <c r="H254" s="6"/>
      <c r="I254" s="69"/>
      <c r="J254" s="6"/>
      <c r="K254" s="74"/>
      <c r="L254" s="73"/>
      <c r="M254" s="71"/>
      <c r="N254" s="73"/>
      <c r="O254" s="72"/>
      <c r="P254" s="6" t="n">
        <f aca="true">IF(I254="","",SUMIFS(OrderItems_Qty,OrderItems_Type,"PURCHASE",OrderItems_SKU,I254)-SUMIFS(OrderItems_Qty,OrderItems_Type,"SALE",OrderItems_SKU,I254))</f>
        <v>0</v>
      </c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customFormat="false" ht="15" hidden="false" customHeight="false" outlineLevel="0" collapsed="false">
      <c r="C255" s="6"/>
      <c r="D255" s="6"/>
      <c r="E255" s="6"/>
      <c r="F255" s="6"/>
      <c r="G255" s="6"/>
      <c r="H255" s="6"/>
      <c r="I255" s="69"/>
      <c r="J255" s="6"/>
      <c r="K255" s="74"/>
      <c r="L255" s="73"/>
      <c r="M255" s="71"/>
      <c r="N255" s="73"/>
      <c r="O255" s="72"/>
      <c r="P255" s="6" t="n">
        <f aca="true">IF(I255="","",SUMIFS(OrderItems_Qty,OrderItems_Type,"PURCHASE",OrderItems_SKU,I255)-SUMIFS(OrderItems_Qty,OrderItems_Type,"SALE",OrderItems_SKU,I255))</f>
        <v>0</v>
      </c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customFormat="false" ht="15" hidden="false" customHeight="false" outlineLevel="0" collapsed="false">
      <c r="C256" s="6"/>
      <c r="D256" s="6"/>
      <c r="E256" s="6"/>
      <c r="F256" s="6"/>
      <c r="G256" s="6"/>
      <c r="H256" s="6"/>
      <c r="I256" s="69"/>
      <c r="J256" s="6"/>
      <c r="K256" s="74"/>
      <c r="L256" s="73"/>
      <c r="M256" s="71"/>
      <c r="N256" s="73"/>
      <c r="O256" s="72"/>
      <c r="P256" s="6" t="n">
        <f aca="true">IF(I256="","",SUMIFS(OrderItems_Qty,OrderItems_Type,"PURCHASE",OrderItems_SKU,I256)-SUMIFS(OrderItems_Qty,OrderItems_Type,"SALE",OrderItems_SKU,I256))</f>
        <v>0</v>
      </c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customFormat="false" ht="15" hidden="false" customHeight="false" outlineLevel="0" collapsed="false">
      <c r="C257" s="6"/>
      <c r="D257" s="6"/>
      <c r="E257" s="6"/>
      <c r="F257" s="6"/>
      <c r="G257" s="6"/>
      <c r="H257" s="6"/>
      <c r="I257" s="69"/>
      <c r="J257" s="6"/>
      <c r="K257" s="74"/>
      <c r="L257" s="73"/>
      <c r="M257" s="71"/>
      <c r="N257" s="73"/>
      <c r="O257" s="72"/>
      <c r="P257" s="6" t="n">
        <f aca="true">IF(I257="","",SUMIFS(OrderItems_Qty,OrderItems_Type,"PURCHASE",OrderItems_SKU,I257)-SUMIFS(OrderItems_Qty,OrderItems_Type,"SALE",OrderItems_SKU,I257))</f>
        <v>0</v>
      </c>
      <c r="Q257" s="6"/>
      <c r="R257" s="6"/>
      <c r="S257" s="6"/>
      <c r="T257" s="6"/>
      <c r="U257" s="6"/>
      <c r="V257" s="6"/>
      <c r="W257" s="6"/>
      <c r="X257" s="6"/>
      <c r="Y257" s="6"/>
      <c r="Z257" s="6"/>
    </row>
    <row r="258" customFormat="false" ht="15" hidden="false" customHeight="false" outlineLevel="0" collapsed="false">
      <c r="C258" s="6"/>
      <c r="D258" s="6"/>
      <c r="E258" s="6"/>
      <c r="F258" s="6"/>
      <c r="G258" s="6"/>
      <c r="H258" s="6"/>
      <c r="I258" s="69"/>
      <c r="J258" s="6"/>
      <c r="K258" s="74"/>
      <c r="L258" s="73"/>
      <c r="M258" s="71"/>
      <c r="N258" s="73"/>
      <c r="O258" s="72"/>
      <c r="P258" s="6" t="n">
        <f aca="true">IF(I258="","",SUMIFS(OrderItems_Qty,OrderItems_Type,"PURCHASE",OrderItems_SKU,I258)-SUMIFS(OrderItems_Qty,OrderItems_Type,"SALE",OrderItems_SKU,I258))</f>
        <v>0</v>
      </c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customFormat="false" ht="15" hidden="false" customHeight="false" outlineLevel="0" collapsed="false">
      <c r="C259" s="6"/>
      <c r="D259" s="6"/>
      <c r="E259" s="6"/>
      <c r="F259" s="6"/>
      <c r="G259" s="6"/>
      <c r="H259" s="6"/>
      <c r="I259" s="69"/>
      <c r="J259" s="6"/>
      <c r="K259" s="74"/>
      <c r="L259" s="73"/>
      <c r="M259" s="71"/>
      <c r="N259" s="73"/>
      <c r="O259" s="72"/>
      <c r="P259" s="6" t="n">
        <f aca="true">IF(I259="","",SUMIFS(OrderItems_Qty,OrderItems_Type,"PURCHASE",OrderItems_SKU,I259)-SUMIFS(OrderItems_Qty,OrderItems_Type,"SALE",OrderItems_SKU,I259))</f>
        <v>0</v>
      </c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customFormat="false" ht="15" hidden="false" customHeight="false" outlineLevel="0" collapsed="false">
      <c r="C260" s="6"/>
      <c r="D260" s="6"/>
      <c r="E260" s="6"/>
      <c r="F260" s="6"/>
      <c r="G260" s="6"/>
      <c r="H260" s="6"/>
      <c r="I260" s="69"/>
      <c r="J260" s="6"/>
      <c r="K260" s="74"/>
      <c r="L260" s="73"/>
      <c r="M260" s="71"/>
      <c r="N260" s="73"/>
      <c r="O260" s="72"/>
      <c r="P260" s="6" t="n">
        <f aca="true">IF(I260="","",SUMIFS(OrderItems_Qty,OrderItems_Type,"PURCHASE",OrderItems_SKU,I260)-SUMIFS(OrderItems_Qty,OrderItems_Type,"SALE",OrderItems_SKU,I260))</f>
        <v>0</v>
      </c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customFormat="false" ht="15" hidden="false" customHeight="false" outlineLevel="0" collapsed="false">
      <c r="C261" s="6"/>
      <c r="D261" s="6"/>
      <c r="E261" s="6"/>
      <c r="F261" s="6"/>
      <c r="G261" s="6"/>
      <c r="H261" s="6"/>
      <c r="I261" s="69"/>
      <c r="J261" s="6"/>
      <c r="K261" s="74"/>
      <c r="L261" s="73"/>
      <c r="M261" s="71"/>
      <c r="N261" s="73"/>
      <c r="O261" s="72"/>
      <c r="P261" s="6" t="n">
        <f aca="true">IF(I261="","",SUMIFS(OrderItems_Qty,OrderItems_Type,"PURCHASE",OrderItems_SKU,I261)-SUMIFS(OrderItems_Qty,OrderItems_Type,"SALE",OrderItems_SKU,I261))</f>
        <v>0</v>
      </c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customFormat="false" ht="15" hidden="false" customHeight="false" outlineLevel="0" collapsed="false">
      <c r="C262" s="6"/>
      <c r="D262" s="6"/>
      <c r="E262" s="6"/>
      <c r="F262" s="6"/>
      <c r="G262" s="6"/>
      <c r="H262" s="6"/>
      <c r="I262" s="69"/>
      <c r="J262" s="6"/>
      <c r="K262" s="74"/>
      <c r="L262" s="73"/>
      <c r="M262" s="71"/>
      <c r="N262" s="73"/>
      <c r="O262" s="72"/>
      <c r="P262" s="6" t="n">
        <f aca="true">IF(I262="","",SUMIFS(OrderItems_Qty,OrderItems_Type,"PURCHASE",OrderItems_SKU,I262)-SUMIFS(OrderItems_Qty,OrderItems_Type,"SALE",OrderItems_SKU,I262))</f>
        <v>0</v>
      </c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customFormat="false" ht="15" hidden="false" customHeight="false" outlineLevel="0" collapsed="false">
      <c r="C263" s="6"/>
      <c r="D263" s="6"/>
      <c r="E263" s="6"/>
      <c r="F263" s="6"/>
      <c r="G263" s="6"/>
      <c r="H263" s="6"/>
      <c r="I263" s="69"/>
      <c r="J263" s="6"/>
      <c r="K263" s="74"/>
      <c r="L263" s="73"/>
      <c r="M263" s="71"/>
      <c r="N263" s="73"/>
      <c r="O263" s="72"/>
      <c r="P263" s="6" t="n">
        <f aca="true">IF(I263="","",SUMIFS(OrderItems_Qty,OrderItems_Type,"PURCHASE",OrderItems_SKU,I263)-SUMIFS(OrderItems_Qty,OrderItems_Type,"SALE",OrderItems_SKU,I263))</f>
        <v>0</v>
      </c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customFormat="false" ht="15" hidden="false" customHeight="false" outlineLevel="0" collapsed="false">
      <c r="C264" s="6"/>
      <c r="D264" s="6"/>
      <c r="E264" s="6"/>
      <c r="F264" s="6"/>
      <c r="G264" s="6"/>
      <c r="H264" s="6"/>
      <c r="I264" s="69"/>
      <c r="J264" s="6"/>
      <c r="K264" s="74"/>
      <c r="L264" s="73"/>
      <c r="M264" s="71"/>
      <c r="N264" s="73"/>
      <c r="O264" s="72"/>
      <c r="P264" s="6" t="n">
        <f aca="true">IF(I264="","",SUMIFS(OrderItems_Qty,OrderItems_Type,"PURCHASE",OrderItems_SKU,I264)-SUMIFS(OrderItems_Qty,OrderItems_Type,"SALE",OrderItems_SKU,I264))</f>
        <v>0</v>
      </c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customFormat="false" ht="15" hidden="false" customHeight="false" outlineLevel="0" collapsed="false">
      <c r="C265" s="6"/>
      <c r="D265" s="6"/>
      <c r="E265" s="6"/>
      <c r="F265" s="6"/>
      <c r="G265" s="6"/>
      <c r="H265" s="6"/>
      <c r="I265" s="69"/>
      <c r="J265" s="6"/>
      <c r="K265" s="74"/>
      <c r="L265" s="73"/>
      <c r="M265" s="71"/>
      <c r="N265" s="73"/>
      <c r="O265" s="72"/>
      <c r="P265" s="6" t="n">
        <f aca="true">IF(I265="","",SUMIFS(OrderItems_Qty,OrderItems_Type,"PURCHASE",OrderItems_SKU,I265)-SUMIFS(OrderItems_Qty,OrderItems_Type,"SALE",OrderItems_SKU,I265))</f>
        <v>0</v>
      </c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customFormat="false" ht="15" hidden="false" customHeight="false" outlineLevel="0" collapsed="false">
      <c r="C266" s="6"/>
      <c r="D266" s="6"/>
      <c r="E266" s="6"/>
      <c r="F266" s="6"/>
      <c r="G266" s="6"/>
      <c r="H266" s="6"/>
      <c r="I266" s="69"/>
      <c r="J266" s="6"/>
      <c r="K266" s="74"/>
      <c r="L266" s="73"/>
      <c r="M266" s="71"/>
      <c r="N266" s="73"/>
      <c r="O266" s="72"/>
      <c r="P266" s="6" t="n">
        <f aca="true">IF(I266="","",SUMIFS(OrderItems_Qty,OrderItems_Type,"PURCHASE",OrderItems_SKU,I266)-SUMIFS(OrderItems_Qty,OrderItems_Type,"SALE",OrderItems_SKU,I266))</f>
        <v>0</v>
      </c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customFormat="false" ht="15" hidden="false" customHeight="false" outlineLevel="0" collapsed="false">
      <c r="C267" s="6"/>
      <c r="D267" s="6"/>
      <c r="E267" s="6"/>
      <c r="F267" s="6"/>
      <c r="G267" s="6"/>
      <c r="H267" s="6"/>
      <c r="I267" s="69"/>
      <c r="J267" s="6"/>
      <c r="K267" s="74"/>
      <c r="L267" s="73"/>
      <c r="M267" s="71"/>
      <c r="N267" s="73"/>
      <c r="O267" s="72"/>
      <c r="P267" s="6" t="n">
        <f aca="true">IF(I267="","",SUMIFS(OrderItems_Qty,OrderItems_Type,"PURCHASE",OrderItems_SKU,I267)-SUMIFS(OrderItems_Qty,OrderItems_Type,"SALE",OrderItems_SKU,I267))</f>
        <v>0</v>
      </c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customFormat="false" ht="15" hidden="false" customHeight="false" outlineLevel="0" collapsed="false">
      <c r="C268" s="6"/>
      <c r="D268" s="6"/>
      <c r="E268" s="6"/>
      <c r="F268" s="6"/>
      <c r="G268" s="6"/>
      <c r="H268" s="6"/>
      <c r="I268" s="69"/>
      <c r="J268" s="6"/>
      <c r="K268" s="74"/>
      <c r="L268" s="73"/>
      <c r="M268" s="71"/>
      <c r="N268" s="73"/>
      <c r="O268" s="72"/>
      <c r="P268" s="6" t="n">
        <f aca="true">IF(I268="","",SUMIFS(OrderItems_Qty,OrderItems_Type,"PURCHASE",OrderItems_SKU,I268)-SUMIFS(OrderItems_Qty,OrderItems_Type,"SALE",OrderItems_SKU,I268))</f>
        <v>0</v>
      </c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customFormat="false" ht="15" hidden="false" customHeight="false" outlineLevel="0" collapsed="false">
      <c r="C269" s="6"/>
      <c r="D269" s="6"/>
      <c r="E269" s="6"/>
      <c r="F269" s="6"/>
      <c r="G269" s="6"/>
      <c r="H269" s="6"/>
      <c r="I269" s="69"/>
      <c r="J269" s="6"/>
      <c r="K269" s="74"/>
      <c r="L269" s="73"/>
      <c r="M269" s="71"/>
      <c r="N269" s="73"/>
      <c r="O269" s="72"/>
      <c r="P269" s="6" t="n">
        <f aca="true">IF(I269="","",SUMIFS(OrderItems_Qty,OrderItems_Type,"PURCHASE",OrderItems_SKU,I269)-SUMIFS(OrderItems_Qty,OrderItems_Type,"SALE",OrderItems_SKU,I269))</f>
        <v>0</v>
      </c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customFormat="false" ht="15" hidden="false" customHeight="false" outlineLevel="0" collapsed="false">
      <c r="C270" s="6"/>
      <c r="D270" s="6"/>
      <c r="E270" s="6"/>
      <c r="F270" s="6"/>
      <c r="G270" s="6"/>
      <c r="H270" s="6"/>
      <c r="I270" s="69"/>
      <c r="J270" s="6"/>
      <c r="K270" s="74"/>
      <c r="L270" s="73"/>
      <c r="M270" s="71"/>
      <c r="N270" s="73"/>
      <c r="O270" s="72"/>
      <c r="P270" s="6" t="n">
        <f aca="true">IF(I270="","",SUMIFS(OrderItems_Qty,OrderItems_Type,"PURCHASE",OrderItems_SKU,I270)-SUMIFS(OrderItems_Qty,OrderItems_Type,"SALE",OrderItems_SKU,I270))</f>
        <v>0</v>
      </c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customFormat="false" ht="15" hidden="false" customHeight="false" outlineLevel="0" collapsed="false">
      <c r="C271" s="6"/>
      <c r="D271" s="6"/>
      <c r="E271" s="6"/>
      <c r="F271" s="6"/>
      <c r="G271" s="6"/>
      <c r="H271" s="6"/>
      <c r="I271" s="75"/>
      <c r="J271" s="6"/>
      <c r="K271" s="74"/>
      <c r="L271" s="73"/>
      <c r="M271" s="71"/>
      <c r="N271" s="73"/>
      <c r="O271" s="71"/>
      <c r="P271" s="6" t="n">
        <f aca="true">IF(I271="","",SUMIFS(OrderItems_Qty,OrderItems_Type,"PURCHASE",OrderItems_SKU,I271)-SUMIFS(OrderItems_Qty,OrderItems_Type,"SALE",OrderItems_SKU,I271))</f>
        <v>0</v>
      </c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customFormat="false" ht="15" hidden="false" customHeight="false" outlineLevel="0" collapsed="false">
      <c r="C272" s="6"/>
      <c r="D272" s="6"/>
      <c r="E272" s="6"/>
      <c r="F272" s="6"/>
      <c r="G272" s="6"/>
      <c r="H272" s="6"/>
      <c r="I272" s="75"/>
      <c r="J272" s="6"/>
      <c r="K272" s="74"/>
      <c r="L272" s="73"/>
      <c r="M272" s="71"/>
      <c r="N272" s="73"/>
      <c r="O272" s="71"/>
      <c r="P272" s="6" t="n">
        <f aca="true">IF(I272="","",SUMIFS(OrderItems_Qty,OrderItems_Type,"PURCHASE",OrderItems_SKU,I272)-SUMIFS(OrderItems_Qty,OrderItems_Type,"SALE",OrderItems_SKU,I272))</f>
        <v>0</v>
      </c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customFormat="false" ht="15" hidden="false" customHeight="false" outlineLevel="0" collapsed="false">
      <c r="C273" s="6"/>
      <c r="D273" s="6"/>
      <c r="E273" s="6"/>
      <c r="F273" s="6"/>
      <c r="G273" s="6"/>
      <c r="H273" s="6"/>
      <c r="I273" s="75"/>
      <c r="J273" s="6"/>
      <c r="K273" s="74"/>
      <c r="L273" s="73"/>
      <c r="M273" s="71"/>
      <c r="N273" s="73"/>
      <c r="O273" s="71"/>
      <c r="P273" s="6" t="n">
        <f aca="true">IF(I273="","",SUMIFS(OrderItems_Qty,OrderItems_Type,"PURCHASE",OrderItems_SKU,I273)-SUMIFS(OrderItems_Qty,OrderItems_Type,"SALE",OrderItems_SKU,I273))</f>
        <v>0</v>
      </c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customFormat="false" ht="15" hidden="false" customHeight="false" outlineLevel="0" collapsed="false">
      <c r="C274" s="6"/>
      <c r="D274" s="6"/>
      <c r="E274" s="6"/>
      <c r="F274" s="6"/>
      <c r="G274" s="6"/>
      <c r="H274" s="6"/>
      <c r="I274" s="75"/>
      <c r="J274" s="6"/>
      <c r="K274" s="74"/>
      <c r="L274" s="73"/>
      <c r="M274" s="71"/>
      <c r="N274" s="73"/>
      <c r="O274" s="71"/>
      <c r="P274" s="6" t="n">
        <f aca="true">IF(I274="","",SUMIFS(OrderItems_Qty,OrderItems_Type,"PURCHASE",OrderItems_SKU,I274)-SUMIFS(OrderItems_Qty,OrderItems_Type,"SALE",OrderItems_SKU,I274))</f>
        <v>0</v>
      </c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customFormat="false" ht="15" hidden="false" customHeight="false" outlineLevel="0" collapsed="false">
      <c r="C275" s="6"/>
      <c r="D275" s="6"/>
      <c r="E275" s="6"/>
      <c r="F275" s="6"/>
      <c r="G275" s="6"/>
      <c r="H275" s="6"/>
      <c r="I275" s="75"/>
      <c r="J275" s="6"/>
      <c r="K275" s="74"/>
      <c r="L275" s="73"/>
      <c r="M275" s="71"/>
      <c r="N275" s="73"/>
      <c r="O275" s="71"/>
      <c r="P275" s="6" t="n">
        <f aca="true">IF(I275="","",SUMIFS(OrderItems_Qty,OrderItems_Type,"PURCHASE",OrderItems_SKU,I275)-SUMIFS(OrderItems_Qty,OrderItems_Type,"SALE",OrderItems_SKU,I275))</f>
        <v>0</v>
      </c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customFormat="false" ht="15" hidden="false" customHeight="false" outlineLevel="0" collapsed="false">
      <c r="C276" s="6"/>
      <c r="D276" s="6"/>
      <c r="E276" s="6"/>
      <c r="F276" s="6"/>
      <c r="G276" s="6"/>
      <c r="H276" s="6"/>
      <c r="I276" s="75"/>
      <c r="J276" s="6"/>
      <c r="K276" s="74"/>
      <c r="L276" s="73"/>
      <c r="M276" s="71"/>
      <c r="N276" s="73"/>
      <c r="O276" s="71"/>
      <c r="P276" s="6" t="n">
        <f aca="true">IF(I276="","",SUMIFS(OrderItems_Qty,OrderItems_Type,"PURCHASE",OrderItems_SKU,I276)-SUMIFS(OrderItems_Qty,OrderItems_Type,"SALE",OrderItems_SKU,I276))</f>
        <v>0</v>
      </c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customFormat="false" ht="15" hidden="false" customHeight="false" outlineLevel="0" collapsed="false">
      <c r="C277" s="6"/>
      <c r="D277" s="6"/>
      <c r="E277" s="6"/>
      <c r="F277" s="6"/>
      <c r="G277" s="6"/>
      <c r="H277" s="6"/>
      <c r="I277" s="75"/>
      <c r="J277" s="6"/>
      <c r="K277" s="74"/>
      <c r="L277" s="73"/>
      <c r="M277" s="71"/>
      <c r="N277" s="73"/>
      <c r="O277" s="71"/>
      <c r="P277" s="6" t="n">
        <f aca="true">IF(I277="","",SUMIFS(OrderItems_Qty,OrderItems_Type,"PURCHASE",OrderItems_SKU,I277)-SUMIFS(OrderItems_Qty,OrderItems_Type,"SALE",OrderItems_SKU,I277))</f>
        <v>0</v>
      </c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customFormat="false" ht="15" hidden="false" customHeight="false" outlineLevel="0" collapsed="false">
      <c r="C278" s="6"/>
      <c r="D278" s="6"/>
      <c r="E278" s="6"/>
      <c r="F278" s="6"/>
      <c r="G278" s="6"/>
      <c r="H278" s="6"/>
      <c r="I278" s="75"/>
      <c r="J278" s="6"/>
      <c r="K278" s="74"/>
      <c r="L278" s="73"/>
      <c r="M278" s="71"/>
      <c r="N278" s="73"/>
      <c r="O278" s="71"/>
      <c r="P278" s="6" t="n">
        <f aca="true">IF(I278="","",SUMIFS(OrderItems_Qty,OrderItems_Type,"PURCHASE",OrderItems_SKU,I278)-SUMIFS(OrderItems_Qty,OrderItems_Type,"SALE",OrderItems_SKU,I278))</f>
        <v>0</v>
      </c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customFormat="false" ht="15" hidden="false" customHeight="false" outlineLevel="0" collapsed="false">
      <c r="C279" s="6"/>
      <c r="D279" s="6"/>
      <c r="E279" s="6"/>
      <c r="F279" s="6"/>
      <c r="G279" s="6"/>
      <c r="H279" s="6"/>
      <c r="I279" s="75"/>
      <c r="J279" s="6"/>
      <c r="K279" s="74"/>
      <c r="L279" s="73"/>
      <c r="M279" s="71"/>
      <c r="N279" s="73"/>
      <c r="O279" s="71"/>
      <c r="P279" s="6" t="n">
        <f aca="true">IF(I279="","",SUMIFS(OrderItems_Qty,OrderItems_Type,"PURCHASE",OrderItems_SKU,I279)-SUMIFS(OrderItems_Qty,OrderItems_Type,"SALE",OrderItems_SKU,I279))</f>
        <v>0</v>
      </c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customFormat="false" ht="15" hidden="false" customHeight="false" outlineLevel="0" collapsed="false">
      <c r="C280" s="6"/>
      <c r="D280" s="6"/>
      <c r="E280" s="6"/>
      <c r="F280" s="6"/>
      <c r="G280" s="6"/>
      <c r="H280" s="6"/>
      <c r="I280" s="75"/>
      <c r="J280" s="6"/>
      <c r="K280" s="74"/>
      <c r="L280" s="73"/>
      <c r="M280" s="71"/>
      <c r="N280" s="73"/>
      <c r="O280" s="71"/>
      <c r="P280" s="6" t="n">
        <f aca="true">IF(I280="","",SUMIFS(OrderItems_Qty,OrderItems_Type,"PURCHASE",OrderItems_SKU,I280)-SUMIFS(OrderItems_Qty,OrderItems_Type,"SALE",OrderItems_SKU,I280))</f>
        <v>0</v>
      </c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customFormat="false" ht="15" hidden="false" customHeight="false" outlineLevel="0" collapsed="false">
      <c r="C281" s="6"/>
      <c r="D281" s="6"/>
      <c r="E281" s="6"/>
      <c r="F281" s="6"/>
      <c r="G281" s="6"/>
      <c r="H281" s="6"/>
      <c r="I281" s="75"/>
      <c r="J281" s="6"/>
      <c r="K281" s="74"/>
      <c r="L281" s="73"/>
      <c r="M281" s="71"/>
      <c r="N281" s="73"/>
      <c r="O281" s="71"/>
      <c r="P281" s="6" t="n">
        <f aca="true">IF(I281="","",SUMIFS(OrderItems_Qty,OrderItems_Type,"PURCHASE",OrderItems_SKU,I281)-SUMIFS(OrderItems_Qty,OrderItems_Type,"SALE",OrderItems_SKU,I281))</f>
        <v>0</v>
      </c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customFormat="false" ht="15" hidden="false" customHeight="false" outlineLevel="0" collapsed="false">
      <c r="C282" s="6"/>
      <c r="D282" s="6"/>
      <c r="E282" s="6"/>
      <c r="F282" s="6"/>
      <c r="G282" s="6"/>
      <c r="H282" s="6"/>
      <c r="I282" s="75"/>
      <c r="J282" s="6"/>
      <c r="K282" s="74"/>
      <c r="L282" s="73"/>
      <c r="M282" s="71"/>
      <c r="N282" s="73"/>
      <c r="O282" s="71"/>
      <c r="P282" s="6" t="n">
        <f aca="true">IF(I282="","",SUMIFS(OrderItems_Qty,OrderItems_Type,"PURCHASE",OrderItems_SKU,I282)-SUMIFS(OrderItems_Qty,OrderItems_Type,"SALE",OrderItems_SKU,I282))</f>
        <v>0</v>
      </c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customFormat="false" ht="15" hidden="false" customHeight="false" outlineLevel="0" collapsed="false">
      <c r="C283" s="6"/>
      <c r="D283" s="6"/>
      <c r="E283" s="6"/>
      <c r="F283" s="6"/>
      <c r="G283" s="6"/>
      <c r="H283" s="6"/>
      <c r="I283" s="75"/>
      <c r="J283" s="6"/>
      <c r="K283" s="74"/>
      <c r="L283" s="73"/>
      <c r="M283" s="71"/>
      <c r="N283" s="73"/>
      <c r="O283" s="71"/>
      <c r="P283" s="6" t="n">
        <f aca="true">IF(I283="","",SUMIFS(OrderItems_Qty,OrderItems_Type,"PURCHASE",OrderItems_SKU,I283)-SUMIFS(OrderItems_Qty,OrderItems_Type,"SALE",OrderItems_SKU,I283))</f>
        <v>0</v>
      </c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customFormat="false" ht="15" hidden="false" customHeight="false" outlineLevel="0" collapsed="false">
      <c r="C284" s="6"/>
      <c r="D284" s="6"/>
      <c r="E284" s="6"/>
      <c r="F284" s="6"/>
      <c r="G284" s="6"/>
      <c r="H284" s="6"/>
      <c r="I284" s="75"/>
      <c r="J284" s="6"/>
      <c r="K284" s="74"/>
      <c r="L284" s="73"/>
      <c r="M284" s="71"/>
      <c r="N284" s="73"/>
      <c r="O284" s="71"/>
      <c r="P284" s="6" t="n">
        <f aca="true">IF(I284="","",SUMIFS(OrderItems_Qty,OrderItems_Type,"PURCHASE",OrderItems_SKU,I284)-SUMIFS(OrderItems_Qty,OrderItems_Type,"SALE",OrderItems_SKU,I284))</f>
        <v>0</v>
      </c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customFormat="false" ht="15" hidden="false" customHeight="false" outlineLevel="0" collapsed="false">
      <c r="C285" s="6"/>
      <c r="D285" s="6"/>
      <c r="E285" s="6"/>
      <c r="F285" s="6"/>
      <c r="G285" s="6"/>
      <c r="H285" s="6"/>
      <c r="I285" s="75"/>
      <c r="J285" s="6"/>
      <c r="K285" s="74"/>
      <c r="L285" s="73"/>
      <c r="M285" s="71"/>
      <c r="N285" s="73"/>
      <c r="O285" s="71"/>
      <c r="P285" s="6" t="n">
        <f aca="true">IF(I285="","",SUMIFS(OrderItems_Qty,OrderItems_Type,"PURCHASE",OrderItems_SKU,I285)-SUMIFS(OrderItems_Qty,OrderItems_Type,"SALE",OrderItems_SKU,I285))</f>
        <v>0</v>
      </c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customFormat="false" ht="15" hidden="false" customHeight="false" outlineLevel="0" collapsed="false">
      <c r="C286" s="6"/>
      <c r="D286" s="6"/>
      <c r="E286" s="6"/>
      <c r="F286" s="6"/>
      <c r="G286" s="6"/>
      <c r="H286" s="6"/>
      <c r="I286" s="75"/>
      <c r="J286" s="6"/>
      <c r="K286" s="74"/>
      <c r="L286" s="73"/>
      <c r="M286" s="71"/>
      <c r="N286" s="73"/>
      <c r="O286" s="71"/>
      <c r="P286" s="6" t="n">
        <f aca="true">IF(I286="","",SUMIFS(OrderItems_Qty,OrderItems_Type,"PURCHASE",OrderItems_SKU,I286)-SUMIFS(OrderItems_Qty,OrderItems_Type,"SALE",OrderItems_SKU,I286))</f>
        <v>0</v>
      </c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customFormat="false" ht="15" hidden="false" customHeight="false" outlineLevel="0" collapsed="false">
      <c r="C287" s="6"/>
      <c r="D287" s="6"/>
      <c r="E287" s="6"/>
      <c r="F287" s="6"/>
      <c r="G287" s="6"/>
      <c r="H287" s="6"/>
      <c r="I287" s="75"/>
      <c r="J287" s="6"/>
      <c r="K287" s="74"/>
      <c r="L287" s="73"/>
      <c r="M287" s="71"/>
      <c r="N287" s="73"/>
      <c r="O287" s="71"/>
      <c r="P287" s="6" t="n">
        <f aca="true">IF(I287="","",SUMIFS(OrderItems_Qty,OrderItems_Type,"PURCHASE",OrderItems_SKU,I287)-SUMIFS(OrderItems_Qty,OrderItems_Type,"SALE",OrderItems_SKU,I287))</f>
        <v>0</v>
      </c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customFormat="false" ht="15" hidden="false" customHeight="false" outlineLevel="0" collapsed="false">
      <c r="C288" s="6"/>
      <c r="D288" s="6"/>
      <c r="E288" s="6"/>
      <c r="F288" s="6"/>
      <c r="G288" s="6"/>
      <c r="H288" s="6"/>
      <c r="I288" s="75"/>
      <c r="J288" s="6"/>
      <c r="K288" s="74"/>
      <c r="L288" s="73"/>
      <c r="M288" s="71"/>
      <c r="N288" s="73"/>
      <c r="O288" s="71"/>
      <c r="P288" s="6" t="n">
        <f aca="true">IF(I288="","",SUMIFS(OrderItems_Qty,OrderItems_Type,"PURCHASE",OrderItems_SKU,I288)-SUMIFS(OrderItems_Qty,OrderItems_Type,"SALE",OrderItems_SKU,I288))</f>
        <v>0</v>
      </c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customFormat="false" ht="15" hidden="false" customHeight="false" outlineLevel="0" collapsed="false">
      <c r="C289" s="6"/>
      <c r="D289" s="6"/>
      <c r="E289" s="6"/>
      <c r="F289" s="6"/>
      <c r="G289" s="6"/>
      <c r="H289" s="6"/>
      <c r="I289" s="75"/>
      <c r="J289" s="6"/>
      <c r="K289" s="74"/>
      <c r="L289" s="73"/>
      <c r="M289" s="71"/>
      <c r="N289" s="73"/>
      <c r="O289" s="71"/>
      <c r="P289" s="6" t="n">
        <f aca="true">IF(I289="","",SUMIFS(OrderItems_Qty,OrderItems_Type,"PURCHASE",OrderItems_SKU,I289)-SUMIFS(OrderItems_Qty,OrderItems_Type,"SALE",OrderItems_SKU,I289))</f>
        <v>0</v>
      </c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customFormat="false" ht="15" hidden="false" customHeight="false" outlineLevel="0" collapsed="false">
      <c r="C290" s="6"/>
      <c r="D290" s="6"/>
      <c r="E290" s="6"/>
      <c r="F290" s="6"/>
      <c r="G290" s="6"/>
      <c r="H290" s="6"/>
      <c r="I290" s="75"/>
      <c r="J290" s="6"/>
      <c r="K290" s="74"/>
      <c r="L290" s="73"/>
      <c r="M290" s="71"/>
      <c r="N290" s="73"/>
      <c r="O290" s="71"/>
      <c r="P290" s="6" t="n">
        <f aca="true">IF(I290="","",SUMIFS(OrderItems_Qty,OrderItems_Type,"PURCHASE",OrderItems_SKU,I290)-SUMIFS(OrderItems_Qty,OrderItems_Type,"SALE",OrderItems_SKU,I290))</f>
        <v>0</v>
      </c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customFormat="false" ht="15" hidden="false" customHeight="false" outlineLevel="0" collapsed="false">
      <c r="C291" s="6"/>
      <c r="D291" s="6"/>
      <c r="E291" s="6"/>
      <c r="F291" s="6"/>
      <c r="G291" s="6"/>
      <c r="H291" s="6"/>
      <c r="I291" s="75"/>
      <c r="J291" s="6"/>
      <c r="K291" s="74"/>
      <c r="L291" s="73"/>
      <c r="M291" s="71"/>
      <c r="N291" s="73"/>
      <c r="O291" s="71"/>
      <c r="P291" s="6" t="n">
        <f aca="true">IF(I291="","",SUMIFS(OrderItems_Qty,OrderItems_Type,"PURCHASE",OrderItems_SKU,I291)-SUMIFS(OrderItems_Qty,OrderItems_Type,"SALE",OrderItems_SKU,I291))</f>
        <v>0</v>
      </c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customFormat="false" ht="15" hidden="false" customHeight="false" outlineLevel="0" collapsed="false">
      <c r="C292" s="6"/>
      <c r="D292" s="6"/>
      <c r="E292" s="6"/>
      <c r="F292" s="6"/>
      <c r="G292" s="6"/>
      <c r="H292" s="6"/>
      <c r="I292" s="75"/>
      <c r="J292" s="6"/>
      <c r="K292" s="74"/>
      <c r="L292" s="73"/>
      <c r="M292" s="71"/>
      <c r="N292" s="73"/>
      <c r="O292" s="71"/>
      <c r="P292" s="6" t="n">
        <f aca="true">IF(I292="","",SUMIFS(OrderItems_Qty,OrderItems_Type,"PURCHASE",OrderItems_SKU,I292)-SUMIFS(OrderItems_Qty,OrderItems_Type,"SALE",OrderItems_SKU,I292))</f>
        <v>0</v>
      </c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customFormat="false" ht="15" hidden="false" customHeight="false" outlineLevel="0" collapsed="false">
      <c r="C293" s="6"/>
      <c r="D293" s="6"/>
      <c r="E293" s="6"/>
      <c r="F293" s="6"/>
      <c r="G293" s="6"/>
      <c r="H293" s="6"/>
      <c r="I293" s="75"/>
      <c r="J293" s="6"/>
      <c r="K293" s="74"/>
      <c r="L293" s="73"/>
      <c r="M293" s="71"/>
      <c r="N293" s="73"/>
      <c r="O293" s="71"/>
      <c r="P293" s="6" t="n">
        <f aca="true">IF(I293="","",SUMIFS(OrderItems_Qty,OrderItems_Type,"PURCHASE",OrderItems_SKU,I293)-SUMIFS(OrderItems_Qty,OrderItems_Type,"SALE",OrderItems_SKU,I293))</f>
        <v>0</v>
      </c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customFormat="false" ht="15" hidden="false" customHeight="false" outlineLevel="0" collapsed="false">
      <c r="C294" s="6"/>
      <c r="D294" s="6"/>
      <c r="E294" s="6"/>
      <c r="F294" s="6"/>
      <c r="G294" s="6"/>
      <c r="H294" s="6"/>
      <c r="I294" s="75"/>
      <c r="J294" s="6"/>
      <c r="K294" s="74"/>
      <c r="L294" s="73"/>
      <c r="M294" s="71"/>
      <c r="N294" s="73"/>
      <c r="O294" s="71"/>
      <c r="P294" s="6" t="n">
        <f aca="true">IF(I294="","",SUMIFS(OrderItems_Qty,OrderItems_Type,"PURCHASE",OrderItems_SKU,I294)-SUMIFS(OrderItems_Qty,OrderItems_Type,"SALE",OrderItems_SKU,I294))</f>
        <v>0</v>
      </c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customFormat="false" ht="15" hidden="false" customHeight="false" outlineLevel="0" collapsed="false">
      <c r="C295" s="6"/>
      <c r="D295" s="6"/>
      <c r="E295" s="6"/>
      <c r="F295" s="6"/>
      <c r="G295" s="6"/>
      <c r="H295" s="6"/>
      <c r="I295" s="75"/>
      <c r="J295" s="6"/>
      <c r="K295" s="74"/>
      <c r="L295" s="73"/>
      <c r="M295" s="71"/>
      <c r="N295" s="73"/>
      <c r="O295" s="71"/>
      <c r="P295" s="6" t="n">
        <f aca="true">IF(I295="","",SUMIFS(OrderItems_Qty,OrderItems_Type,"PURCHASE",OrderItems_SKU,I295)-SUMIFS(OrderItems_Qty,OrderItems_Type,"SALE",OrderItems_SKU,I295))</f>
        <v>0</v>
      </c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customFormat="false" ht="15" hidden="false" customHeight="false" outlineLevel="0" collapsed="false">
      <c r="C296" s="6"/>
      <c r="D296" s="6"/>
      <c r="E296" s="6"/>
      <c r="F296" s="6"/>
      <c r="G296" s="6"/>
      <c r="H296" s="6"/>
      <c r="I296" s="75"/>
      <c r="J296" s="6"/>
      <c r="K296" s="74"/>
      <c r="L296" s="73"/>
      <c r="M296" s="71"/>
      <c r="N296" s="73"/>
      <c r="O296" s="71"/>
      <c r="P296" s="6" t="n">
        <f aca="true">IF(I296="","",SUMIFS(OrderItems_Qty,OrderItems_Type,"PURCHASE",OrderItems_SKU,I296)-SUMIFS(OrderItems_Qty,OrderItems_Type,"SALE",OrderItems_SKU,I296))</f>
        <v>0</v>
      </c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customFormat="false" ht="15" hidden="false" customHeight="false" outlineLevel="0" collapsed="false">
      <c r="C297" s="6"/>
      <c r="D297" s="6"/>
      <c r="E297" s="6"/>
      <c r="F297" s="6"/>
      <c r="G297" s="6"/>
      <c r="H297" s="6"/>
      <c r="I297" s="75"/>
      <c r="J297" s="6"/>
      <c r="K297" s="74"/>
      <c r="L297" s="73"/>
      <c r="M297" s="71"/>
      <c r="N297" s="73"/>
      <c r="O297" s="71"/>
      <c r="P297" s="6" t="n">
        <f aca="true">IF(I297="","",SUMIFS(OrderItems_Qty,OrderItems_Type,"PURCHASE",OrderItems_SKU,I297)-SUMIFS(OrderItems_Qty,OrderItems_Type,"SALE",OrderItems_SKU,I297))</f>
        <v>0</v>
      </c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customFormat="false" ht="15" hidden="false" customHeight="false" outlineLevel="0" collapsed="false">
      <c r="C298" s="6"/>
      <c r="D298" s="6"/>
      <c r="E298" s="6"/>
      <c r="F298" s="6"/>
      <c r="G298" s="6"/>
      <c r="H298" s="6"/>
      <c r="I298" s="75"/>
      <c r="J298" s="6"/>
      <c r="K298" s="74"/>
      <c r="L298" s="73"/>
      <c r="M298" s="71"/>
      <c r="N298" s="73"/>
      <c r="O298" s="71"/>
      <c r="P298" s="6" t="n">
        <f aca="true">IF(I298="","",SUMIFS(OrderItems_Qty,OrderItems_Type,"PURCHASE",OrderItems_SKU,I298)-SUMIFS(OrderItems_Qty,OrderItems_Type,"SALE",OrderItems_SKU,I298))</f>
        <v>0</v>
      </c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customFormat="false" ht="15" hidden="false" customHeight="false" outlineLevel="0" collapsed="false">
      <c r="C299" s="6"/>
      <c r="D299" s="6"/>
      <c r="E299" s="6"/>
      <c r="F299" s="6"/>
      <c r="G299" s="6"/>
      <c r="H299" s="6"/>
      <c r="I299" s="75"/>
      <c r="J299" s="6"/>
      <c r="K299" s="74"/>
      <c r="L299" s="73"/>
      <c r="M299" s="71"/>
      <c r="N299" s="73"/>
      <c r="O299" s="71"/>
      <c r="P299" s="6" t="n">
        <f aca="true">IF(I299="","",SUMIFS(OrderItems_Qty,OrderItems_Type,"PURCHASE",OrderItems_SKU,I299)-SUMIFS(OrderItems_Qty,OrderItems_Type,"SALE",OrderItems_SKU,I299))</f>
        <v>0</v>
      </c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customFormat="false" ht="15" hidden="false" customHeight="false" outlineLevel="0" collapsed="false">
      <c r="C300" s="6"/>
      <c r="D300" s="6"/>
      <c r="E300" s="6"/>
      <c r="F300" s="6"/>
      <c r="G300" s="6"/>
      <c r="H300" s="6"/>
      <c r="I300" s="75"/>
      <c r="J300" s="6"/>
      <c r="K300" s="74"/>
      <c r="L300" s="73"/>
      <c r="M300" s="71"/>
      <c r="N300" s="73"/>
      <c r="O300" s="71"/>
      <c r="P300" s="6" t="n">
        <f aca="true">IF(I300="","",SUMIFS(OrderItems_Qty,OrderItems_Type,"PURCHASE",OrderItems_SKU,I300)-SUMIFS(OrderItems_Qty,OrderItems_Type,"SALE",OrderItems_SKU,I300))</f>
        <v>0</v>
      </c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customFormat="false" ht="15" hidden="false" customHeight="false" outlineLevel="0" collapsed="false">
      <c r="C301" s="6"/>
      <c r="D301" s="6"/>
      <c r="E301" s="6"/>
      <c r="F301" s="6"/>
      <c r="G301" s="6"/>
      <c r="H301" s="6"/>
      <c r="I301" s="75"/>
      <c r="J301" s="6"/>
      <c r="K301" s="74"/>
      <c r="L301" s="73"/>
      <c r="M301" s="71"/>
      <c r="N301" s="73"/>
      <c r="O301" s="71"/>
      <c r="P301" s="6" t="n">
        <f aca="true">IF(I301="","",SUMIFS(OrderItems_Qty,OrderItems_Type,"PURCHASE",OrderItems_SKU,I301)-SUMIFS(OrderItems_Qty,OrderItems_Type,"SALE",OrderItems_SKU,I301))</f>
        <v>0</v>
      </c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customFormat="false" ht="17.35" hidden="false" customHeight="false" outlineLevel="0" collapsed="false">
      <c r="C302" s="6"/>
      <c r="D302" s="6"/>
      <c r="E302" s="6"/>
      <c r="F302" s="6"/>
      <c r="G302" s="6"/>
      <c r="H302" s="6"/>
      <c r="I302" s="75"/>
      <c r="J302" s="6"/>
      <c r="K302" s="76"/>
      <c r="L302" s="77"/>
      <c r="M302" s="78"/>
      <c r="N302" s="77"/>
      <c r="O302" s="6"/>
      <c r="P302" s="6" t="n">
        <f aca="true">IF(I302="","",SUMIFS(OrderItems_Qty,OrderItems_Type,"PURCHASE",OrderItems_SKU,I302)-SUMIFS(OrderItems_Qty,OrderItems_Type,"SALE",OrderItems_SKU,I302))</f>
        <v>0</v>
      </c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customFormat="false" ht="15" hidden="false" customHeight="false" outlineLevel="0" collapsed="false">
      <c r="C303" s="6"/>
      <c r="D303" s="6"/>
      <c r="E303" s="6"/>
      <c r="F303" s="6"/>
      <c r="G303" s="6"/>
      <c r="H303" s="6"/>
      <c r="I303" s="75"/>
      <c r="J303" s="6"/>
      <c r="K303" s="79"/>
      <c r="L303" s="80"/>
      <c r="M303" s="6"/>
      <c r="N303" s="80"/>
      <c r="O303" s="6"/>
      <c r="P303" s="6" t="n">
        <f aca="true">IF(I303="","",SUMIFS(OrderItems_Qty,OrderItems_Type,"PURCHASE",OrderItems_SKU,I303)-SUMIFS(OrderItems_Qty,OrderItems_Type,"SALE",OrderItems_SKU,I303))</f>
        <v>0</v>
      </c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customFormat="false" ht="15" hidden="false" customHeight="false" outlineLevel="0" collapsed="false">
      <c r="C304" s="6"/>
      <c r="D304" s="6"/>
      <c r="E304" s="6"/>
      <c r="F304" s="6"/>
      <c r="G304" s="6"/>
      <c r="H304" s="6"/>
      <c r="I304" s="81"/>
      <c r="J304" s="6"/>
      <c r="K304" s="79"/>
      <c r="L304" s="80"/>
      <c r="M304" s="6"/>
      <c r="N304" s="80"/>
      <c r="O304" s="6"/>
      <c r="P304" s="6" t="n">
        <f aca="true">IF(I304="","",SUMIFS(OrderItems_Qty,OrderItems_Type,"PURCHASE",OrderItems_SKU,I304)-SUMIFS(OrderItems_Qty,OrderItems_Type,"SALE",OrderItems_SKU,I304))</f>
        <v>0</v>
      </c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customFormat="false" ht="15" hidden="false" customHeight="false" outlineLevel="0" collapsed="false">
      <c r="C305" s="6"/>
      <c r="D305" s="6"/>
      <c r="E305" s="6"/>
      <c r="F305" s="6"/>
      <c r="G305" s="6"/>
      <c r="H305" s="6"/>
      <c r="I305" s="81"/>
      <c r="J305" s="6"/>
      <c r="K305" s="79"/>
      <c r="L305" s="80"/>
      <c r="M305" s="6"/>
      <c r="N305" s="80"/>
      <c r="O305" s="6"/>
      <c r="P305" s="6" t="n">
        <f aca="true">IF(I305="","",SUMIFS(OrderItems_Qty,OrderItems_Type,"PURCHASE",OrderItems_SKU,I305)-SUMIFS(OrderItems_Qty,OrderItems_Type,"SALE",OrderItems_SKU,I305))</f>
        <v>0</v>
      </c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customFormat="false" ht="15" hidden="false" customHeight="false" outlineLevel="0" collapsed="false">
      <c r="C306" s="6"/>
      <c r="D306" s="6"/>
      <c r="E306" s="6"/>
      <c r="F306" s="6"/>
      <c r="G306" s="6"/>
      <c r="H306" s="6"/>
      <c r="I306" s="81"/>
      <c r="J306" s="6"/>
      <c r="K306" s="79"/>
      <c r="L306" s="80"/>
      <c r="M306" s="6"/>
      <c r="N306" s="80"/>
      <c r="O306" s="6"/>
      <c r="P306" s="6" t="n">
        <f aca="true">IF(I306="","",SUMIFS(OrderItems_Qty,OrderItems_Type,"PURCHASE",OrderItems_SKU,I306)-SUMIFS(OrderItems_Qty,OrderItems_Type,"SALE",OrderItems_SKU,I306))</f>
        <v>0</v>
      </c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customFormat="false" ht="15" hidden="false" customHeight="false" outlineLevel="0" collapsed="false">
      <c r="C307" s="6"/>
      <c r="D307" s="6"/>
      <c r="E307" s="6"/>
      <c r="F307" s="6"/>
      <c r="G307" s="6"/>
      <c r="H307" s="6"/>
      <c r="I307" s="81"/>
      <c r="J307" s="6"/>
      <c r="K307" s="79"/>
      <c r="L307" s="80"/>
      <c r="M307" s="6"/>
      <c r="N307" s="80"/>
      <c r="O307" s="6"/>
      <c r="P307" s="6" t="n">
        <f aca="true">IF(I307="","",SUMIFS(OrderItems_Qty,OrderItems_Type,"PURCHASE",OrderItems_SKU,I307)-SUMIFS(OrderItems_Qty,OrderItems_Type,"SALE",OrderItems_SKU,I307))</f>
        <v>0</v>
      </c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customFormat="false" ht="15" hidden="false" customHeight="false" outlineLevel="0" collapsed="false">
      <c r="C308" s="6"/>
      <c r="D308" s="6"/>
      <c r="E308" s="6"/>
      <c r="F308" s="6"/>
      <c r="G308" s="6"/>
      <c r="H308" s="6"/>
      <c r="I308" s="81"/>
      <c r="J308" s="6"/>
      <c r="K308" s="79"/>
      <c r="L308" s="80"/>
      <c r="M308" s="6"/>
      <c r="N308" s="80"/>
      <c r="O308" s="6"/>
      <c r="P308" s="6" t="n">
        <f aca="true">IF(I308="","",SUMIFS(OrderItems_Qty,OrderItems_Type,"PURCHASE",OrderItems_SKU,I308)-SUMIFS(OrderItems_Qty,OrderItems_Type,"SALE",OrderItems_SKU,I308))</f>
        <v>0</v>
      </c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customFormat="false" ht="15" hidden="false" customHeight="false" outlineLevel="0" collapsed="false">
      <c r="C309" s="6"/>
      <c r="D309" s="6"/>
      <c r="E309" s="6"/>
      <c r="F309" s="6"/>
      <c r="G309" s="6"/>
      <c r="H309" s="6"/>
      <c r="I309" s="81"/>
      <c r="J309" s="6"/>
      <c r="K309" s="79"/>
      <c r="L309" s="80"/>
      <c r="M309" s="6"/>
      <c r="N309" s="80"/>
      <c r="O309" s="6"/>
      <c r="P309" s="6" t="n">
        <f aca="true">IF(I309="","",SUMIFS(OrderItems_Qty,OrderItems_Type,"PURCHASE",OrderItems_SKU,I309)-SUMIFS(OrderItems_Qty,OrderItems_Type,"SALE",OrderItems_SKU,I309))</f>
        <v>0</v>
      </c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customFormat="false" ht="15" hidden="false" customHeight="false" outlineLevel="0" collapsed="false">
      <c r="C310" s="6"/>
      <c r="D310" s="6"/>
      <c r="E310" s="6"/>
      <c r="F310" s="6"/>
      <c r="G310" s="6"/>
      <c r="H310" s="6"/>
      <c r="I310" s="81"/>
      <c r="J310" s="6"/>
      <c r="K310" s="79"/>
      <c r="L310" s="80"/>
      <c r="M310" s="6"/>
      <c r="N310" s="80"/>
      <c r="O310" s="6"/>
      <c r="P310" s="6" t="n">
        <f aca="true">IF(I310="","",SUMIFS(OrderItems_Qty,OrderItems_Type,"PURCHASE",OrderItems_SKU,I310)-SUMIFS(OrderItems_Qty,OrderItems_Type,"SALE",OrderItems_SKU,I310))</f>
        <v>0</v>
      </c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customFormat="false" ht="15" hidden="false" customHeight="false" outlineLevel="0" collapsed="false">
      <c r="C311" s="6"/>
      <c r="D311" s="6"/>
      <c r="E311" s="6"/>
      <c r="F311" s="6"/>
      <c r="G311" s="6"/>
      <c r="H311" s="6"/>
      <c r="I311" s="81"/>
      <c r="J311" s="6"/>
      <c r="K311" s="79"/>
      <c r="L311" s="80"/>
      <c r="M311" s="6"/>
      <c r="N311" s="80"/>
      <c r="O311" s="6"/>
      <c r="P311" s="6" t="n">
        <f aca="true">IF(I311="","",SUMIFS(OrderItems_Qty,OrderItems_Type,"PURCHASE",OrderItems_SKU,I311)-SUMIFS(OrderItems_Qty,OrderItems_Type,"SALE",OrderItems_SKU,I311))</f>
        <v>0</v>
      </c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customFormat="false" ht="15" hidden="false" customHeight="false" outlineLevel="0" collapsed="false">
      <c r="C312" s="6"/>
      <c r="D312" s="6"/>
      <c r="E312" s="6"/>
      <c r="F312" s="6"/>
      <c r="G312" s="6"/>
      <c r="H312" s="6"/>
      <c r="I312" s="81"/>
      <c r="J312" s="6"/>
      <c r="K312" s="79"/>
      <c r="L312" s="80"/>
      <c r="M312" s="6"/>
      <c r="N312" s="80"/>
      <c r="O312" s="6"/>
      <c r="P312" s="6" t="n">
        <f aca="true">IF(I312="","",SUMIFS(OrderItems_Qty,OrderItems_Type,"PURCHASE",OrderItems_SKU,I312)-SUMIFS(OrderItems_Qty,OrderItems_Type,"SALE",OrderItems_SKU,I312))</f>
        <v>0</v>
      </c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customFormat="false" ht="15" hidden="false" customHeight="false" outlineLevel="0" collapsed="false">
      <c r="C313" s="6"/>
      <c r="D313" s="6"/>
      <c r="E313" s="6"/>
      <c r="F313" s="6"/>
      <c r="G313" s="6"/>
      <c r="H313" s="6"/>
      <c r="I313" s="81"/>
      <c r="J313" s="6"/>
      <c r="K313" s="79"/>
      <c r="L313" s="80"/>
      <c r="M313" s="6"/>
      <c r="N313" s="80"/>
      <c r="O313" s="6"/>
      <c r="P313" s="6" t="n">
        <f aca="true">IF(I313="","",SUMIFS(OrderItems_Qty,OrderItems_Type,"PURCHASE",OrderItems_SKU,I313)-SUMIFS(OrderItems_Qty,OrderItems_Type,"SALE",OrderItems_SKU,I313))</f>
        <v>0</v>
      </c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customFormat="false" ht="15" hidden="false" customHeight="false" outlineLevel="0" collapsed="false">
      <c r="C314" s="6"/>
      <c r="D314" s="6"/>
      <c r="E314" s="6"/>
      <c r="F314" s="6"/>
      <c r="G314" s="6"/>
      <c r="H314" s="6"/>
      <c r="I314" s="81"/>
      <c r="J314" s="6"/>
      <c r="K314" s="79"/>
      <c r="L314" s="80"/>
      <c r="M314" s="6"/>
      <c r="N314" s="80"/>
      <c r="O314" s="6"/>
      <c r="P314" s="6" t="n">
        <f aca="true">IF(I314="","",SUMIFS(OrderItems_Qty,OrderItems_Type,"PURCHASE",OrderItems_SKU,I314)-SUMIFS(OrderItems_Qty,OrderItems_Type,"SALE",OrderItems_SKU,I314))</f>
        <v>0</v>
      </c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customFormat="false" ht="15" hidden="false" customHeight="false" outlineLevel="0" collapsed="false">
      <c r="C315" s="6"/>
      <c r="D315" s="6"/>
      <c r="E315" s="6"/>
      <c r="F315" s="6"/>
      <c r="G315" s="6"/>
      <c r="H315" s="6"/>
      <c r="I315" s="81"/>
      <c r="J315" s="6"/>
      <c r="K315" s="79"/>
      <c r="L315" s="80"/>
      <c r="M315" s="6"/>
      <c r="N315" s="80"/>
      <c r="O315" s="6"/>
      <c r="P315" s="6" t="n">
        <f aca="true">IF(I315="","",SUMIFS(OrderItems_Qty,OrderItems_Type,"PURCHASE",OrderItems_SKU,I315)-SUMIFS(OrderItems_Qty,OrderItems_Type,"SALE",OrderItems_SKU,I315))</f>
        <v>0</v>
      </c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customFormat="false" ht="15" hidden="false" customHeight="false" outlineLevel="0" collapsed="false">
      <c r="C316" s="6"/>
      <c r="D316" s="6"/>
      <c r="E316" s="6"/>
      <c r="F316" s="6"/>
      <c r="G316" s="6"/>
      <c r="H316" s="6"/>
      <c r="I316" s="81"/>
      <c r="J316" s="6"/>
      <c r="K316" s="79"/>
      <c r="L316" s="80"/>
      <c r="M316" s="6"/>
      <c r="N316" s="80"/>
      <c r="O316" s="6"/>
      <c r="P316" s="6" t="n">
        <f aca="true">IF(I316="","",SUMIFS(OrderItems_Qty,OrderItems_Type,"PURCHASE",OrderItems_SKU,I316)-SUMIFS(OrderItems_Qty,OrderItems_Type,"SALE",OrderItems_SKU,I316))</f>
        <v>0</v>
      </c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customFormat="false" ht="15" hidden="false" customHeight="false" outlineLevel="0" collapsed="false">
      <c r="C317" s="6"/>
      <c r="D317" s="6"/>
      <c r="E317" s="6"/>
      <c r="F317" s="6"/>
      <c r="G317" s="6"/>
      <c r="H317" s="6"/>
      <c r="I317" s="81"/>
      <c r="J317" s="6"/>
      <c r="K317" s="79"/>
      <c r="L317" s="80"/>
      <c r="M317" s="6"/>
      <c r="N317" s="80"/>
      <c r="O317" s="6"/>
      <c r="P317" s="6" t="n">
        <f aca="true">IF(I317="","",SUMIFS(OrderItems_Qty,OrderItems_Type,"PURCHASE",OrderItems_SKU,I317)-SUMIFS(OrderItems_Qty,OrderItems_Type,"SALE",OrderItems_SKU,I317))</f>
        <v>0</v>
      </c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customFormat="false" ht="15" hidden="false" customHeight="false" outlineLevel="0" collapsed="false">
      <c r="C318" s="6"/>
      <c r="D318" s="6"/>
      <c r="E318" s="6"/>
      <c r="F318" s="6"/>
      <c r="G318" s="6"/>
      <c r="H318" s="6"/>
      <c r="I318" s="81"/>
      <c r="J318" s="6"/>
      <c r="K318" s="79"/>
      <c r="L318" s="80"/>
      <c r="M318" s="6"/>
      <c r="N318" s="80"/>
      <c r="O318" s="6"/>
      <c r="P318" s="6" t="n">
        <f aca="true">IF(I318="","",SUMIFS(OrderItems_Qty,OrderItems_Type,"PURCHASE",OrderItems_SKU,I318)-SUMIFS(OrderItems_Qty,OrderItems_Type,"SALE",OrderItems_SKU,I318))</f>
        <v>0</v>
      </c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customFormat="false" ht="15" hidden="false" customHeight="false" outlineLevel="0" collapsed="false">
      <c r="C319" s="6"/>
      <c r="D319" s="6"/>
      <c r="E319" s="6"/>
      <c r="F319" s="6"/>
      <c r="G319" s="6"/>
      <c r="H319" s="6"/>
      <c r="I319" s="81"/>
      <c r="J319" s="6"/>
      <c r="K319" s="79"/>
      <c r="L319" s="80"/>
      <c r="M319" s="6"/>
      <c r="N319" s="80"/>
      <c r="O319" s="6"/>
      <c r="P319" s="6" t="n">
        <f aca="true">IF(I319="","",SUMIFS(OrderItems_Qty,OrderItems_Type,"PURCHASE",OrderItems_SKU,I319)-SUMIFS(OrderItems_Qty,OrderItems_Type,"SALE",OrderItems_SKU,I319))</f>
        <v>0</v>
      </c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customFormat="false" ht="15" hidden="false" customHeight="false" outlineLevel="0" collapsed="false">
      <c r="C320" s="6"/>
      <c r="D320" s="6"/>
      <c r="E320" s="6"/>
      <c r="F320" s="6"/>
      <c r="G320" s="6"/>
      <c r="H320" s="6"/>
      <c r="I320" s="81"/>
      <c r="J320" s="6"/>
      <c r="K320" s="79"/>
      <c r="L320" s="80"/>
      <c r="M320" s="6"/>
      <c r="N320" s="80"/>
      <c r="O320" s="6"/>
      <c r="P320" s="6" t="n">
        <f aca="true">IF(I320="","",SUMIFS(OrderItems_Qty,OrderItems_Type,"PURCHASE",OrderItems_SKU,I320)-SUMIFS(OrderItems_Qty,OrderItems_Type,"SALE",OrderItems_SKU,I320))</f>
        <v>0</v>
      </c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customFormat="false" ht="15" hidden="false" customHeight="false" outlineLevel="0" collapsed="false">
      <c r="C321" s="6"/>
      <c r="D321" s="6"/>
      <c r="E321" s="6"/>
      <c r="F321" s="6"/>
      <c r="G321" s="6"/>
      <c r="H321" s="6"/>
      <c r="I321" s="81"/>
      <c r="J321" s="6"/>
      <c r="K321" s="79"/>
      <c r="L321" s="80"/>
      <c r="M321" s="6"/>
      <c r="N321" s="80"/>
      <c r="O321" s="6"/>
      <c r="P321" s="6" t="n">
        <f aca="true">IF(I321="","",SUMIFS(OrderItems_Qty,OrderItems_Type,"PURCHASE",OrderItems_SKU,I321)-SUMIFS(OrderItems_Qty,OrderItems_Type,"SALE",OrderItems_SKU,I321))</f>
        <v>0</v>
      </c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customFormat="false" ht="15" hidden="false" customHeight="false" outlineLevel="0" collapsed="false">
      <c r="C322" s="6"/>
      <c r="D322" s="6"/>
      <c r="E322" s="6"/>
      <c r="F322" s="6"/>
      <c r="G322" s="6"/>
      <c r="H322" s="6"/>
      <c r="I322" s="81"/>
      <c r="J322" s="6"/>
      <c r="K322" s="79"/>
      <c r="L322" s="80"/>
      <c r="M322" s="6"/>
      <c r="N322" s="80"/>
      <c r="O322" s="6"/>
      <c r="P322" s="6" t="n">
        <f aca="true">IF(I322="","",SUMIFS(OrderItems_Qty,OrderItems_Type,"PURCHASE",OrderItems_SKU,I322)-SUMIFS(OrderItems_Qty,OrderItems_Type,"SALE",OrderItems_SKU,I322))</f>
        <v>0</v>
      </c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customFormat="false" ht="15" hidden="false" customHeight="false" outlineLevel="0" collapsed="false">
      <c r="C323" s="6"/>
      <c r="D323" s="6"/>
      <c r="E323" s="6"/>
      <c r="F323" s="6"/>
      <c r="G323" s="6"/>
      <c r="H323" s="6"/>
      <c r="I323" s="81"/>
      <c r="J323" s="6"/>
      <c r="K323" s="79"/>
      <c r="L323" s="80"/>
      <c r="M323" s="6"/>
      <c r="N323" s="80"/>
      <c r="O323" s="6"/>
      <c r="P323" s="6" t="n">
        <f aca="true">IF(I323="","",SUMIFS(OrderItems_Qty,OrderItems_Type,"PURCHASE",OrderItems_SKU,I323)-SUMIFS(OrderItems_Qty,OrderItems_Type,"SALE",OrderItems_SKU,I323))</f>
        <v>0</v>
      </c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customFormat="false" ht="15" hidden="false" customHeight="false" outlineLevel="0" collapsed="false">
      <c r="C324" s="6"/>
      <c r="D324" s="6"/>
      <c r="E324" s="6"/>
      <c r="F324" s="6"/>
      <c r="G324" s="6"/>
      <c r="H324" s="6"/>
      <c r="I324" s="81"/>
      <c r="J324" s="6"/>
      <c r="K324" s="79"/>
      <c r="L324" s="80"/>
      <c r="M324" s="6"/>
      <c r="N324" s="80"/>
      <c r="O324" s="6"/>
      <c r="P324" s="6" t="n">
        <f aca="true">IF(I324="","",SUMIFS(OrderItems_Qty,OrderItems_Type,"PURCHASE",OrderItems_SKU,I324)-SUMIFS(OrderItems_Qty,OrderItems_Type,"SALE",OrderItems_SKU,I324))</f>
        <v>0</v>
      </c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customFormat="false" ht="15" hidden="false" customHeight="false" outlineLevel="0" collapsed="false">
      <c r="C325" s="6"/>
      <c r="D325" s="6"/>
      <c r="E325" s="6"/>
      <c r="F325" s="6"/>
      <c r="G325" s="6"/>
      <c r="H325" s="6"/>
      <c r="I325" s="81"/>
      <c r="J325" s="6"/>
      <c r="K325" s="79"/>
      <c r="L325" s="80"/>
      <c r="M325" s="6"/>
      <c r="N325" s="80"/>
      <c r="O325" s="6"/>
      <c r="P325" s="6" t="n">
        <f aca="true">IF(I325="","",SUMIFS(OrderItems_Qty,OrderItems_Type,"PURCHASE",OrderItems_SKU,I325)-SUMIFS(OrderItems_Qty,OrderItems_Type,"SALE",OrderItems_SKU,I325))</f>
        <v>0</v>
      </c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customFormat="false" ht="15" hidden="false" customHeight="false" outlineLevel="0" collapsed="false">
      <c r="C326" s="6"/>
      <c r="D326" s="6"/>
      <c r="E326" s="6"/>
      <c r="F326" s="6"/>
      <c r="G326" s="6"/>
      <c r="H326" s="6"/>
      <c r="I326" s="81"/>
      <c r="J326" s="6"/>
      <c r="K326" s="79"/>
      <c r="L326" s="80"/>
      <c r="M326" s="6"/>
      <c r="N326" s="80"/>
      <c r="O326" s="6"/>
      <c r="P326" s="6" t="n">
        <f aca="true">IF(I326="","",SUMIFS(OrderItems_Qty,OrderItems_Type,"PURCHASE",OrderItems_SKU,I326)-SUMIFS(OrderItems_Qty,OrderItems_Type,"SALE",OrderItems_SKU,I326))</f>
        <v>0</v>
      </c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customFormat="false" ht="15" hidden="false" customHeight="false" outlineLevel="0" collapsed="false">
      <c r="C327" s="6"/>
      <c r="D327" s="6"/>
      <c r="E327" s="6"/>
      <c r="F327" s="6"/>
      <c r="G327" s="6"/>
      <c r="H327" s="6"/>
      <c r="I327" s="81"/>
      <c r="J327" s="6"/>
      <c r="K327" s="79"/>
      <c r="L327" s="80"/>
      <c r="M327" s="6"/>
      <c r="N327" s="80"/>
      <c r="O327" s="6"/>
      <c r="P327" s="6" t="n">
        <f aca="true">IF(I327="","",SUMIFS(OrderItems_Qty,OrderItems_Type,"PURCHASE",OrderItems_SKU,I327)-SUMIFS(OrderItems_Qty,OrderItems_Type,"SALE",OrderItems_SKU,I327))</f>
        <v>0</v>
      </c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customFormat="false" ht="15" hidden="false" customHeight="false" outlineLevel="0" collapsed="false">
      <c r="C328" s="6"/>
      <c r="D328" s="6"/>
      <c r="E328" s="6"/>
      <c r="F328" s="6"/>
      <c r="G328" s="6"/>
      <c r="H328" s="6"/>
      <c r="I328" s="81"/>
      <c r="J328" s="6"/>
      <c r="K328" s="79"/>
      <c r="L328" s="80"/>
      <c r="M328" s="6"/>
      <c r="N328" s="80"/>
      <c r="O328" s="6"/>
      <c r="P328" s="6" t="n">
        <f aca="true">IF(I328="","",SUMIFS(OrderItems_Qty,OrderItems_Type,"PURCHASE",OrderItems_SKU,I328)-SUMIFS(OrderItems_Qty,OrderItems_Type,"SALE",OrderItems_SKU,I328))</f>
        <v>0</v>
      </c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customFormat="false" ht="15" hidden="false" customHeight="false" outlineLevel="0" collapsed="false">
      <c r="C329" s="6"/>
      <c r="D329" s="6"/>
      <c r="E329" s="6"/>
      <c r="F329" s="6"/>
      <c r="G329" s="6"/>
      <c r="H329" s="6"/>
      <c r="I329" s="81"/>
      <c r="J329" s="6"/>
      <c r="K329" s="79"/>
      <c r="L329" s="80"/>
      <c r="M329" s="6"/>
      <c r="N329" s="80"/>
      <c r="O329" s="6"/>
      <c r="P329" s="6" t="n">
        <f aca="true">IF(I329="","",SUMIFS(OrderItems_Qty,OrderItems_Type,"PURCHASE",OrderItems_SKU,I329)-SUMIFS(OrderItems_Qty,OrderItems_Type,"SALE",OrderItems_SKU,I329))</f>
        <v>0</v>
      </c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customFormat="false" ht="15" hidden="false" customHeight="false" outlineLevel="0" collapsed="false">
      <c r="C330" s="6"/>
      <c r="D330" s="6"/>
      <c r="E330" s="6"/>
      <c r="F330" s="6"/>
      <c r="G330" s="6"/>
      <c r="H330" s="6"/>
      <c r="I330" s="81"/>
      <c r="J330" s="6"/>
      <c r="K330" s="79"/>
      <c r="L330" s="80"/>
      <c r="M330" s="6"/>
      <c r="N330" s="80"/>
      <c r="O330" s="6"/>
      <c r="P330" s="6" t="n">
        <f aca="true">IF(I330="","",SUMIFS(OrderItems_Qty,OrderItems_Type,"PURCHASE",OrderItems_SKU,I330)-SUMIFS(OrderItems_Qty,OrderItems_Type,"SALE",OrderItems_SKU,I330))</f>
        <v>0</v>
      </c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customFormat="false" ht="15" hidden="false" customHeight="false" outlineLevel="0" collapsed="false">
      <c r="C331" s="6"/>
      <c r="D331" s="6"/>
      <c r="E331" s="6"/>
      <c r="F331" s="6"/>
      <c r="G331" s="6"/>
      <c r="H331" s="6"/>
      <c r="I331" s="81"/>
      <c r="J331" s="6"/>
      <c r="K331" s="79"/>
      <c r="L331" s="80"/>
      <c r="M331" s="6"/>
      <c r="N331" s="80"/>
      <c r="O331" s="6"/>
      <c r="P331" s="6" t="n">
        <f aca="true">IF(I331="","",SUMIFS(OrderItems_Qty,OrderItems_Type,"PURCHASE",OrderItems_SKU,I331)-SUMIFS(OrderItems_Qty,OrderItems_Type,"SALE",OrderItems_SKU,I331))</f>
        <v>0</v>
      </c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customFormat="false" ht="15" hidden="false" customHeight="false" outlineLevel="0" collapsed="false">
      <c r="C332" s="6"/>
      <c r="D332" s="6"/>
      <c r="E332" s="6"/>
      <c r="F332" s="6"/>
      <c r="G332" s="6"/>
      <c r="H332" s="6"/>
      <c r="I332" s="81"/>
      <c r="J332" s="6"/>
      <c r="K332" s="79"/>
      <c r="L332" s="80"/>
      <c r="M332" s="6"/>
      <c r="N332" s="80"/>
      <c r="O332" s="6"/>
      <c r="P332" s="6" t="n">
        <f aca="true">IF(I332="","",SUMIFS(OrderItems_Qty,OrderItems_Type,"PURCHASE",OrderItems_SKU,I332)-SUMIFS(OrderItems_Qty,OrderItems_Type,"SALE",OrderItems_SKU,I332))</f>
        <v>0</v>
      </c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customFormat="false" ht="15" hidden="false" customHeight="false" outlineLevel="0" collapsed="false">
      <c r="C333" s="6"/>
      <c r="D333" s="6"/>
      <c r="E333" s="6"/>
      <c r="F333" s="6"/>
      <c r="G333" s="6"/>
      <c r="H333" s="6"/>
      <c r="I333" s="81"/>
      <c r="J333" s="6"/>
      <c r="K333" s="79"/>
      <c r="L333" s="80"/>
      <c r="M333" s="6"/>
      <c r="N333" s="80"/>
      <c r="O333" s="6"/>
      <c r="P333" s="6" t="n">
        <f aca="true">IF(I333="","",SUMIFS(OrderItems_Qty,OrderItems_Type,"PURCHASE",OrderItems_SKU,I333)-SUMIFS(OrderItems_Qty,OrderItems_Type,"SALE",OrderItems_SKU,I333))</f>
        <v>0</v>
      </c>
      <c r="Q333" s="6"/>
      <c r="R333" s="6"/>
      <c r="S333" s="6"/>
      <c r="T333" s="6"/>
      <c r="U333" s="6"/>
      <c r="V333" s="6"/>
      <c r="W333" s="6"/>
      <c r="X333" s="6"/>
      <c r="Y333" s="6"/>
      <c r="Z333" s="6"/>
    </row>
    <row r="334" customFormat="false" ht="15" hidden="false" customHeight="false" outlineLevel="0" collapsed="false">
      <c r="C334" s="6"/>
      <c r="D334" s="6"/>
      <c r="E334" s="6"/>
      <c r="F334" s="6"/>
      <c r="G334" s="6"/>
      <c r="H334" s="6"/>
      <c r="I334" s="81"/>
      <c r="J334" s="6"/>
      <c r="K334" s="79"/>
      <c r="L334" s="80"/>
      <c r="M334" s="6"/>
      <c r="N334" s="80"/>
      <c r="O334" s="6"/>
      <c r="P334" s="6" t="n">
        <f aca="true">IF(I334="","",SUMIFS(OrderItems_Qty,OrderItems_Type,"PURCHASE",OrderItems_SKU,I334)-SUMIFS(OrderItems_Qty,OrderItems_Type,"SALE",OrderItems_SKU,I334))</f>
        <v>0</v>
      </c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customFormat="false" ht="15" hidden="false" customHeight="false" outlineLevel="0" collapsed="false">
      <c r="C335" s="6"/>
      <c r="D335" s="6"/>
      <c r="E335" s="6"/>
      <c r="F335" s="6"/>
      <c r="G335" s="6"/>
      <c r="H335" s="6"/>
      <c r="I335" s="81"/>
      <c r="J335" s="6"/>
      <c r="K335" s="79"/>
      <c r="L335" s="80"/>
      <c r="M335" s="6"/>
      <c r="N335" s="80"/>
      <c r="O335" s="6"/>
      <c r="P335" s="6" t="n">
        <f aca="true">IF(I335="","",SUMIFS(OrderItems_Qty,OrderItems_Type,"PURCHASE",OrderItems_SKU,I335)-SUMIFS(OrderItems_Qty,OrderItems_Type,"SALE",OrderItems_SKU,I335))</f>
        <v>0</v>
      </c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customFormat="false" ht="15" hidden="false" customHeight="false" outlineLevel="0" collapsed="false">
      <c r="C336" s="6"/>
      <c r="D336" s="6"/>
      <c r="E336" s="6"/>
      <c r="F336" s="6"/>
      <c r="G336" s="6"/>
      <c r="H336" s="6"/>
      <c r="I336" s="81"/>
      <c r="J336" s="6"/>
      <c r="K336" s="79"/>
      <c r="L336" s="80"/>
      <c r="M336" s="6"/>
      <c r="N336" s="80"/>
      <c r="O336" s="6"/>
      <c r="P336" s="6" t="n">
        <f aca="true">IF(I336="","",SUMIFS(OrderItems_Qty,OrderItems_Type,"PURCHASE",OrderItems_SKU,I336)-SUMIFS(OrderItems_Qty,OrderItems_Type,"SALE",OrderItems_SKU,I336))</f>
        <v>0</v>
      </c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customFormat="false" ht="15" hidden="false" customHeight="false" outlineLevel="0" collapsed="false">
      <c r="C337" s="6"/>
      <c r="D337" s="6"/>
      <c r="E337" s="6"/>
      <c r="F337" s="6"/>
      <c r="G337" s="6"/>
      <c r="H337" s="6"/>
      <c r="I337" s="81"/>
      <c r="J337" s="6"/>
      <c r="K337" s="79"/>
      <c r="L337" s="80"/>
      <c r="M337" s="6"/>
      <c r="N337" s="80"/>
      <c r="O337" s="6"/>
      <c r="P337" s="6" t="n">
        <f aca="true">IF(I337="","",SUMIFS(OrderItems_Qty,OrderItems_Type,"PURCHASE",OrderItems_SKU,I337)-SUMIFS(OrderItems_Qty,OrderItems_Type,"SALE",OrderItems_SKU,I337))</f>
        <v>0</v>
      </c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customFormat="false" ht="15" hidden="false" customHeight="false" outlineLevel="0" collapsed="false">
      <c r="C338" s="6"/>
      <c r="D338" s="6"/>
      <c r="E338" s="6"/>
      <c r="F338" s="6"/>
      <c r="G338" s="6"/>
      <c r="H338" s="6"/>
      <c r="I338" s="81"/>
      <c r="J338" s="6"/>
      <c r="K338" s="79"/>
      <c r="L338" s="80"/>
      <c r="M338" s="6"/>
      <c r="N338" s="80"/>
      <c r="O338" s="6"/>
      <c r="P338" s="6" t="n">
        <f aca="true">IF(I338="","",SUMIFS(OrderItems_Qty,OrderItems_Type,"PURCHASE",OrderItems_SKU,I338)-SUMIFS(OrderItems_Qty,OrderItems_Type,"SALE",OrderItems_SKU,I338))</f>
        <v>0</v>
      </c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customFormat="false" ht="15" hidden="false" customHeight="false" outlineLevel="0" collapsed="false">
      <c r="C339" s="6"/>
      <c r="D339" s="6"/>
      <c r="E339" s="6"/>
      <c r="F339" s="6"/>
      <c r="G339" s="6"/>
      <c r="H339" s="6"/>
      <c r="I339" s="81"/>
      <c r="J339" s="6"/>
      <c r="K339" s="79"/>
      <c r="L339" s="80"/>
      <c r="M339" s="6"/>
      <c r="N339" s="80"/>
      <c r="O339" s="6"/>
      <c r="P339" s="6" t="n">
        <f aca="true">IF(I339="","",SUMIFS(OrderItems_Qty,OrderItems_Type,"PURCHASE",OrderItems_SKU,I339)-SUMIFS(OrderItems_Qty,OrderItems_Type,"SALE",OrderItems_SKU,I339))</f>
        <v>0</v>
      </c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customFormat="false" ht="15" hidden="false" customHeight="false" outlineLevel="0" collapsed="false">
      <c r="C340" s="6"/>
      <c r="D340" s="6"/>
      <c r="E340" s="6"/>
      <c r="F340" s="6"/>
      <c r="G340" s="6"/>
      <c r="H340" s="6"/>
      <c r="I340" s="81"/>
      <c r="J340" s="6"/>
      <c r="K340" s="79"/>
      <c r="L340" s="80"/>
      <c r="M340" s="6"/>
      <c r="N340" s="80"/>
      <c r="O340" s="6"/>
      <c r="P340" s="6" t="n">
        <f aca="true">IF(I340="","",SUMIFS(OrderItems_Qty,OrderItems_Type,"PURCHASE",OrderItems_SKU,I340)-SUMIFS(OrderItems_Qty,OrderItems_Type,"SALE",OrderItems_SKU,I340))</f>
        <v>0</v>
      </c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customFormat="false" ht="15" hidden="false" customHeight="false" outlineLevel="0" collapsed="false">
      <c r="C341" s="6"/>
      <c r="D341" s="6"/>
      <c r="E341" s="6"/>
      <c r="F341" s="6"/>
      <c r="G341" s="6"/>
      <c r="H341" s="6"/>
      <c r="I341" s="81"/>
      <c r="J341" s="6"/>
      <c r="K341" s="79"/>
      <c r="L341" s="80"/>
      <c r="M341" s="6"/>
      <c r="N341" s="80"/>
      <c r="O341" s="6"/>
      <c r="P341" s="6" t="n">
        <f aca="true">IF(I341="","",SUMIFS(OrderItems_Qty,OrderItems_Type,"PURCHASE",OrderItems_SKU,I341)-SUMIFS(OrderItems_Qty,OrderItems_Type,"SALE",OrderItems_SKU,I341))</f>
        <v>0</v>
      </c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customFormat="false" ht="15" hidden="false" customHeight="false" outlineLevel="0" collapsed="false">
      <c r="C342" s="6"/>
      <c r="D342" s="6"/>
      <c r="E342" s="6"/>
      <c r="F342" s="6"/>
      <c r="G342" s="6"/>
      <c r="H342" s="6"/>
      <c r="I342" s="81"/>
      <c r="J342" s="6"/>
      <c r="K342" s="79"/>
      <c r="L342" s="80"/>
      <c r="M342" s="6"/>
      <c r="N342" s="80"/>
      <c r="O342" s="6"/>
      <c r="P342" s="6" t="n">
        <f aca="true">IF(I342="","",SUMIFS(OrderItems_Qty,OrderItems_Type,"PURCHASE",OrderItems_SKU,I342)-SUMIFS(OrderItems_Qty,OrderItems_Type,"SALE",OrderItems_SKU,I342))</f>
        <v>0</v>
      </c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customFormat="false" ht="15" hidden="false" customHeight="false" outlineLevel="0" collapsed="false">
      <c r="C343" s="6"/>
      <c r="D343" s="6"/>
      <c r="E343" s="6"/>
      <c r="F343" s="6"/>
      <c r="G343" s="6"/>
      <c r="H343" s="6"/>
      <c r="I343" s="81"/>
      <c r="J343" s="6"/>
      <c r="K343" s="79"/>
      <c r="L343" s="80"/>
      <c r="M343" s="6"/>
      <c r="N343" s="80"/>
      <c r="O343" s="6"/>
      <c r="P343" s="6" t="n">
        <f aca="true">IF(I343="","",SUMIFS(OrderItems_Qty,OrderItems_Type,"PURCHASE",OrderItems_SKU,I343)-SUMIFS(OrderItems_Qty,OrderItems_Type,"SALE",OrderItems_SKU,I343))</f>
        <v>0</v>
      </c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customFormat="false" ht="15" hidden="false" customHeight="false" outlineLevel="0" collapsed="false">
      <c r="C344" s="6"/>
      <c r="D344" s="6"/>
      <c r="E344" s="6"/>
      <c r="F344" s="6"/>
      <c r="G344" s="6"/>
      <c r="H344" s="6"/>
      <c r="I344" s="81"/>
      <c r="J344" s="6"/>
      <c r="K344" s="79"/>
      <c r="L344" s="80"/>
      <c r="M344" s="6"/>
      <c r="N344" s="80"/>
      <c r="O344" s="6"/>
      <c r="P344" s="6" t="n">
        <f aca="true">IF(I344="","",SUMIFS(OrderItems_Qty,OrderItems_Type,"PURCHASE",OrderItems_SKU,I344)-SUMIFS(OrderItems_Qty,OrderItems_Type,"SALE",OrderItems_SKU,I344))</f>
        <v>0</v>
      </c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customFormat="false" ht="15" hidden="false" customHeight="false" outlineLevel="0" collapsed="false">
      <c r="C345" s="6"/>
      <c r="D345" s="6"/>
      <c r="E345" s="6"/>
      <c r="F345" s="6"/>
      <c r="G345" s="6"/>
      <c r="H345" s="6"/>
      <c r="I345" s="81"/>
      <c r="J345" s="6"/>
      <c r="K345" s="79"/>
      <c r="L345" s="80"/>
      <c r="M345" s="6"/>
      <c r="N345" s="80"/>
      <c r="O345" s="6"/>
      <c r="P345" s="6" t="n">
        <f aca="true">IF(I345="","",SUMIFS(OrderItems_Qty,OrderItems_Type,"PURCHASE",OrderItems_SKU,I345)-SUMIFS(OrderItems_Qty,OrderItems_Type,"SALE",OrderItems_SKU,I345))</f>
        <v>0</v>
      </c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customFormat="false" ht="15" hidden="false" customHeight="false" outlineLevel="0" collapsed="false">
      <c r="C346" s="6"/>
      <c r="D346" s="6"/>
      <c r="E346" s="6"/>
      <c r="F346" s="6"/>
      <c r="G346" s="6"/>
      <c r="H346" s="6"/>
      <c r="I346" s="81"/>
      <c r="J346" s="6"/>
      <c r="K346" s="79"/>
      <c r="L346" s="80"/>
      <c r="M346" s="6"/>
      <c r="N346" s="80"/>
      <c r="O346" s="6"/>
      <c r="P346" s="6" t="n">
        <f aca="true">IF(I346="","",SUMIFS(OrderItems_Qty,OrderItems_Type,"PURCHASE",OrderItems_SKU,I346)-SUMIFS(OrderItems_Qty,OrderItems_Type,"SALE",OrderItems_SKU,I346))</f>
        <v>0</v>
      </c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customFormat="false" ht="15" hidden="false" customHeight="false" outlineLevel="0" collapsed="false">
      <c r="C347" s="6"/>
      <c r="D347" s="6"/>
      <c r="E347" s="6"/>
      <c r="F347" s="6"/>
      <c r="G347" s="6"/>
      <c r="H347" s="6"/>
      <c r="I347" s="81"/>
      <c r="J347" s="6"/>
      <c r="K347" s="79"/>
      <c r="L347" s="80"/>
      <c r="M347" s="6"/>
      <c r="N347" s="80"/>
      <c r="O347" s="6"/>
      <c r="P347" s="6" t="n">
        <f aca="true">IF(I347="","",SUMIFS(OrderItems_Qty,OrderItems_Type,"PURCHASE",OrderItems_SKU,I347)-SUMIFS(OrderItems_Qty,OrderItems_Type,"SALE",OrderItems_SKU,I347))</f>
        <v>0</v>
      </c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customFormat="false" ht="15" hidden="false" customHeight="false" outlineLevel="0" collapsed="false">
      <c r="C348" s="6"/>
      <c r="D348" s="6"/>
      <c r="E348" s="6"/>
      <c r="F348" s="6"/>
      <c r="G348" s="6"/>
      <c r="H348" s="6"/>
      <c r="I348" s="81"/>
      <c r="J348" s="6"/>
      <c r="K348" s="79"/>
      <c r="L348" s="80"/>
      <c r="M348" s="6"/>
      <c r="N348" s="80"/>
      <c r="O348" s="6"/>
      <c r="P348" s="6" t="n">
        <f aca="true">IF(I348="","",SUMIFS(OrderItems_Qty,OrderItems_Type,"PURCHASE",OrderItems_SKU,I348)-SUMIFS(OrderItems_Qty,OrderItems_Type,"SALE",OrderItems_SKU,I348))</f>
        <v>0</v>
      </c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customFormat="false" ht="15" hidden="false" customHeight="false" outlineLevel="0" collapsed="false">
      <c r="C349" s="6"/>
      <c r="D349" s="6"/>
      <c r="E349" s="6"/>
      <c r="F349" s="6"/>
      <c r="G349" s="6"/>
      <c r="H349" s="6"/>
      <c r="I349" s="81"/>
      <c r="J349" s="6"/>
      <c r="K349" s="79"/>
      <c r="L349" s="80"/>
      <c r="M349" s="6"/>
      <c r="N349" s="80"/>
      <c r="O349" s="6"/>
      <c r="P349" s="6" t="n">
        <f aca="true">IF(I349="","",SUMIFS(OrderItems_Qty,OrderItems_Type,"PURCHASE",OrderItems_SKU,I349)-SUMIFS(OrderItems_Qty,OrderItems_Type,"SALE",OrderItems_SKU,I349))</f>
        <v>0</v>
      </c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customFormat="false" ht="15" hidden="false" customHeight="false" outlineLevel="0" collapsed="false">
      <c r="C350" s="6"/>
      <c r="D350" s="6"/>
      <c r="E350" s="6"/>
      <c r="F350" s="6"/>
      <c r="G350" s="6"/>
      <c r="H350" s="6"/>
      <c r="I350" s="81"/>
      <c r="J350" s="6"/>
      <c r="K350" s="79"/>
      <c r="L350" s="80"/>
      <c r="M350" s="6"/>
      <c r="N350" s="80"/>
      <c r="O350" s="6"/>
      <c r="P350" s="6" t="n">
        <f aca="true">IF(I350="","",SUMIFS(OrderItems_Qty,OrderItems_Type,"PURCHASE",OrderItems_SKU,I350)-SUMIFS(OrderItems_Qty,OrderItems_Type,"SALE",OrderItems_SKU,I350))</f>
        <v>0</v>
      </c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customFormat="false" ht="15" hidden="false" customHeight="false" outlineLevel="0" collapsed="false">
      <c r="C351" s="6"/>
      <c r="D351" s="6"/>
      <c r="E351" s="6"/>
      <c r="F351" s="6"/>
      <c r="G351" s="6"/>
      <c r="H351" s="6"/>
      <c r="I351" s="81"/>
      <c r="J351" s="6"/>
      <c r="K351" s="79"/>
      <c r="L351" s="80"/>
      <c r="M351" s="6"/>
      <c r="N351" s="80"/>
      <c r="O351" s="6"/>
      <c r="P351" s="6" t="n">
        <f aca="true">IF(I351="","",SUMIFS(OrderItems_Qty,OrderItems_Type,"PURCHASE",OrderItems_SKU,I351)-SUMIFS(OrderItems_Qty,OrderItems_Type,"SALE",OrderItems_SKU,I351))</f>
        <v>0</v>
      </c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customFormat="false" ht="15" hidden="false" customHeight="false" outlineLevel="0" collapsed="false">
      <c r="C352" s="6"/>
      <c r="D352" s="6"/>
      <c r="E352" s="6"/>
      <c r="F352" s="6"/>
      <c r="G352" s="6"/>
      <c r="H352" s="6"/>
      <c r="I352" s="81"/>
      <c r="J352" s="6"/>
      <c r="K352" s="79"/>
      <c r="L352" s="80"/>
      <c r="M352" s="6"/>
      <c r="N352" s="80"/>
      <c r="O352" s="6"/>
      <c r="P352" s="6" t="n">
        <f aca="true">IF(I352="","",SUMIFS(OrderItems_Qty,OrderItems_Type,"PURCHASE",OrderItems_SKU,I352)-SUMIFS(OrderItems_Qty,OrderItems_Type,"SALE",OrderItems_SKU,I352))</f>
        <v>0</v>
      </c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customFormat="false" ht="15" hidden="false" customHeight="false" outlineLevel="0" collapsed="false">
      <c r="C353" s="6"/>
      <c r="D353" s="6"/>
      <c r="E353" s="6"/>
      <c r="F353" s="6"/>
      <c r="G353" s="6"/>
      <c r="H353" s="6"/>
      <c r="I353" s="81"/>
      <c r="J353" s="6"/>
      <c r="K353" s="79"/>
      <c r="L353" s="80"/>
      <c r="M353" s="6"/>
      <c r="N353" s="80"/>
      <c r="O353" s="6"/>
      <c r="P353" s="6" t="n">
        <f aca="true">IF(I353="","",SUMIFS(OrderItems_Qty,OrderItems_Type,"PURCHASE",OrderItems_SKU,I353)-SUMIFS(OrderItems_Qty,OrderItems_Type,"SALE",OrderItems_SKU,I353))</f>
        <v>0</v>
      </c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customFormat="false" ht="15" hidden="false" customHeight="false" outlineLevel="0" collapsed="false">
      <c r="C354" s="6"/>
      <c r="D354" s="6"/>
      <c r="E354" s="6"/>
      <c r="F354" s="6"/>
      <c r="G354" s="6"/>
      <c r="H354" s="6"/>
      <c r="I354" s="81"/>
      <c r="J354" s="6"/>
      <c r="K354" s="79"/>
      <c r="L354" s="80"/>
      <c r="M354" s="6"/>
      <c r="N354" s="80"/>
      <c r="O354" s="6"/>
      <c r="P354" s="6" t="n">
        <f aca="true">IF(I354="","",SUMIFS(OrderItems_Qty,OrderItems_Type,"PURCHASE",OrderItems_SKU,I354)-SUMIFS(OrderItems_Qty,OrderItems_Type,"SALE",OrderItems_SKU,I354))</f>
        <v>0</v>
      </c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customFormat="false" ht="15" hidden="false" customHeight="false" outlineLevel="0" collapsed="false">
      <c r="C355" s="6"/>
      <c r="D355" s="6"/>
      <c r="E355" s="6"/>
      <c r="F355" s="6"/>
      <c r="G355" s="6"/>
      <c r="H355" s="6"/>
      <c r="I355" s="81"/>
      <c r="J355" s="6"/>
      <c r="K355" s="79"/>
      <c r="L355" s="80"/>
      <c r="M355" s="6"/>
      <c r="N355" s="80"/>
      <c r="O355" s="6"/>
      <c r="P355" s="6" t="n">
        <f aca="true">IF(I355="","",SUMIFS(OrderItems_Qty,OrderItems_Type,"PURCHASE",OrderItems_SKU,I355)-SUMIFS(OrderItems_Qty,OrderItems_Type,"SALE",OrderItems_SKU,I355))</f>
        <v>0</v>
      </c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customFormat="false" ht="15" hidden="false" customHeight="false" outlineLevel="0" collapsed="false">
      <c r="C356" s="6"/>
      <c r="D356" s="6"/>
      <c r="E356" s="6"/>
      <c r="F356" s="6"/>
      <c r="G356" s="6"/>
      <c r="H356" s="6"/>
      <c r="I356" s="81"/>
      <c r="J356" s="6"/>
      <c r="K356" s="79"/>
      <c r="L356" s="80"/>
      <c r="M356" s="6"/>
      <c r="N356" s="80"/>
      <c r="O356" s="6"/>
      <c r="P356" s="6" t="n">
        <f aca="true">IF(I356="","",SUMIFS(OrderItems_Qty,OrderItems_Type,"PURCHASE",OrderItems_SKU,I356)-SUMIFS(OrderItems_Qty,OrderItems_Type,"SALE",OrderItems_SKU,I356))</f>
        <v>0</v>
      </c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customFormat="false" ht="15" hidden="false" customHeight="false" outlineLevel="0" collapsed="false">
      <c r="C357" s="6"/>
      <c r="D357" s="6"/>
      <c r="E357" s="6"/>
      <c r="F357" s="6"/>
      <c r="G357" s="6"/>
      <c r="H357" s="6"/>
      <c r="I357" s="81"/>
      <c r="J357" s="6"/>
      <c r="K357" s="79"/>
      <c r="L357" s="80"/>
      <c r="M357" s="6"/>
      <c r="N357" s="80"/>
      <c r="O357" s="6"/>
      <c r="P357" s="6" t="n">
        <f aca="true">IF(I357="","",SUMIFS(OrderItems_Qty,OrderItems_Type,"PURCHASE",OrderItems_SKU,I357)-SUMIFS(OrderItems_Qty,OrderItems_Type,"SALE",OrderItems_SKU,I357))</f>
        <v>0</v>
      </c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customFormat="false" ht="15" hidden="false" customHeight="false" outlineLevel="0" collapsed="false">
      <c r="C358" s="6"/>
      <c r="D358" s="6"/>
      <c r="E358" s="6"/>
      <c r="F358" s="6"/>
      <c r="G358" s="6"/>
      <c r="H358" s="6"/>
      <c r="I358" s="81"/>
      <c r="J358" s="6"/>
      <c r="K358" s="79"/>
      <c r="L358" s="80"/>
      <c r="M358" s="6"/>
      <c r="N358" s="80"/>
      <c r="O358" s="6"/>
      <c r="P358" s="6" t="n">
        <f aca="true">IF(I358="","",SUMIFS(OrderItems_Qty,OrderItems_Type,"PURCHASE",OrderItems_SKU,I358)-SUMIFS(OrderItems_Qty,OrderItems_Type,"SALE",OrderItems_SKU,I358))</f>
        <v>0</v>
      </c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customFormat="false" ht="15" hidden="false" customHeight="false" outlineLevel="0" collapsed="false">
      <c r="C359" s="6"/>
      <c r="D359" s="6"/>
      <c r="E359" s="6"/>
      <c r="F359" s="6"/>
      <c r="G359" s="6"/>
      <c r="H359" s="6"/>
      <c r="I359" s="81"/>
      <c r="J359" s="6"/>
      <c r="K359" s="79"/>
      <c r="L359" s="80"/>
      <c r="M359" s="6"/>
      <c r="N359" s="80"/>
      <c r="O359" s="6"/>
      <c r="P359" s="6" t="n">
        <f aca="true">IF(I359="","",SUMIFS(OrderItems_Qty,OrderItems_Type,"PURCHASE",OrderItems_SKU,I359)-SUMIFS(OrderItems_Qty,OrderItems_Type,"SALE",OrderItems_SKU,I359))</f>
        <v>0</v>
      </c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customFormat="false" ht="15" hidden="false" customHeight="false" outlineLevel="0" collapsed="false">
      <c r="C360" s="6"/>
      <c r="D360" s="6"/>
      <c r="E360" s="6"/>
      <c r="F360" s="6"/>
      <c r="G360" s="6"/>
      <c r="H360" s="6"/>
      <c r="I360" s="81"/>
      <c r="J360" s="6"/>
      <c r="K360" s="79"/>
      <c r="L360" s="80"/>
      <c r="M360" s="6"/>
      <c r="N360" s="80"/>
      <c r="O360" s="6"/>
      <c r="P360" s="6" t="n">
        <f aca="true">IF(I360="","",SUMIFS(OrderItems_Qty,OrderItems_Type,"PURCHASE",OrderItems_SKU,I360)-SUMIFS(OrderItems_Qty,OrderItems_Type,"SALE",OrderItems_SKU,I360))</f>
        <v>0</v>
      </c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customFormat="false" ht="15" hidden="false" customHeight="false" outlineLevel="0" collapsed="false">
      <c r="C361" s="6"/>
      <c r="D361" s="6"/>
      <c r="E361" s="6"/>
      <c r="F361" s="6"/>
      <c r="G361" s="6"/>
      <c r="H361" s="6"/>
      <c r="I361" s="81"/>
      <c r="J361" s="6"/>
      <c r="K361" s="79"/>
      <c r="L361" s="80"/>
      <c r="M361" s="6"/>
      <c r="N361" s="80"/>
      <c r="O361" s="6"/>
      <c r="P361" s="6" t="n">
        <f aca="true">IF(I361="","",SUMIFS(OrderItems_Qty,OrderItems_Type,"PURCHASE",OrderItems_SKU,I361)-SUMIFS(OrderItems_Qty,OrderItems_Type,"SALE",OrderItems_SKU,I361))</f>
        <v>0</v>
      </c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customFormat="false" ht="15" hidden="false" customHeight="false" outlineLevel="0" collapsed="false">
      <c r="C362" s="6"/>
      <c r="D362" s="6"/>
      <c r="E362" s="6"/>
      <c r="F362" s="6"/>
      <c r="G362" s="6"/>
      <c r="H362" s="6"/>
      <c r="I362" s="81"/>
      <c r="J362" s="6"/>
      <c r="K362" s="79"/>
      <c r="L362" s="80"/>
      <c r="M362" s="6"/>
      <c r="N362" s="80"/>
      <c r="O362" s="6"/>
      <c r="P362" s="6" t="n">
        <f aca="true">IF(I362="","",SUMIFS(OrderItems_Qty,OrderItems_Type,"PURCHASE",OrderItems_SKU,I362)-SUMIFS(OrderItems_Qty,OrderItems_Type,"SALE",OrderItems_SKU,I362))</f>
        <v>0</v>
      </c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customFormat="false" ht="15" hidden="false" customHeight="false" outlineLevel="0" collapsed="false">
      <c r="C363" s="6"/>
      <c r="D363" s="6"/>
      <c r="E363" s="6"/>
      <c r="F363" s="6"/>
      <c r="G363" s="6"/>
      <c r="H363" s="6"/>
      <c r="I363" s="81"/>
      <c r="J363" s="6"/>
      <c r="K363" s="79"/>
      <c r="L363" s="80"/>
      <c r="M363" s="6"/>
      <c r="N363" s="80"/>
      <c r="O363" s="6"/>
      <c r="P363" s="6" t="n">
        <f aca="true">IF(I363="","",SUMIFS(OrderItems_Qty,OrderItems_Type,"PURCHASE",OrderItems_SKU,I363)-SUMIFS(OrderItems_Qty,OrderItems_Type,"SALE",OrderItems_SKU,I363))</f>
        <v>0</v>
      </c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customFormat="false" ht="15" hidden="false" customHeight="false" outlineLevel="0" collapsed="false">
      <c r="C364" s="6"/>
      <c r="D364" s="6"/>
      <c r="E364" s="6"/>
      <c r="F364" s="6"/>
      <c r="G364" s="6"/>
      <c r="H364" s="6"/>
      <c r="I364" s="81"/>
      <c r="J364" s="6"/>
      <c r="K364" s="79"/>
      <c r="L364" s="80"/>
      <c r="M364" s="6"/>
      <c r="N364" s="80"/>
      <c r="O364" s="6"/>
      <c r="P364" s="6" t="n">
        <f aca="true">IF(I364="","",SUMIFS(OrderItems_Qty,OrderItems_Type,"PURCHASE",OrderItems_SKU,I364)-SUMIFS(OrderItems_Qty,OrderItems_Type,"SALE",OrderItems_SKU,I364))</f>
        <v>0</v>
      </c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customFormat="false" ht="15" hidden="false" customHeight="false" outlineLevel="0" collapsed="false">
      <c r="C365" s="6"/>
      <c r="D365" s="6"/>
      <c r="E365" s="6"/>
      <c r="F365" s="6"/>
      <c r="G365" s="6"/>
      <c r="H365" s="6"/>
      <c r="I365" s="81"/>
      <c r="J365" s="6"/>
      <c r="K365" s="79"/>
      <c r="L365" s="80"/>
      <c r="M365" s="6"/>
      <c r="N365" s="80"/>
      <c r="O365" s="6"/>
      <c r="P365" s="6" t="n">
        <f aca="true">IF(I365="","",SUMIFS(OrderItems_Qty,OrderItems_Type,"PURCHASE",OrderItems_SKU,I365)-SUMIFS(OrderItems_Qty,OrderItems_Type,"SALE",OrderItems_SKU,I365))</f>
        <v>0</v>
      </c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customFormat="false" ht="15" hidden="false" customHeight="false" outlineLevel="0" collapsed="false">
      <c r="C366" s="6"/>
      <c r="D366" s="6"/>
      <c r="E366" s="6"/>
      <c r="F366" s="6"/>
      <c r="G366" s="6"/>
      <c r="H366" s="6"/>
      <c r="I366" s="81"/>
      <c r="J366" s="6"/>
      <c r="K366" s="79"/>
      <c r="L366" s="80"/>
      <c r="M366" s="6"/>
      <c r="N366" s="80"/>
      <c r="O366" s="6"/>
      <c r="P366" s="6" t="n">
        <f aca="true">IF(I366="","",SUMIFS(OrderItems_Qty,OrderItems_Type,"PURCHASE",OrderItems_SKU,I366)-SUMIFS(OrderItems_Qty,OrderItems_Type,"SALE",OrderItems_SKU,I366))</f>
        <v>0</v>
      </c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customFormat="false" ht="15" hidden="false" customHeight="false" outlineLevel="0" collapsed="false">
      <c r="C367" s="6"/>
      <c r="D367" s="6"/>
      <c r="E367" s="6"/>
      <c r="F367" s="6"/>
      <c r="G367" s="6"/>
      <c r="H367" s="6"/>
      <c r="I367" s="81"/>
      <c r="J367" s="6"/>
      <c r="K367" s="79"/>
      <c r="L367" s="80"/>
      <c r="M367" s="6"/>
      <c r="N367" s="80"/>
      <c r="O367" s="6"/>
      <c r="P367" s="6" t="n">
        <f aca="true">IF(I367="","",SUMIFS(OrderItems_Qty,OrderItems_Type,"PURCHASE",OrderItems_SKU,I367)-SUMIFS(OrderItems_Qty,OrderItems_Type,"SALE",OrderItems_SKU,I367))</f>
        <v>0</v>
      </c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customFormat="false" ht="15" hidden="false" customHeight="false" outlineLevel="0" collapsed="false">
      <c r="C368" s="6"/>
      <c r="D368" s="6"/>
      <c r="E368" s="6"/>
      <c r="F368" s="6"/>
      <c r="G368" s="6"/>
      <c r="H368" s="6"/>
      <c r="I368" s="81"/>
      <c r="J368" s="6"/>
      <c r="K368" s="79"/>
      <c r="L368" s="80"/>
      <c r="M368" s="6"/>
      <c r="N368" s="80"/>
      <c r="O368" s="6"/>
      <c r="P368" s="6" t="n">
        <f aca="true">IF(I368="","",SUMIFS(OrderItems_Qty,OrderItems_Type,"PURCHASE",OrderItems_SKU,I368)-SUMIFS(OrderItems_Qty,OrderItems_Type,"SALE",OrderItems_SKU,I368))</f>
        <v>0</v>
      </c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customFormat="false" ht="15" hidden="false" customHeight="false" outlineLevel="0" collapsed="false">
      <c r="C369" s="6"/>
      <c r="D369" s="6"/>
      <c r="E369" s="6"/>
      <c r="F369" s="6"/>
      <c r="G369" s="6"/>
      <c r="H369" s="6"/>
      <c r="I369" s="81"/>
      <c r="J369" s="6"/>
      <c r="K369" s="79"/>
      <c r="L369" s="80"/>
      <c r="M369" s="6"/>
      <c r="N369" s="80"/>
      <c r="O369" s="6"/>
      <c r="P369" s="6" t="n">
        <f aca="true">IF(I369="","",SUMIFS(OrderItems_Qty,OrderItems_Type,"PURCHASE",OrderItems_SKU,I369)-SUMIFS(OrderItems_Qty,OrderItems_Type,"SALE",OrderItems_SKU,I369))</f>
        <v>0</v>
      </c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customFormat="false" ht="15" hidden="false" customHeight="false" outlineLevel="0" collapsed="false">
      <c r="C370" s="6"/>
      <c r="D370" s="6"/>
      <c r="E370" s="6"/>
      <c r="F370" s="6"/>
      <c r="G370" s="6"/>
      <c r="H370" s="6"/>
      <c r="I370" s="81"/>
      <c r="J370" s="6"/>
      <c r="K370" s="79"/>
      <c r="L370" s="80"/>
      <c r="M370" s="6"/>
      <c r="N370" s="80"/>
      <c r="O370" s="6"/>
      <c r="P370" s="6" t="n">
        <f aca="true">IF(I370="","",SUMIFS(OrderItems_Qty,OrderItems_Type,"PURCHASE",OrderItems_SKU,I370)-SUMIFS(OrderItems_Qty,OrderItems_Type,"SALE",OrderItems_SKU,I370))</f>
        <v>0</v>
      </c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customFormat="false" ht="15" hidden="false" customHeight="false" outlineLevel="0" collapsed="false">
      <c r="C371" s="6"/>
      <c r="D371" s="6"/>
      <c r="E371" s="6"/>
      <c r="F371" s="6"/>
      <c r="G371" s="6"/>
      <c r="H371" s="6"/>
      <c r="I371" s="81"/>
      <c r="J371" s="6"/>
      <c r="K371" s="79"/>
      <c r="L371" s="80"/>
      <c r="M371" s="6"/>
      <c r="N371" s="80"/>
      <c r="O371" s="6"/>
      <c r="P371" s="6" t="n">
        <f aca="true">IF(I371="","",SUMIFS(OrderItems_Qty,OrderItems_Type,"PURCHASE",OrderItems_SKU,I371)-SUMIFS(OrderItems_Qty,OrderItems_Type,"SALE",OrderItems_SKU,I371))</f>
        <v>0</v>
      </c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customFormat="false" ht="15" hidden="false" customHeight="false" outlineLevel="0" collapsed="false">
      <c r="C372" s="6"/>
      <c r="D372" s="6"/>
      <c r="E372" s="6"/>
      <c r="F372" s="6"/>
      <c r="G372" s="6"/>
      <c r="H372" s="6"/>
      <c r="I372" s="81"/>
      <c r="J372" s="6"/>
      <c r="K372" s="79"/>
      <c r="L372" s="80"/>
      <c r="M372" s="6"/>
      <c r="N372" s="80"/>
      <c r="O372" s="6"/>
      <c r="P372" s="6" t="n">
        <f aca="true">IF(I372="","",SUMIFS(OrderItems_Qty,OrderItems_Type,"PURCHASE",OrderItems_SKU,I372)-SUMIFS(OrderItems_Qty,OrderItems_Type,"SALE",OrderItems_SKU,I372))</f>
        <v>0</v>
      </c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customFormat="false" ht="15" hidden="false" customHeight="false" outlineLevel="0" collapsed="false">
      <c r="C373" s="6"/>
      <c r="D373" s="6"/>
      <c r="E373" s="6"/>
      <c r="F373" s="6"/>
      <c r="G373" s="6"/>
      <c r="H373" s="6"/>
      <c r="I373" s="81"/>
      <c r="J373" s="6"/>
      <c r="K373" s="79"/>
      <c r="L373" s="80"/>
      <c r="M373" s="6"/>
      <c r="N373" s="80"/>
      <c r="O373" s="6"/>
      <c r="P373" s="6" t="n">
        <f aca="true">IF(I373="","",SUMIFS(OrderItems_Qty,OrderItems_Type,"PURCHASE",OrderItems_SKU,I373)-SUMIFS(OrderItems_Qty,OrderItems_Type,"SALE",OrderItems_SKU,I373))</f>
        <v>0</v>
      </c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customFormat="false" ht="15" hidden="false" customHeight="false" outlineLevel="0" collapsed="false">
      <c r="C374" s="6"/>
      <c r="D374" s="6"/>
      <c r="E374" s="6"/>
      <c r="F374" s="6"/>
      <c r="G374" s="6"/>
      <c r="H374" s="6"/>
      <c r="I374" s="81"/>
      <c r="J374" s="6"/>
      <c r="K374" s="79"/>
      <c r="L374" s="80"/>
      <c r="M374" s="6"/>
      <c r="N374" s="80"/>
      <c r="O374" s="6"/>
      <c r="P374" s="6" t="n">
        <f aca="true">IF(I374="","",SUMIFS(OrderItems_Qty,OrderItems_Type,"PURCHASE",OrderItems_SKU,I374)-SUMIFS(OrderItems_Qty,OrderItems_Type,"SALE",OrderItems_SKU,I374))</f>
        <v>0</v>
      </c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customFormat="false" ht="15" hidden="false" customHeight="false" outlineLevel="0" collapsed="false">
      <c r="C375" s="6"/>
      <c r="D375" s="6"/>
      <c r="E375" s="6"/>
      <c r="F375" s="6"/>
      <c r="G375" s="6"/>
      <c r="H375" s="6"/>
      <c r="I375" s="81"/>
      <c r="J375" s="6"/>
      <c r="K375" s="79"/>
      <c r="L375" s="80"/>
      <c r="M375" s="6"/>
      <c r="N375" s="80"/>
      <c r="O375" s="6"/>
      <c r="P375" s="6" t="n">
        <f aca="true">IF(I375="","",SUMIFS(OrderItems_Qty,OrderItems_Type,"PURCHASE",OrderItems_SKU,I375)-SUMIFS(OrderItems_Qty,OrderItems_Type,"SALE",OrderItems_SKU,I375))</f>
        <v>0</v>
      </c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customFormat="false" ht="15" hidden="false" customHeight="false" outlineLevel="0" collapsed="false">
      <c r="C376" s="6"/>
      <c r="D376" s="6"/>
      <c r="E376" s="6"/>
      <c r="F376" s="6"/>
      <c r="G376" s="6"/>
      <c r="H376" s="6"/>
      <c r="I376" s="81"/>
      <c r="J376" s="6"/>
      <c r="K376" s="79"/>
      <c r="L376" s="80"/>
      <c r="M376" s="6"/>
      <c r="N376" s="80"/>
      <c r="O376" s="6"/>
      <c r="P376" s="6" t="n">
        <f aca="true">IF(I376="","",SUMIFS(OrderItems_Qty,OrderItems_Type,"PURCHASE",OrderItems_SKU,I376)-SUMIFS(OrderItems_Qty,OrderItems_Type,"SALE",OrderItems_SKU,I376))</f>
        <v>0</v>
      </c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customFormat="false" ht="15" hidden="false" customHeight="false" outlineLevel="0" collapsed="false">
      <c r="C377" s="6"/>
      <c r="D377" s="6"/>
      <c r="E377" s="6"/>
      <c r="F377" s="6"/>
      <c r="G377" s="6"/>
      <c r="H377" s="6"/>
      <c r="I377" s="81"/>
      <c r="J377" s="6"/>
      <c r="K377" s="79"/>
      <c r="L377" s="80"/>
      <c r="M377" s="6"/>
      <c r="N377" s="80"/>
      <c r="O377" s="6"/>
      <c r="P377" s="6" t="n">
        <f aca="true">IF(I377="","",SUMIFS(OrderItems_Qty,OrderItems_Type,"PURCHASE",OrderItems_SKU,I377)-SUMIFS(OrderItems_Qty,OrderItems_Type,"SALE",OrderItems_SKU,I377))</f>
        <v>0</v>
      </c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customFormat="false" ht="15" hidden="false" customHeight="false" outlineLevel="0" collapsed="false">
      <c r="C378" s="6"/>
      <c r="D378" s="6"/>
      <c r="E378" s="6"/>
      <c r="F378" s="6"/>
      <c r="G378" s="6"/>
      <c r="H378" s="6"/>
      <c r="I378" s="81"/>
      <c r="J378" s="6"/>
      <c r="K378" s="79"/>
      <c r="L378" s="80"/>
      <c r="M378" s="6"/>
      <c r="N378" s="80"/>
      <c r="O378" s="6"/>
      <c r="P378" s="6" t="n">
        <f aca="true">IF(I378="","",SUMIFS(OrderItems_Qty,OrderItems_Type,"PURCHASE",OrderItems_SKU,I378)-SUMIFS(OrderItems_Qty,OrderItems_Type,"SALE",OrderItems_SKU,I378))</f>
        <v>0</v>
      </c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customFormat="false" ht="15" hidden="false" customHeight="false" outlineLevel="0" collapsed="false">
      <c r="C379" s="6"/>
      <c r="D379" s="6"/>
      <c r="E379" s="6"/>
      <c r="F379" s="6"/>
      <c r="G379" s="6"/>
      <c r="H379" s="6"/>
      <c r="I379" s="81"/>
      <c r="J379" s="6"/>
      <c r="K379" s="79"/>
      <c r="L379" s="80"/>
      <c r="M379" s="6"/>
      <c r="N379" s="80"/>
      <c r="O379" s="6"/>
      <c r="P379" s="6" t="n">
        <f aca="true">IF(I379="","",SUMIFS(OrderItems_Qty,OrderItems_Type,"PURCHASE",OrderItems_SKU,I379)-SUMIFS(OrderItems_Qty,OrderItems_Type,"SALE",OrderItems_SKU,I379))</f>
        <v>0</v>
      </c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customFormat="false" ht="15" hidden="false" customHeight="false" outlineLevel="0" collapsed="false">
      <c r="C380" s="6"/>
      <c r="D380" s="6"/>
      <c r="E380" s="6"/>
      <c r="F380" s="6"/>
      <c r="G380" s="6"/>
      <c r="H380" s="6"/>
      <c r="I380" s="81"/>
      <c r="J380" s="6"/>
      <c r="K380" s="79"/>
      <c r="L380" s="80"/>
      <c r="M380" s="6"/>
      <c r="N380" s="80"/>
      <c r="O380" s="6"/>
      <c r="P380" s="6" t="n">
        <f aca="true">IF(I380="","",SUMIFS(OrderItems_Qty,OrderItems_Type,"PURCHASE",OrderItems_SKU,I380)-SUMIFS(OrderItems_Qty,OrderItems_Type,"SALE",OrderItems_SKU,I380))</f>
        <v>0</v>
      </c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customFormat="false" ht="15" hidden="false" customHeight="false" outlineLevel="0" collapsed="false">
      <c r="C381" s="6"/>
      <c r="D381" s="6"/>
      <c r="E381" s="6"/>
      <c r="F381" s="6"/>
      <c r="G381" s="6"/>
      <c r="H381" s="6"/>
      <c r="I381" s="81"/>
      <c r="J381" s="6"/>
      <c r="K381" s="79"/>
      <c r="L381" s="80"/>
      <c r="M381" s="6"/>
      <c r="N381" s="80"/>
      <c r="O381" s="6"/>
      <c r="P381" s="6" t="n">
        <f aca="true">IF(I381="","",SUMIFS(OrderItems_Qty,OrderItems_Type,"PURCHASE",OrderItems_SKU,I381)-SUMIFS(OrderItems_Qty,OrderItems_Type,"SALE",OrderItems_SKU,I381))</f>
        <v>0</v>
      </c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customFormat="false" ht="15" hidden="false" customHeight="false" outlineLevel="0" collapsed="false">
      <c r="C382" s="6"/>
      <c r="D382" s="6"/>
      <c r="E382" s="6"/>
      <c r="F382" s="6"/>
      <c r="G382" s="6"/>
      <c r="H382" s="6"/>
      <c r="I382" s="81"/>
      <c r="J382" s="6"/>
      <c r="K382" s="79"/>
      <c r="L382" s="80"/>
      <c r="M382" s="6"/>
      <c r="N382" s="80"/>
      <c r="O382" s="6"/>
      <c r="P382" s="6" t="n">
        <f aca="true">IF(I382="","",SUMIFS(OrderItems_Qty,OrderItems_Type,"PURCHASE",OrderItems_SKU,I382)-SUMIFS(OrderItems_Qty,OrderItems_Type,"SALE",OrderItems_SKU,I382))</f>
        <v>0</v>
      </c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customFormat="false" ht="15" hidden="false" customHeight="false" outlineLevel="0" collapsed="false">
      <c r="C383" s="6"/>
      <c r="D383" s="6"/>
      <c r="E383" s="6"/>
      <c r="F383" s="6"/>
      <c r="G383" s="6"/>
      <c r="H383" s="6"/>
      <c r="I383" s="81"/>
      <c r="J383" s="6"/>
      <c r="K383" s="79"/>
      <c r="L383" s="80"/>
      <c r="M383" s="6"/>
      <c r="N383" s="80"/>
      <c r="O383" s="6"/>
      <c r="P383" s="6" t="n">
        <f aca="true">IF(I383="","",SUMIFS(OrderItems_Qty,OrderItems_Type,"PURCHASE",OrderItems_SKU,I383)-SUMIFS(OrderItems_Qty,OrderItems_Type,"SALE",OrderItems_SKU,I383))</f>
        <v>0</v>
      </c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customFormat="false" ht="15" hidden="false" customHeight="false" outlineLevel="0" collapsed="false">
      <c r="C384" s="6"/>
      <c r="D384" s="6"/>
      <c r="E384" s="6"/>
      <c r="F384" s="6"/>
      <c r="G384" s="6"/>
      <c r="H384" s="6"/>
      <c r="I384" s="81"/>
      <c r="J384" s="6"/>
      <c r="K384" s="79"/>
      <c r="L384" s="80"/>
      <c r="M384" s="6"/>
      <c r="N384" s="80"/>
      <c r="O384" s="6"/>
      <c r="P384" s="6" t="n">
        <f aca="true">IF(I384="","",SUMIFS(OrderItems_Qty,OrderItems_Type,"PURCHASE",OrderItems_SKU,I384)-SUMIFS(OrderItems_Qty,OrderItems_Type,"SALE",OrderItems_SKU,I384))</f>
        <v>0</v>
      </c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customFormat="false" ht="15" hidden="false" customHeight="false" outlineLevel="0" collapsed="false">
      <c r="C385" s="6"/>
      <c r="D385" s="6"/>
      <c r="E385" s="6"/>
      <c r="F385" s="6"/>
      <c r="G385" s="6"/>
      <c r="H385" s="6"/>
      <c r="I385" s="81"/>
      <c r="J385" s="6"/>
      <c r="K385" s="79"/>
      <c r="L385" s="80"/>
      <c r="M385" s="6"/>
      <c r="N385" s="80"/>
      <c r="O385" s="6"/>
      <c r="P385" s="6" t="n">
        <f aca="true">IF(I385="","",SUMIFS(OrderItems_Qty,OrderItems_Type,"PURCHASE",OrderItems_SKU,I385)-SUMIFS(OrderItems_Qty,OrderItems_Type,"SALE",OrderItems_SKU,I385))</f>
        <v>0</v>
      </c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customFormat="false" ht="15" hidden="false" customHeight="false" outlineLevel="0" collapsed="false">
      <c r="C386" s="6"/>
      <c r="D386" s="6"/>
      <c r="E386" s="6"/>
      <c r="F386" s="6"/>
      <c r="G386" s="6"/>
      <c r="H386" s="6"/>
      <c r="I386" s="81"/>
      <c r="J386" s="6"/>
      <c r="K386" s="79"/>
      <c r="L386" s="80"/>
      <c r="M386" s="6"/>
      <c r="N386" s="80"/>
      <c r="O386" s="6"/>
      <c r="P386" s="6" t="n">
        <f aca="true">IF(I386="","",SUMIFS(OrderItems_Qty,OrderItems_Type,"PURCHASE",OrderItems_SKU,I386)-SUMIFS(OrderItems_Qty,OrderItems_Type,"SALE",OrderItems_SKU,I386))</f>
        <v>0</v>
      </c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customFormat="false" ht="15" hidden="false" customHeight="false" outlineLevel="0" collapsed="false">
      <c r="C387" s="6"/>
      <c r="D387" s="6"/>
      <c r="E387" s="6"/>
      <c r="F387" s="6"/>
      <c r="G387" s="6"/>
      <c r="H387" s="6"/>
      <c r="I387" s="81"/>
      <c r="J387" s="6"/>
      <c r="K387" s="79"/>
      <c r="L387" s="80"/>
      <c r="M387" s="6"/>
      <c r="N387" s="80"/>
      <c r="O387" s="6"/>
      <c r="P387" s="6" t="n">
        <f aca="true">IF(I387="","",SUMIFS(OrderItems_Qty,OrderItems_Type,"PURCHASE",OrderItems_SKU,I387)-SUMIFS(OrderItems_Qty,OrderItems_Type,"SALE",OrderItems_SKU,I387))</f>
        <v>0</v>
      </c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customFormat="false" ht="15" hidden="false" customHeight="false" outlineLevel="0" collapsed="false">
      <c r="I388" s="82"/>
      <c r="K388" s="83"/>
      <c r="L388" s="84"/>
      <c r="N388" s="84"/>
      <c r="P388" s="0" t="n">
        <f aca="true">IF(I388="","",SUMIFS(OrderItems_Qty,OrderItems_Type,"PURCHASE",OrderItems_SKU,I388)-SUMIFS(OrderItems_Qty,OrderItems_Type,"SALE",OrderItems_SKU,I388))</f>
        <v>0</v>
      </c>
    </row>
    <row r="389" customFormat="false" ht="15" hidden="false" customHeight="false" outlineLevel="0" collapsed="false">
      <c r="I389" s="82"/>
      <c r="K389" s="83"/>
      <c r="L389" s="84"/>
      <c r="N389" s="84"/>
      <c r="P389" s="0" t="n">
        <f aca="true">IF(I389="","",SUMIFS(OrderItems_Qty,OrderItems_Type,"PURCHASE",OrderItems_SKU,I389)-SUMIFS(OrderItems_Qty,OrderItems_Type,"SALE",OrderItems_SKU,I389))</f>
        <v>0</v>
      </c>
    </row>
    <row r="390" customFormat="false" ht="15" hidden="false" customHeight="false" outlineLevel="0" collapsed="false">
      <c r="I390" s="82"/>
      <c r="K390" s="83"/>
      <c r="L390" s="84"/>
      <c r="N390" s="84"/>
      <c r="P390" s="0" t="n">
        <f aca="true">IF(I390="","",SUMIFS(OrderItems_Qty,OrderItems_Type,"PURCHASE",OrderItems_SKU,I390)-SUMIFS(OrderItems_Qty,OrderItems_Type,"SALE",OrderItems_SKU,I390))</f>
        <v>0</v>
      </c>
    </row>
    <row r="391" customFormat="false" ht="15" hidden="false" customHeight="false" outlineLevel="0" collapsed="false">
      <c r="I391" s="82"/>
      <c r="K391" s="83"/>
      <c r="L391" s="84"/>
      <c r="N391" s="84"/>
      <c r="P391" s="0" t="n">
        <f aca="true">IF(I391="","",SUMIFS(OrderItems_Qty,OrderItems_Type,"PURCHASE",OrderItems_SKU,I391)-SUMIFS(OrderItems_Qty,OrderItems_Type,"SALE",OrderItems_SKU,I391))</f>
        <v>0</v>
      </c>
    </row>
    <row r="392" customFormat="false" ht="15" hidden="false" customHeight="false" outlineLevel="0" collapsed="false">
      <c r="I392" s="82"/>
      <c r="K392" s="83"/>
      <c r="L392" s="84"/>
      <c r="N392" s="84"/>
      <c r="P392" s="0" t="n">
        <f aca="true">IF(I392="","",SUMIFS(OrderItems_Qty,OrderItems_Type,"PURCHASE",OrderItems_SKU,I392)-SUMIFS(OrderItems_Qty,OrderItems_Type,"SALE",OrderItems_SKU,I392))</f>
        <v>0</v>
      </c>
    </row>
    <row r="393" customFormat="false" ht="15" hidden="false" customHeight="false" outlineLevel="0" collapsed="false">
      <c r="I393" s="82"/>
      <c r="K393" s="83"/>
      <c r="L393" s="84"/>
      <c r="N393" s="84"/>
      <c r="P393" s="0" t="n">
        <f aca="true">IF(I393="","",SUMIFS(OrderItems_Qty,OrderItems_Type,"PURCHASE",OrderItems_SKU,I393)-SUMIFS(OrderItems_Qty,OrderItems_Type,"SALE",OrderItems_SKU,I393))</f>
        <v>0</v>
      </c>
    </row>
    <row r="394" customFormat="false" ht="15" hidden="false" customHeight="false" outlineLevel="0" collapsed="false">
      <c r="I394" s="82"/>
      <c r="K394" s="83"/>
      <c r="L394" s="84"/>
      <c r="N394" s="84"/>
      <c r="P394" s="0" t="n">
        <f aca="true">IF(I394="","",SUMIFS(OrderItems_Qty,OrderItems_Type,"PURCHASE",OrderItems_SKU,I394)-SUMIFS(OrderItems_Qty,OrderItems_Type,"SALE",OrderItems_SKU,I394))</f>
        <v>0</v>
      </c>
    </row>
    <row r="395" customFormat="false" ht="15" hidden="false" customHeight="false" outlineLevel="0" collapsed="false">
      <c r="I395" s="82"/>
      <c r="K395" s="83"/>
      <c r="L395" s="84"/>
      <c r="N395" s="84"/>
      <c r="P395" s="0" t="n">
        <f aca="true">IF(I395="","",SUMIFS(OrderItems_Qty,OrderItems_Type,"PURCHASE",OrderItems_SKU,I395)-SUMIFS(OrderItems_Qty,OrderItems_Type,"SALE",OrderItems_SKU,I395))</f>
        <v>0</v>
      </c>
    </row>
    <row r="396" customFormat="false" ht="15" hidden="false" customHeight="false" outlineLevel="0" collapsed="false">
      <c r="I396" s="82"/>
      <c r="K396" s="83"/>
      <c r="L396" s="84"/>
      <c r="N396" s="84"/>
      <c r="P396" s="0" t="n">
        <f aca="true">IF(I396="","",SUMIFS(OrderItems_Qty,OrderItems_Type,"PURCHASE",OrderItems_SKU,I396)-SUMIFS(OrderItems_Qty,OrderItems_Type,"SALE",OrderItems_SKU,I396))</f>
        <v>0</v>
      </c>
    </row>
    <row r="397" customFormat="false" ht="15" hidden="false" customHeight="false" outlineLevel="0" collapsed="false">
      <c r="I397" s="82"/>
      <c r="K397" s="83"/>
      <c r="L397" s="84"/>
      <c r="N397" s="84"/>
      <c r="P397" s="0" t="n">
        <f aca="true">IF(I397="","",SUMIFS(OrderItems_Qty,OrderItems_Type,"PURCHASE",OrderItems_SKU,I397)-SUMIFS(OrderItems_Qty,OrderItems_Type,"SALE",OrderItems_SKU,I397))</f>
        <v>0</v>
      </c>
    </row>
    <row r="398" customFormat="false" ht="15" hidden="false" customHeight="false" outlineLevel="0" collapsed="false">
      <c r="I398" s="82"/>
      <c r="K398" s="83"/>
      <c r="L398" s="84"/>
      <c r="N398" s="84"/>
      <c r="P398" s="0" t="n">
        <f aca="true">IF(I398="","",SUMIFS(OrderItems_Qty,OrderItems_Type,"PURCHASE",OrderItems_SKU,I398)-SUMIFS(OrderItems_Qty,OrderItems_Type,"SALE",OrderItems_SKU,I398))</f>
        <v>0</v>
      </c>
    </row>
    <row r="399" customFormat="false" ht="15" hidden="false" customHeight="false" outlineLevel="0" collapsed="false">
      <c r="I399" s="82"/>
      <c r="K399" s="83"/>
      <c r="L399" s="84"/>
      <c r="N399" s="84"/>
      <c r="P399" s="0" t="n">
        <f aca="true">IF(I399="","",SUMIFS(OrderItems_Qty,OrderItems_Type,"PURCHASE",OrderItems_SKU,I399)-SUMIFS(OrderItems_Qty,OrderItems_Type,"SALE",OrderItems_SKU,I399))</f>
        <v>0</v>
      </c>
    </row>
    <row r="400" customFormat="false" ht="15" hidden="false" customHeight="false" outlineLevel="0" collapsed="false">
      <c r="I400" s="82"/>
      <c r="K400" s="83"/>
      <c r="L400" s="84"/>
      <c r="N400" s="84"/>
      <c r="P400" s="0" t="n">
        <f aca="true">IF(I400="","",SUMIFS(OrderItems_Qty,OrderItems_Type,"PURCHASE",OrderItems_SKU,I400)-SUMIFS(OrderItems_Qty,OrderItems_Type,"SALE",OrderItems_SKU,I400))</f>
        <v>0</v>
      </c>
    </row>
    <row r="401" customFormat="false" ht="15" hidden="false" customHeight="false" outlineLevel="0" collapsed="false">
      <c r="I401" s="82"/>
      <c r="K401" s="83"/>
      <c r="L401" s="84"/>
      <c r="N401" s="84"/>
      <c r="P401" s="0" t="n">
        <f aca="true">IF(I401="","",SUMIFS(OrderItems_Qty,OrderItems_Type,"PURCHASE",OrderItems_SKU,I401)-SUMIFS(OrderItems_Qty,OrderItems_Type,"SALE",OrderItems_SKU,I401))</f>
        <v>0</v>
      </c>
    </row>
    <row r="402" customFormat="false" ht="15" hidden="false" customHeight="false" outlineLevel="0" collapsed="false">
      <c r="I402" s="82"/>
      <c r="K402" s="83"/>
      <c r="L402" s="84"/>
      <c r="N402" s="84"/>
      <c r="P402" s="0" t="n">
        <f aca="true">IF(I402="","",SUMIFS(OrderItems_Qty,OrderItems_Type,"PURCHASE",OrderItems_SKU,I402)-SUMIFS(OrderItems_Qty,OrderItems_Type,"SALE",OrderItems_SKU,I402))</f>
        <v>0</v>
      </c>
    </row>
    <row r="403" customFormat="false" ht="15" hidden="false" customHeight="false" outlineLevel="0" collapsed="false">
      <c r="I403" s="82"/>
      <c r="K403" s="83"/>
      <c r="L403" s="84"/>
      <c r="N403" s="84"/>
      <c r="P403" s="0" t="n">
        <f aca="true">IF(I403="","",SUMIFS(OrderItems_Qty,OrderItems_Type,"PURCHASE",OrderItems_SKU,I403)-SUMIFS(OrderItems_Qty,OrderItems_Type,"SALE",OrderItems_SKU,I403))</f>
        <v>0</v>
      </c>
    </row>
    <row r="404" customFormat="false" ht="15" hidden="false" customHeight="false" outlineLevel="0" collapsed="false">
      <c r="I404" s="82"/>
      <c r="K404" s="83"/>
      <c r="L404" s="84"/>
      <c r="N404" s="84"/>
      <c r="P404" s="0" t="n">
        <f aca="true">IF(I404="","",SUMIFS(OrderItems_Qty,OrderItems_Type,"PURCHASE",OrderItems_SKU,I404)-SUMIFS(OrderItems_Qty,OrderItems_Type,"SALE",OrderItems_SKU,I404))</f>
        <v>0</v>
      </c>
    </row>
    <row r="405" customFormat="false" ht="15" hidden="false" customHeight="false" outlineLevel="0" collapsed="false">
      <c r="I405" s="82"/>
      <c r="K405" s="83"/>
      <c r="L405" s="84"/>
      <c r="N405" s="84"/>
      <c r="P405" s="0" t="n">
        <f aca="true">IF(I405="","",SUMIFS(OrderItems_Qty,OrderItems_Type,"PURCHASE",OrderItems_SKU,I405)-SUMIFS(OrderItems_Qty,OrderItems_Type,"SALE",OrderItems_SKU,I405))</f>
        <v>0</v>
      </c>
    </row>
    <row r="406" customFormat="false" ht="15" hidden="false" customHeight="false" outlineLevel="0" collapsed="false">
      <c r="I406" s="82"/>
      <c r="K406" s="83"/>
      <c r="L406" s="84"/>
      <c r="N406" s="84"/>
      <c r="P406" s="0" t="n">
        <f aca="true">IF(I406="","",SUMIFS(OrderItems_Qty,OrderItems_Type,"PURCHASE",OrderItems_SKU,I406)-SUMIFS(OrderItems_Qty,OrderItems_Type,"SALE",OrderItems_SKU,I406))</f>
        <v>0</v>
      </c>
    </row>
    <row r="407" customFormat="false" ht="15" hidden="false" customHeight="false" outlineLevel="0" collapsed="false">
      <c r="I407" s="82"/>
      <c r="K407" s="83"/>
      <c r="L407" s="84"/>
      <c r="N407" s="84"/>
      <c r="P407" s="0" t="n">
        <f aca="true">IF(I407="","",SUMIFS(OrderItems_Qty,OrderItems_Type,"PURCHASE",OrderItems_SKU,I407)-SUMIFS(OrderItems_Qty,OrderItems_Type,"SALE",OrderItems_SKU,I407))</f>
        <v>0</v>
      </c>
    </row>
    <row r="408" customFormat="false" ht="15" hidden="false" customHeight="false" outlineLevel="0" collapsed="false">
      <c r="I408" s="82"/>
      <c r="K408" s="83"/>
      <c r="L408" s="84"/>
      <c r="N408" s="84"/>
      <c r="P408" s="0" t="n">
        <f aca="true">IF(I408="","",SUMIFS(OrderItems_Qty,OrderItems_Type,"PURCHASE",OrderItems_SKU,I408)-SUMIFS(OrderItems_Qty,OrderItems_Type,"SALE",OrderItems_SKU,I408))</f>
        <v>0</v>
      </c>
    </row>
    <row r="409" customFormat="false" ht="15" hidden="false" customHeight="false" outlineLevel="0" collapsed="false">
      <c r="I409" s="82"/>
      <c r="K409" s="83"/>
      <c r="L409" s="84"/>
      <c r="N409" s="84"/>
      <c r="P409" s="0" t="n">
        <f aca="true">IF(I409="","",SUMIFS(OrderItems_Qty,OrderItems_Type,"PURCHASE",OrderItems_SKU,I409)-SUMIFS(OrderItems_Qty,OrderItems_Type,"SALE",OrderItems_SKU,I409))</f>
        <v>0</v>
      </c>
    </row>
    <row r="410" customFormat="false" ht="15" hidden="false" customHeight="false" outlineLevel="0" collapsed="false">
      <c r="I410" s="82"/>
      <c r="K410" s="83"/>
      <c r="L410" s="84"/>
      <c r="N410" s="84"/>
      <c r="P410" s="0" t="n">
        <f aca="true">IF(I410="","",SUMIFS(OrderItems_Qty,OrderItems_Type,"PURCHASE",OrderItems_SKU,I410)-SUMIFS(OrderItems_Qty,OrderItems_Type,"SALE",OrderItems_SKU,I410))</f>
        <v>0</v>
      </c>
    </row>
    <row r="411" customFormat="false" ht="15" hidden="false" customHeight="false" outlineLevel="0" collapsed="false">
      <c r="I411" s="82"/>
      <c r="K411" s="83"/>
      <c r="L411" s="84"/>
      <c r="N411" s="84"/>
      <c r="P411" s="0" t="n">
        <f aca="true">IF(I411="","",SUMIFS(OrderItems_Qty,OrderItems_Type,"PURCHASE",OrderItems_SKU,I411)-SUMIFS(OrderItems_Qty,OrderItems_Type,"SALE",OrderItems_SKU,I411))</f>
        <v>0</v>
      </c>
    </row>
    <row r="412" customFormat="false" ht="15" hidden="false" customHeight="false" outlineLevel="0" collapsed="false">
      <c r="I412" s="82"/>
      <c r="K412" s="83"/>
      <c r="L412" s="84"/>
      <c r="N412" s="84"/>
      <c r="P412" s="0" t="n">
        <f aca="true">IF(I412="","",SUMIFS(OrderItems_Qty,OrderItems_Type,"PURCHASE",OrderItems_SKU,I412)-SUMIFS(OrderItems_Qty,OrderItems_Type,"SALE",OrderItems_SKU,I412))</f>
        <v>0</v>
      </c>
    </row>
    <row r="413" customFormat="false" ht="15" hidden="false" customHeight="false" outlineLevel="0" collapsed="false">
      <c r="I413" s="82"/>
      <c r="K413" s="83"/>
      <c r="L413" s="84"/>
      <c r="N413" s="84"/>
      <c r="P413" s="0" t="n">
        <f aca="true">IF(I413="","",SUMIFS(OrderItems_Qty,OrderItems_Type,"PURCHASE",OrderItems_SKU,I413)-SUMIFS(OrderItems_Qty,OrderItems_Type,"SALE",OrderItems_SKU,I413))</f>
        <v>0</v>
      </c>
    </row>
    <row r="414" customFormat="false" ht="15" hidden="false" customHeight="false" outlineLevel="0" collapsed="false">
      <c r="I414" s="82"/>
      <c r="K414" s="83"/>
      <c r="L414" s="84"/>
      <c r="N414" s="84"/>
      <c r="P414" s="0" t="n">
        <f aca="true">IF(I414="","",SUMIFS(OrderItems_Qty,OrderItems_Type,"PURCHASE",OrderItems_SKU,I414)-SUMIFS(OrderItems_Qty,OrderItems_Type,"SALE",OrderItems_SKU,I414))</f>
        <v>0</v>
      </c>
    </row>
    <row r="415" customFormat="false" ht="15" hidden="false" customHeight="false" outlineLevel="0" collapsed="false">
      <c r="I415" s="82"/>
      <c r="K415" s="83"/>
      <c r="L415" s="84"/>
      <c r="N415" s="84"/>
      <c r="P415" s="0" t="n">
        <f aca="true">IF(I415="","",SUMIFS(OrderItems_Qty,OrderItems_Type,"PURCHASE",OrderItems_SKU,I415)-SUMIFS(OrderItems_Qty,OrderItems_Type,"SALE",OrderItems_SKU,I415))</f>
        <v>0</v>
      </c>
    </row>
    <row r="416" customFormat="false" ht="15" hidden="false" customHeight="false" outlineLevel="0" collapsed="false">
      <c r="I416" s="82"/>
      <c r="K416" s="83"/>
      <c r="L416" s="84"/>
      <c r="N416" s="84"/>
      <c r="P416" s="0" t="n">
        <f aca="true">IF(I416="","",SUMIFS(OrderItems_Qty,OrderItems_Type,"PURCHASE",OrderItems_SKU,I416)-SUMIFS(OrderItems_Qty,OrderItems_Type,"SALE",OrderItems_SKU,I416))</f>
        <v>0</v>
      </c>
    </row>
    <row r="417" customFormat="false" ht="15" hidden="false" customHeight="false" outlineLevel="0" collapsed="false">
      <c r="I417" s="82"/>
      <c r="K417" s="83"/>
      <c r="L417" s="84"/>
      <c r="N417" s="84"/>
      <c r="P417" s="0" t="n">
        <f aca="true">IF(I417="","",SUMIFS(OrderItems_Qty,OrderItems_Type,"PURCHASE",OrderItems_SKU,I417)-SUMIFS(OrderItems_Qty,OrderItems_Type,"SALE",OrderItems_SKU,I417))</f>
        <v>0</v>
      </c>
    </row>
    <row r="418" customFormat="false" ht="15" hidden="false" customHeight="false" outlineLevel="0" collapsed="false">
      <c r="I418" s="82"/>
      <c r="K418" s="83"/>
      <c r="L418" s="84"/>
      <c r="N418" s="84"/>
      <c r="P418" s="0" t="n">
        <f aca="true">IF(I418="","",SUMIFS(OrderItems_Qty,OrderItems_Type,"PURCHASE",OrderItems_SKU,I418)-SUMIFS(OrderItems_Qty,OrderItems_Type,"SALE",OrderItems_SKU,I418))</f>
        <v>0</v>
      </c>
    </row>
    <row r="419" customFormat="false" ht="15" hidden="false" customHeight="false" outlineLevel="0" collapsed="false">
      <c r="I419" s="82"/>
      <c r="K419" s="83"/>
      <c r="L419" s="84"/>
      <c r="N419" s="84"/>
      <c r="P419" s="0" t="n">
        <f aca="true">IF(I419="","",SUMIFS(OrderItems_Qty,OrderItems_Type,"PURCHASE",OrderItems_SKU,I419)-SUMIFS(OrderItems_Qty,OrderItems_Type,"SALE",OrderItems_SKU,I419))</f>
        <v>0</v>
      </c>
    </row>
    <row r="420" customFormat="false" ht="15" hidden="false" customHeight="false" outlineLevel="0" collapsed="false">
      <c r="I420" s="82"/>
      <c r="K420" s="83"/>
      <c r="L420" s="84"/>
      <c r="N420" s="84"/>
      <c r="P420" s="0" t="n">
        <f aca="true">IF(I420="","",SUMIFS(OrderItems_Qty,OrderItems_Type,"PURCHASE",OrderItems_SKU,I420)-SUMIFS(OrderItems_Qty,OrderItems_Type,"SALE",OrderItems_SKU,I420))</f>
        <v>0</v>
      </c>
    </row>
    <row r="421" customFormat="false" ht="15" hidden="false" customHeight="false" outlineLevel="0" collapsed="false">
      <c r="I421" s="82"/>
      <c r="K421" s="83"/>
      <c r="L421" s="84"/>
      <c r="N421" s="84"/>
      <c r="P421" s="0" t="n">
        <f aca="true">IF(I421="","",SUMIFS(OrderItems_Qty,OrderItems_Type,"PURCHASE",OrderItems_SKU,I421)-SUMIFS(OrderItems_Qty,OrderItems_Type,"SALE",OrderItems_SKU,I421))</f>
        <v>0</v>
      </c>
    </row>
    <row r="422" customFormat="false" ht="15" hidden="false" customHeight="false" outlineLevel="0" collapsed="false">
      <c r="I422" s="82"/>
      <c r="K422" s="83"/>
      <c r="L422" s="84"/>
      <c r="N422" s="84"/>
      <c r="P422" s="0" t="n">
        <f aca="true">IF(I422="","",SUMIFS(OrderItems_Qty,OrderItems_Type,"PURCHASE",OrderItems_SKU,I422)-SUMIFS(OrderItems_Qty,OrderItems_Type,"SALE",OrderItems_SKU,I422))</f>
        <v>0</v>
      </c>
    </row>
    <row r="423" customFormat="false" ht="15" hidden="false" customHeight="false" outlineLevel="0" collapsed="false">
      <c r="I423" s="82"/>
      <c r="K423" s="83"/>
      <c r="L423" s="84"/>
      <c r="N423" s="84"/>
      <c r="P423" s="0" t="n">
        <f aca="true">IF(I423="","",SUMIFS(OrderItems_Qty,OrderItems_Type,"PURCHASE",OrderItems_SKU,I423)-SUMIFS(OrderItems_Qty,OrderItems_Type,"SALE",OrderItems_SKU,I423))</f>
        <v>0</v>
      </c>
    </row>
    <row r="424" customFormat="false" ht="15" hidden="false" customHeight="false" outlineLevel="0" collapsed="false">
      <c r="I424" s="82"/>
      <c r="K424" s="83"/>
      <c r="L424" s="84"/>
      <c r="N424" s="84"/>
      <c r="P424" s="0" t="n">
        <f aca="true">IF(I424="","",SUMIFS(OrderItems_Qty,OrderItems_Type,"PURCHASE",OrderItems_SKU,I424)-SUMIFS(OrderItems_Qty,OrderItems_Type,"SALE",OrderItems_SKU,I424))</f>
        <v>0</v>
      </c>
    </row>
    <row r="425" customFormat="false" ht="15" hidden="false" customHeight="false" outlineLevel="0" collapsed="false">
      <c r="I425" s="82"/>
      <c r="K425" s="83"/>
      <c r="L425" s="84"/>
      <c r="N425" s="84"/>
      <c r="P425" s="0" t="n">
        <f aca="true">IF(I425="","",SUMIFS(OrderItems_Qty,OrderItems_Type,"PURCHASE",OrderItems_SKU,I425)-SUMIFS(OrderItems_Qty,OrderItems_Type,"SALE",OrderItems_SKU,I425))</f>
        <v>0</v>
      </c>
    </row>
    <row r="426" customFormat="false" ht="15" hidden="false" customHeight="false" outlineLevel="0" collapsed="false">
      <c r="I426" s="82"/>
      <c r="K426" s="83"/>
      <c r="L426" s="84"/>
      <c r="N426" s="84"/>
      <c r="P426" s="0" t="n">
        <f aca="true">IF(I426="","",SUMIFS(OrderItems_Qty,OrderItems_Type,"PURCHASE",OrderItems_SKU,I426)-SUMIFS(OrderItems_Qty,OrderItems_Type,"SALE",OrderItems_SKU,I426))</f>
        <v>0</v>
      </c>
    </row>
    <row r="427" customFormat="false" ht="15" hidden="false" customHeight="false" outlineLevel="0" collapsed="false">
      <c r="I427" s="82"/>
      <c r="K427" s="83"/>
      <c r="L427" s="84"/>
      <c r="N427" s="84"/>
      <c r="P427" s="0" t="n">
        <f aca="true">IF(I427="","",SUMIFS(OrderItems_Qty,OrderItems_Type,"PURCHASE",OrderItems_SKU,I427)-SUMIFS(OrderItems_Qty,OrderItems_Type,"SALE",OrderItems_SKU,I427))</f>
        <v>0</v>
      </c>
    </row>
    <row r="428" customFormat="false" ht="15" hidden="false" customHeight="false" outlineLevel="0" collapsed="false">
      <c r="I428" s="82"/>
      <c r="K428" s="83"/>
      <c r="L428" s="84"/>
      <c r="N428" s="84"/>
      <c r="P428" s="0" t="n">
        <f aca="true">IF(I428="","",SUMIFS(OrderItems_Qty,OrderItems_Type,"PURCHASE",OrderItems_SKU,I428)-SUMIFS(OrderItems_Qty,OrderItems_Type,"SALE",OrderItems_SKU,I428))</f>
        <v>0</v>
      </c>
    </row>
    <row r="429" customFormat="false" ht="15" hidden="false" customHeight="false" outlineLevel="0" collapsed="false">
      <c r="I429" s="82"/>
      <c r="K429" s="83"/>
      <c r="L429" s="84"/>
      <c r="N429" s="84"/>
      <c r="P429" s="0" t="n">
        <f aca="true">IF(I429="","",SUMIFS(OrderItems_Qty,OrderItems_Type,"PURCHASE",OrderItems_SKU,I429)-SUMIFS(OrderItems_Qty,OrderItems_Type,"SALE",OrderItems_SKU,I429))</f>
        <v>0</v>
      </c>
    </row>
    <row r="430" customFormat="false" ht="15" hidden="false" customHeight="false" outlineLevel="0" collapsed="false">
      <c r="I430" s="82"/>
      <c r="K430" s="83"/>
      <c r="L430" s="84"/>
      <c r="N430" s="84"/>
      <c r="P430" s="0" t="n">
        <f aca="true">IF(I430="","",SUMIFS(OrderItems_Qty,OrderItems_Type,"PURCHASE",OrderItems_SKU,I430)-SUMIFS(OrderItems_Qty,OrderItems_Type,"SALE",OrderItems_SKU,I430))</f>
        <v>0</v>
      </c>
    </row>
    <row r="431" customFormat="false" ht="15" hidden="false" customHeight="false" outlineLevel="0" collapsed="false">
      <c r="I431" s="82"/>
      <c r="K431" s="83"/>
      <c r="L431" s="84"/>
      <c r="N431" s="84"/>
      <c r="P431" s="0" t="n">
        <f aca="true">IF(I431="","",SUMIFS(OrderItems_Qty,OrderItems_Type,"PURCHASE",OrderItems_SKU,I431)-SUMIFS(OrderItems_Qty,OrderItems_Type,"SALE",OrderItems_SKU,I431))</f>
        <v>0</v>
      </c>
    </row>
    <row r="432" customFormat="false" ht="15" hidden="false" customHeight="false" outlineLevel="0" collapsed="false">
      <c r="I432" s="82"/>
      <c r="K432" s="83"/>
      <c r="L432" s="84"/>
      <c r="N432" s="84"/>
      <c r="P432" s="0" t="n">
        <f aca="true">IF(I432="","",SUMIFS(OrderItems_Qty,OrderItems_Type,"PURCHASE",OrderItems_SKU,I432)-SUMIFS(OrderItems_Qty,OrderItems_Type,"SALE",OrderItems_SKU,I432))</f>
        <v>0</v>
      </c>
    </row>
    <row r="433" customFormat="false" ht="15" hidden="false" customHeight="false" outlineLevel="0" collapsed="false">
      <c r="I433" s="82"/>
      <c r="K433" s="83"/>
      <c r="L433" s="84"/>
      <c r="N433" s="84"/>
      <c r="P433" s="0" t="n">
        <f aca="true">IF(I433="","",SUMIFS(OrderItems_Qty,OrderItems_Type,"PURCHASE",OrderItems_SKU,I433)-SUMIFS(OrderItems_Qty,OrderItems_Type,"SALE",OrderItems_SKU,I433))</f>
        <v>0</v>
      </c>
    </row>
    <row r="434" customFormat="false" ht="15" hidden="false" customHeight="false" outlineLevel="0" collapsed="false">
      <c r="I434" s="82"/>
      <c r="K434" s="83"/>
      <c r="L434" s="84"/>
      <c r="N434" s="84"/>
      <c r="P434" s="0" t="n">
        <f aca="true">IF(I434="","",SUMIFS(OrderItems_Qty,OrderItems_Type,"PURCHASE",OrderItems_SKU,I434)-SUMIFS(OrderItems_Qty,OrderItems_Type,"SALE",OrderItems_SKU,I434))</f>
        <v>0</v>
      </c>
    </row>
    <row r="435" customFormat="false" ht="15" hidden="false" customHeight="false" outlineLevel="0" collapsed="false">
      <c r="I435" s="82"/>
      <c r="K435" s="83"/>
      <c r="L435" s="84"/>
      <c r="N435" s="84"/>
      <c r="P435" s="0" t="n">
        <f aca="true">IF(I435="","",SUMIFS(OrderItems_Qty,OrderItems_Type,"PURCHASE",OrderItems_SKU,I435)-SUMIFS(OrderItems_Qty,OrderItems_Type,"SALE",OrderItems_SKU,I435))</f>
        <v>0</v>
      </c>
    </row>
    <row r="436" customFormat="false" ht="15" hidden="false" customHeight="false" outlineLevel="0" collapsed="false">
      <c r="I436" s="82"/>
      <c r="K436" s="83"/>
      <c r="L436" s="84"/>
      <c r="N436" s="84"/>
      <c r="P436" s="0" t="n">
        <f aca="true">IF(I436="","",SUMIFS(OrderItems_Qty,OrderItems_Type,"PURCHASE",OrderItems_SKU,I436)-SUMIFS(OrderItems_Qty,OrderItems_Type,"SALE",OrderItems_SKU,I436))</f>
        <v>0</v>
      </c>
    </row>
    <row r="437" customFormat="false" ht="15" hidden="false" customHeight="false" outlineLevel="0" collapsed="false">
      <c r="I437" s="82"/>
      <c r="K437" s="83"/>
      <c r="L437" s="84"/>
      <c r="N437" s="84"/>
      <c r="P437" s="0" t="n">
        <f aca="true">IF(I437="","",SUMIFS(OrderItems_Qty,OrderItems_Type,"PURCHASE",OrderItems_SKU,I437)-SUMIFS(OrderItems_Qty,OrderItems_Type,"SALE",OrderItems_SKU,I437))</f>
        <v>0</v>
      </c>
    </row>
    <row r="438" customFormat="false" ht="15" hidden="false" customHeight="false" outlineLevel="0" collapsed="false">
      <c r="I438" s="82"/>
      <c r="K438" s="83"/>
      <c r="L438" s="84"/>
      <c r="N438" s="84"/>
      <c r="P438" s="0" t="n">
        <f aca="true">IF(I438="","",SUMIFS(OrderItems_Qty,OrderItems_Type,"PURCHASE",OrderItems_SKU,I438)-SUMIFS(OrderItems_Qty,OrderItems_Type,"SALE",OrderItems_SKU,I438))</f>
        <v>0</v>
      </c>
    </row>
    <row r="439" customFormat="false" ht="15" hidden="false" customHeight="false" outlineLevel="0" collapsed="false">
      <c r="I439" s="82"/>
      <c r="K439" s="83"/>
      <c r="L439" s="84"/>
      <c r="N439" s="84"/>
      <c r="P439" s="0" t="n">
        <f aca="true">IF(I439="","",SUMIFS(OrderItems_Qty,OrderItems_Type,"PURCHASE",OrderItems_SKU,I439)-SUMIFS(OrderItems_Qty,OrderItems_Type,"SALE",OrderItems_SKU,I439))</f>
        <v>0</v>
      </c>
    </row>
    <row r="440" customFormat="false" ht="15" hidden="false" customHeight="false" outlineLevel="0" collapsed="false">
      <c r="I440" s="82"/>
      <c r="K440" s="83"/>
      <c r="L440" s="84"/>
      <c r="N440" s="84"/>
      <c r="P440" s="0" t="n">
        <f aca="true">IF(I440="","",SUMIFS(OrderItems_Qty,OrderItems_Type,"PURCHASE",OrderItems_SKU,I440)-SUMIFS(OrderItems_Qty,OrderItems_Type,"SALE",OrderItems_SKU,I440))</f>
        <v>0</v>
      </c>
    </row>
    <row r="441" customFormat="false" ht="15" hidden="false" customHeight="false" outlineLevel="0" collapsed="false">
      <c r="I441" s="82"/>
      <c r="K441" s="83"/>
      <c r="L441" s="84"/>
      <c r="N441" s="84"/>
      <c r="P441" s="0" t="n">
        <f aca="true">IF(I441="","",SUMIFS(OrderItems_Qty,OrderItems_Type,"PURCHASE",OrderItems_SKU,I441)-SUMIFS(OrderItems_Qty,OrderItems_Type,"SALE",OrderItems_SKU,I441))</f>
        <v>0</v>
      </c>
    </row>
    <row r="442" customFormat="false" ht="15" hidden="false" customHeight="false" outlineLevel="0" collapsed="false">
      <c r="I442" s="82"/>
      <c r="K442" s="83"/>
      <c r="L442" s="84"/>
      <c r="N442" s="84"/>
      <c r="P442" s="0" t="n">
        <f aca="true">IF(I442="","",SUMIFS(OrderItems_Qty,OrderItems_Type,"PURCHASE",OrderItems_SKU,I442)-SUMIFS(OrderItems_Qty,OrderItems_Type,"SALE",OrderItems_SKU,I442))</f>
        <v>0</v>
      </c>
    </row>
    <row r="443" customFormat="false" ht="15" hidden="false" customHeight="false" outlineLevel="0" collapsed="false">
      <c r="I443" s="82"/>
      <c r="K443" s="83"/>
      <c r="L443" s="84"/>
      <c r="N443" s="84"/>
      <c r="P443" s="0" t="n">
        <f aca="true">IF(I443="","",SUMIFS(OrderItems_Qty,OrderItems_Type,"PURCHASE",OrderItems_SKU,I443)-SUMIFS(OrderItems_Qty,OrderItems_Type,"SALE",OrderItems_SKU,I443))</f>
        <v>0</v>
      </c>
    </row>
    <row r="444" customFormat="false" ht="15" hidden="false" customHeight="false" outlineLevel="0" collapsed="false">
      <c r="I444" s="82"/>
      <c r="K444" s="83"/>
      <c r="L444" s="84"/>
      <c r="N444" s="84"/>
      <c r="P444" s="0" t="n">
        <f aca="true">IF(I444="","",SUMIFS(OrderItems_Qty,OrderItems_Type,"PURCHASE",OrderItems_SKU,I444)-SUMIFS(OrderItems_Qty,OrderItems_Type,"SALE",OrderItems_SKU,I444))</f>
        <v>0</v>
      </c>
    </row>
    <row r="445" customFormat="false" ht="15" hidden="false" customHeight="false" outlineLevel="0" collapsed="false">
      <c r="I445" s="82"/>
      <c r="K445" s="83"/>
      <c r="L445" s="84"/>
      <c r="N445" s="84"/>
      <c r="P445" s="0" t="n">
        <f aca="true">IF(I445="","",SUMIFS(OrderItems_Qty,OrderItems_Type,"PURCHASE",OrderItems_SKU,I445)-SUMIFS(OrderItems_Qty,OrderItems_Type,"SALE",OrderItems_SKU,I445))</f>
        <v>0</v>
      </c>
    </row>
    <row r="446" customFormat="false" ht="15" hidden="false" customHeight="false" outlineLevel="0" collapsed="false">
      <c r="I446" s="82"/>
      <c r="K446" s="83"/>
      <c r="L446" s="84"/>
      <c r="N446" s="84"/>
      <c r="P446" s="0" t="n">
        <f aca="true">IF(I446="","",SUMIFS(OrderItems_Qty,OrderItems_Type,"PURCHASE",OrderItems_SKU,I446)-SUMIFS(OrderItems_Qty,OrderItems_Type,"SALE",OrderItems_SKU,I446))</f>
        <v>0</v>
      </c>
    </row>
    <row r="447" customFormat="false" ht="15" hidden="false" customHeight="false" outlineLevel="0" collapsed="false">
      <c r="I447" s="82"/>
      <c r="K447" s="83"/>
      <c r="L447" s="84"/>
      <c r="N447" s="84"/>
      <c r="P447" s="0" t="n">
        <f aca="true">IF(I447="","",SUMIFS(OrderItems_Qty,OrderItems_Type,"PURCHASE",OrderItems_SKU,I447)-SUMIFS(OrderItems_Qty,OrderItems_Type,"SALE",OrderItems_SKU,I447))</f>
        <v>0</v>
      </c>
    </row>
    <row r="448" customFormat="false" ht="15" hidden="false" customHeight="false" outlineLevel="0" collapsed="false">
      <c r="I448" s="82"/>
      <c r="K448" s="83"/>
      <c r="L448" s="84"/>
      <c r="N448" s="84"/>
      <c r="P448" s="0" t="n">
        <f aca="true">IF(I448="","",SUMIFS(OrderItems_Qty,OrderItems_Type,"PURCHASE",OrderItems_SKU,I448)-SUMIFS(OrderItems_Qty,OrderItems_Type,"SALE",OrderItems_SKU,I448))</f>
        <v>0</v>
      </c>
    </row>
    <row r="449" customFormat="false" ht="15" hidden="false" customHeight="false" outlineLevel="0" collapsed="false">
      <c r="I449" s="82"/>
      <c r="K449" s="83"/>
      <c r="L449" s="84"/>
      <c r="N449" s="84"/>
      <c r="P449" s="0" t="n">
        <f aca="true">IF(I449="","",SUMIFS(OrderItems_Qty,OrderItems_Type,"PURCHASE",OrderItems_SKU,I449)-SUMIFS(OrderItems_Qty,OrderItems_Type,"SALE",OrderItems_SKU,I449))</f>
        <v>0</v>
      </c>
    </row>
    <row r="450" customFormat="false" ht="15" hidden="false" customHeight="false" outlineLevel="0" collapsed="false">
      <c r="I450" s="82"/>
      <c r="K450" s="83"/>
      <c r="L450" s="84"/>
      <c r="N450" s="84"/>
      <c r="P450" s="0" t="n">
        <f aca="true">IF(I450="","",SUMIFS(OrderItems_Qty,OrderItems_Type,"PURCHASE",OrderItems_SKU,I450)-SUMIFS(OrderItems_Qty,OrderItems_Type,"SALE",OrderItems_SKU,I450))</f>
        <v>0</v>
      </c>
    </row>
    <row r="451" customFormat="false" ht="15" hidden="false" customHeight="false" outlineLevel="0" collapsed="false">
      <c r="I451" s="82"/>
      <c r="K451" s="83"/>
      <c r="L451" s="84"/>
      <c r="N451" s="84"/>
      <c r="P451" s="0" t="n">
        <f aca="true">IF(I451="","",SUMIFS(OrderItems_Qty,OrderItems_Type,"PURCHASE",OrderItems_SKU,I451)-SUMIFS(OrderItems_Qty,OrderItems_Type,"SALE",OrderItems_SKU,I451))</f>
        <v>0</v>
      </c>
    </row>
    <row r="452" customFormat="false" ht="15" hidden="false" customHeight="false" outlineLevel="0" collapsed="false">
      <c r="I452" s="82"/>
      <c r="K452" s="83"/>
      <c r="L452" s="84"/>
      <c r="N452" s="84"/>
      <c r="P452" s="0" t="n">
        <f aca="true">IF(I452="","",SUMIFS(OrderItems_Qty,OrderItems_Type,"PURCHASE",OrderItems_SKU,I452)-SUMIFS(OrderItems_Qty,OrderItems_Type,"SALE",OrderItems_SKU,I452))</f>
        <v>0</v>
      </c>
    </row>
    <row r="453" customFormat="false" ht="15" hidden="false" customHeight="false" outlineLevel="0" collapsed="false">
      <c r="I453" s="82"/>
      <c r="K453" s="83"/>
      <c r="L453" s="84"/>
      <c r="N453" s="84"/>
      <c r="P453" s="0" t="n">
        <f aca="true">IF(I453="","",SUMIFS(OrderItems_Qty,OrderItems_Type,"PURCHASE",OrderItems_SKU,I453)-SUMIFS(OrderItems_Qty,OrderItems_Type,"SALE",OrderItems_SKU,I453))</f>
        <v>0</v>
      </c>
    </row>
    <row r="454" customFormat="false" ht="15" hidden="false" customHeight="false" outlineLevel="0" collapsed="false">
      <c r="I454" s="82"/>
      <c r="K454" s="83"/>
      <c r="L454" s="84"/>
      <c r="N454" s="84"/>
      <c r="P454" s="0" t="n">
        <f aca="true">IF(I454="","",SUMIFS(OrderItems_Qty,OrderItems_Type,"PURCHASE",OrderItems_SKU,I454)-SUMIFS(OrderItems_Qty,OrderItems_Type,"SALE",OrderItems_SKU,I454))</f>
        <v>0</v>
      </c>
    </row>
    <row r="455" customFormat="false" ht="15" hidden="false" customHeight="false" outlineLevel="0" collapsed="false">
      <c r="I455" s="82"/>
      <c r="K455" s="83"/>
      <c r="L455" s="84"/>
      <c r="N455" s="84"/>
      <c r="P455" s="0" t="n">
        <f aca="true">IF(I455="","",SUMIFS(OrderItems_Qty,OrderItems_Type,"PURCHASE",OrderItems_SKU,I455)-SUMIFS(OrderItems_Qty,OrderItems_Type,"SALE",OrderItems_SKU,I455))</f>
        <v>0</v>
      </c>
    </row>
    <row r="456" customFormat="false" ht="15" hidden="false" customHeight="false" outlineLevel="0" collapsed="false">
      <c r="I456" s="82"/>
      <c r="K456" s="83"/>
      <c r="L456" s="84"/>
      <c r="N456" s="84"/>
      <c r="P456" s="0" t="n">
        <f aca="true">IF(I456="","",SUMIFS(OrderItems_Qty,OrderItems_Type,"PURCHASE",OrderItems_SKU,I456)-SUMIFS(OrderItems_Qty,OrderItems_Type,"SALE",OrderItems_SKU,I456))</f>
        <v>0</v>
      </c>
    </row>
    <row r="457" customFormat="false" ht="15" hidden="false" customHeight="false" outlineLevel="0" collapsed="false">
      <c r="I457" s="82"/>
      <c r="K457" s="83"/>
      <c r="L457" s="84"/>
      <c r="N457" s="84"/>
      <c r="P457" s="0" t="n">
        <f aca="true">IF(I457="","",SUMIFS(OrderItems_Qty,OrderItems_Type,"PURCHASE",OrderItems_SKU,I457)-SUMIFS(OrderItems_Qty,OrderItems_Type,"SALE",OrderItems_SKU,I457))</f>
        <v>0</v>
      </c>
    </row>
    <row r="458" customFormat="false" ht="15" hidden="false" customHeight="false" outlineLevel="0" collapsed="false">
      <c r="I458" s="82"/>
      <c r="K458" s="83"/>
      <c r="L458" s="84"/>
      <c r="N458" s="84"/>
      <c r="P458" s="0" t="n">
        <f aca="true">IF(I458="","",SUMIFS(OrderItems_Qty,OrderItems_Type,"PURCHASE",OrderItems_SKU,I458)-SUMIFS(OrderItems_Qty,OrderItems_Type,"SALE",OrderItems_SKU,I458))</f>
        <v>0</v>
      </c>
    </row>
    <row r="459" customFormat="false" ht="15" hidden="false" customHeight="false" outlineLevel="0" collapsed="false">
      <c r="I459" s="82"/>
      <c r="K459" s="83"/>
      <c r="L459" s="84"/>
      <c r="N459" s="84"/>
      <c r="P459" s="0" t="n">
        <f aca="true">IF(I459="","",SUMIFS(OrderItems_Qty,OrderItems_Type,"PURCHASE",OrderItems_SKU,I459)-SUMIFS(OrderItems_Qty,OrderItems_Type,"SALE",OrderItems_SKU,I459))</f>
        <v>0</v>
      </c>
    </row>
    <row r="460" customFormat="false" ht="15" hidden="false" customHeight="false" outlineLevel="0" collapsed="false">
      <c r="I460" s="82"/>
      <c r="K460" s="83"/>
      <c r="L460" s="84"/>
      <c r="N460" s="84"/>
      <c r="P460" s="0" t="n">
        <f aca="true">IF(I460="","",SUMIFS(OrderItems_Qty,OrderItems_Type,"PURCHASE",OrderItems_SKU,I460)-SUMIFS(OrderItems_Qty,OrderItems_Type,"SALE",OrderItems_SKU,I460))</f>
        <v>0</v>
      </c>
    </row>
    <row r="461" customFormat="false" ht="15" hidden="false" customHeight="false" outlineLevel="0" collapsed="false">
      <c r="I461" s="82"/>
      <c r="K461" s="83"/>
      <c r="L461" s="84"/>
      <c r="N461" s="84"/>
      <c r="P461" s="0" t="n">
        <f aca="true">IF(I461="","",SUMIFS(OrderItems_Qty,OrderItems_Type,"PURCHASE",OrderItems_SKU,I461)-SUMIFS(OrderItems_Qty,OrderItems_Type,"SALE",OrderItems_SKU,I461))</f>
        <v>0</v>
      </c>
    </row>
    <row r="462" customFormat="false" ht="15" hidden="false" customHeight="false" outlineLevel="0" collapsed="false">
      <c r="I462" s="82"/>
      <c r="K462" s="83"/>
      <c r="L462" s="84"/>
      <c r="N462" s="84"/>
      <c r="P462" s="0" t="n">
        <f aca="true">IF(I462="","",SUMIFS(OrderItems_Qty,OrderItems_Type,"PURCHASE",OrderItems_SKU,I462)-SUMIFS(OrderItems_Qty,OrderItems_Type,"SALE",OrderItems_SKU,I462))</f>
        <v>0</v>
      </c>
    </row>
    <row r="463" customFormat="false" ht="15" hidden="false" customHeight="false" outlineLevel="0" collapsed="false">
      <c r="I463" s="82"/>
      <c r="K463" s="83"/>
      <c r="L463" s="84"/>
      <c r="N463" s="84"/>
      <c r="P463" s="0" t="n">
        <f aca="true">IF(I463="","",SUMIFS(OrderItems_Qty,OrderItems_Type,"PURCHASE",OrderItems_SKU,I463)-SUMIFS(OrderItems_Qty,OrderItems_Type,"SALE",OrderItems_SKU,I463))</f>
        <v>0</v>
      </c>
    </row>
    <row r="464" customFormat="false" ht="15" hidden="false" customHeight="false" outlineLevel="0" collapsed="false">
      <c r="I464" s="82"/>
      <c r="K464" s="83"/>
      <c r="L464" s="84"/>
      <c r="N464" s="84"/>
      <c r="P464" s="0" t="n">
        <f aca="true">IF(I464="","",SUMIFS(OrderItems_Qty,OrderItems_Type,"PURCHASE",OrderItems_SKU,I464)-SUMIFS(OrderItems_Qty,OrderItems_Type,"SALE",OrderItems_SKU,I464))</f>
        <v>0</v>
      </c>
    </row>
    <row r="465" customFormat="false" ht="15" hidden="false" customHeight="false" outlineLevel="0" collapsed="false">
      <c r="I465" s="82"/>
      <c r="K465" s="83"/>
      <c r="L465" s="84"/>
      <c r="N465" s="84"/>
      <c r="P465" s="0" t="n">
        <f aca="true">IF(I465="","",SUMIFS(OrderItems_Qty,OrderItems_Type,"PURCHASE",OrderItems_SKU,I465)-SUMIFS(OrderItems_Qty,OrderItems_Type,"SALE",OrderItems_SKU,I465))</f>
        <v>0</v>
      </c>
    </row>
    <row r="466" customFormat="false" ht="15" hidden="false" customHeight="false" outlineLevel="0" collapsed="false">
      <c r="I466" s="82"/>
      <c r="K466" s="83"/>
      <c r="L466" s="84"/>
      <c r="N466" s="84"/>
      <c r="P466" s="0" t="n">
        <f aca="true">IF(I466="","",SUMIFS(OrderItems_Qty,OrderItems_Type,"PURCHASE",OrderItems_SKU,I466)-SUMIFS(OrderItems_Qty,OrderItems_Type,"SALE",OrderItems_SKU,I466))</f>
        <v>0</v>
      </c>
    </row>
    <row r="467" customFormat="false" ht="15" hidden="false" customHeight="false" outlineLevel="0" collapsed="false">
      <c r="I467" s="82"/>
      <c r="K467" s="83"/>
      <c r="L467" s="84"/>
      <c r="N467" s="84"/>
      <c r="P467" s="0" t="n">
        <f aca="true">IF(I467="","",SUMIFS(OrderItems_Qty,OrderItems_Type,"PURCHASE",OrderItems_SKU,I467)-SUMIFS(OrderItems_Qty,OrderItems_Type,"SALE",OrderItems_SKU,I467))</f>
        <v>0</v>
      </c>
    </row>
    <row r="468" customFormat="false" ht="15" hidden="false" customHeight="false" outlineLevel="0" collapsed="false">
      <c r="I468" s="82"/>
      <c r="K468" s="83"/>
      <c r="L468" s="84"/>
      <c r="N468" s="84"/>
      <c r="P468" s="0" t="n">
        <f aca="true">IF(I468="","",SUMIFS(OrderItems_Qty,OrderItems_Type,"PURCHASE",OrderItems_SKU,I468)-SUMIFS(OrderItems_Qty,OrderItems_Type,"SALE",OrderItems_SKU,I468))</f>
        <v>0</v>
      </c>
    </row>
    <row r="469" customFormat="false" ht="15" hidden="false" customHeight="false" outlineLevel="0" collapsed="false">
      <c r="I469" s="82"/>
      <c r="K469" s="83"/>
      <c r="L469" s="84"/>
      <c r="N469" s="84"/>
      <c r="P469" s="0" t="n">
        <f aca="true">IF(I469="","",SUMIFS(OrderItems_Qty,OrderItems_Type,"PURCHASE",OrderItems_SKU,I469)-SUMIFS(OrderItems_Qty,OrderItems_Type,"SALE",OrderItems_SKU,I469))</f>
        <v>0</v>
      </c>
    </row>
    <row r="470" customFormat="false" ht="15" hidden="false" customHeight="false" outlineLevel="0" collapsed="false">
      <c r="I470" s="82"/>
      <c r="K470" s="83"/>
      <c r="L470" s="84"/>
      <c r="N470" s="84"/>
      <c r="P470" s="0" t="n">
        <f aca="true">IF(I470="","",SUMIFS(OrderItems_Qty,OrderItems_Type,"PURCHASE",OrderItems_SKU,I470)-SUMIFS(OrderItems_Qty,OrderItems_Type,"SALE",OrderItems_SKU,I470))</f>
        <v>0</v>
      </c>
    </row>
    <row r="471" customFormat="false" ht="15" hidden="false" customHeight="false" outlineLevel="0" collapsed="false">
      <c r="I471" s="82"/>
      <c r="K471" s="83"/>
      <c r="L471" s="84"/>
      <c r="N471" s="84"/>
      <c r="P471" s="0" t="n">
        <f aca="true">IF(I471="","",SUMIFS(OrderItems_Qty,OrderItems_Type,"PURCHASE",OrderItems_SKU,I471)-SUMIFS(OrderItems_Qty,OrderItems_Type,"SALE",OrderItems_SKU,I471))</f>
        <v>0</v>
      </c>
    </row>
    <row r="472" customFormat="false" ht="15" hidden="false" customHeight="false" outlineLevel="0" collapsed="false">
      <c r="I472" s="82"/>
      <c r="K472" s="83"/>
      <c r="L472" s="84"/>
      <c r="N472" s="84"/>
      <c r="P472" s="0" t="n">
        <f aca="true">IF(I472="","",SUMIFS(OrderItems_Qty,OrderItems_Type,"PURCHASE",OrderItems_SKU,I472)-SUMIFS(OrderItems_Qty,OrderItems_Type,"SALE",OrderItems_SKU,I472))</f>
        <v>0</v>
      </c>
    </row>
    <row r="473" customFormat="false" ht="15" hidden="false" customHeight="false" outlineLevel="0" collapsed="false">
      <c r="I473" s="82"/>
      <c r="K473" s="83"/>
      <c r="L473" s="84"/>
      <c r="N473" s="84"/>
      <c r="P473" s="0" t="n">
        <f aca="true">IF(I473="","",SUMIFS(OrderItems_Qty,OrderItems_Type,"PURCHASE",OrderItems_SKU,I473)-SUMIFS(OrderItems_Qty,OrderItems_Type,"SALE",OrderItems_SKU,I473))</f>
        <v>0</v>
      </c>
    </row>
    <row r="474" customFormat="false" ht="15" hidden="false" customHeight="false" outlineLevel="0" collapsed="false">
      <c r="I474" s="82"/>
      <c r="K474" s="83"/>
      <c r="L474" s="84"/>
      <c r="N474" s="84"/>
      <c r="P474" s="0" t="n">
        <f aca="true">IF(I474="","",SUMIFS(OrderItems_Qty,OrderItems_Type,"PURCHASE",OrderItems_SKU,I474)-SUMIFS(OrderItems_Qty,OrderItems_Type,"SALE",OrderItems_SKU,I474))</f>
        <v>0</v>
      </c>
    </row>
    <row r="475" customFormat="false" ht="15" hidden="false" customHeight="false" outlineLevel="0" collapsed="false">
      <c r="I475" s="82"/>
      <c r="K475" s="83"/>
      <c r="L475" s="84"/>
      <c r="N475" s="84"/>
      <c r="P475" s="0" t="n">
        <f aca="true">IF(I475="","",SUMIFS(OrderItems_Qty,OrderItems_Type,"PURCHASE",OrderItems_SKU,I475)-SUMIFS(OrderItems_Qty,OrderItems_Type,"SALE",OrderItems_SKU,I475))</f>
        <v>0</v>
      </c>
    </row>
    <row r="476" customFormat="false" ht="15" hidden="false" customHeight="false" outlineLevel="0" collapsed="false">
      <c r="I476" s="82"/>
      <c r="K476" s="83"/>
      <c r="L476" s="84"/>
      <c r="N476" s="84"/>
      <c r="P476" s="0" t="n">
        <f aca="true">IF(I476="","",SUMIFS(OrderItems_Qty,OrderItems_Type,"PURCHASE",OrderItems_SKU,I476)-SUMIFS(OrderItems_Qty,OrderItems_Type,"SALE",OrderItems_SKU,I476))</f>
        <v>0</v>
      </c>
    </row>
    <row r="477" customFormat="false" ht="15" hidden="false" customHeight="false" outlineLevel="0" collapsed="false">
      <c r="I477" s="82"/>
      <c r="K477" s="83"/>
      <c r="L477" s="84"/>
      <c r="N477" s="84"/>
      <c r="P477" s="0" t="n">
        <f aca="true">IF(I477="","",SUMIFS(OrderItems_Qty,OrderItems_Type,"PURCHASE",OrderItems_SKU,I477)-SUMIFS(OrderItems_Qty,OrderItems_Type,"SALE",OrderItems_SKU,I477))</f>
        <v>0</v>
      </c>
    </row>
    <row r="478" customFormat="false" ht="15" hidden="false" customHeight="false" outlineLevel="0" collapsed="false">
      <c r="I478" s="82"/>
      <c r="K478" s="83"/>
      <c r="L478" s="84"/>
      <c r="N478" s="84"/>
      <c r="P478" s="0" t="n">
        <f aca="true">IF(I478="","",SUMIFS(OrderItems_Qty,OrderItems_Type,"PURCHASE",OrderItems_SKU,I478)-SUMIFS(OrderItems_Qty,OrderItems_Type,"SALE",OrderItems_SKU,I478))</f>
        <v>0</v>
      </c>
    </row>
    <row r="479" customFormat="false" ht="15" hidden="false" customHeight="false" outlineLevel="0" collapsed="false">
      <c r="I479" s="82"/>
      <c r="K479" s="83"/>
      <c r="L479" s="84"/>
      <c r="N479" s="84"/>
      <c r="P479" s="0" t="n">
        <f aca="true">IF(I479="","",SUMIFS(OrderItems_Qty,OrderItems_Type,"PURCHASE",OrderItems_SKU,I479)-SUMIFS(OrderItems_Qty,OrderItems_Type,"SALE",OrderItems_SKU,I479))</f>
        <v>0</v>
      </c>
    </row>
    <row r="480" customFormat="false" ht="15" hidden="false" customHeight="false" outlineLevel="0" collapsed="false">
      <c r="I480" s="82"/>
      <c r="K480" s="83"/>
      <c r="L480" s="84"/>
      <c r="N480" s="84"/>
      <c r="P480" s="0" t="n">
        <f aca="true">IF(I480="","",SUMIFS(OrderItems_Qty,OrderItems_Type,"PURCHASE",OrderItems_SKU,I480)-SUMIFS(OrderItems_Qty,OrderItems_Type,"SALE",OrderItems_SKU,I480))</f>
        <v>0</v>
      </c>
    </row>
    <row r="481" customFormat="false" ht="15" hidden="false" customHeight="false" outlineLevel="0" collapsed="false">
      <c r="I481" s="82"/>
      <c r="K481" s="83"/>
      <c r="L481" s="84"/>
      <c r="N481" s="84"/>
      <c r="P481" s="0" t="n">
        <f aca="true">IF(I481="","",SUMIFS(OrderItems_Qty,OrderItems_Type,"PURCHASE",OrderItems_SKU,I481)-SUMIFS(OrderItems_Qty,OrderItems_Type,"SALE",OrderItems_SKU,I481))</f>
        <v>0</v>
      </c>
    </row>
    <row r="482" customFormat="false" ht="15" hidden="false" customHeight="false" outlineLevel="0" collapsed="false">
      <c r="I482" s="82"/>
      <c r="K482" s="83"/>
      <c r="L482" s="84"/>
      <c r="N482" s="84"/>
      <c r="P482" s="0" t="n">
        <f aca="true">IF(I482="","",SUMIFS(OrderItems_Qty,OrderItems_Type,"PURCHASE",OrderItems_SKU,I482)-SUMIFS(OrderItems_Qty,OrderItems_Type,"SALE",OrderItems_SKU,I482))</f>
        <v>0</v>
      </c>
    </row>
    <row r="483" customFormat="false" ht="15" hidden="false" customHeight="false" outlineLevel="0" collapsed="false">
      <c r="I483" s="82"/>
      <c r="K483" s="83"/>
      <c r="L483" s="84"/>
      <c r="N483" s="84"/>
      <c r="P483" s="0" t="n">
        <f aca="true">IF(I483="","",SUMIFS(OrderItems_Qty,OrderItems_Type,"PURCHASE",OrderItems_SKU,I483)-SUMIFS(OrderItems_Qty,OrderItems_Type,"SALE",OrderItems_SKU,I483))</f>
        <v>0</v>
      </c>
    </row>
    <row r="484" customFormat="false" ht="15" hidden="false" customHeight="false" outlineLevel="0" collapsed="false">
      <c r="I484" s="82"/>
      <c r="K484" s="83"/>
      <c r="L484" s="84"/>
      <c r="N484" s="84"/>
      <c r="P484" s="0" t="n">
        <f aca="true">IF(I484="","",SUMIFS(OrderItems_Qty,OrderItems_Type,"PURCHASE",OrderItems_SKU,I484)-SUMIFS(OrderItems_Qty,OrderItems_Type,"SALE",OrderItems_SKU,I484))</f>
        <v>0</v>
      </c>
    </row>
    <row r="485" customFormat="false" ht="15" hidden="false" customHeight="false" outlineLevel="0" collapsed="false">
      <c r="I485" s="82"/>
      <c r="K485" s="83"/>
      <c r="L485" s="84"/>
      <c r="N485" s="84"/>
      <c r="P485" s="0" t="n">
        <f aca="true">IF(I485="","",SUMIFS(OrderItems_Qty,OrderItems_Type,"PURCHASE",OrderItems_SKU,I485)-SUMIFS(OrderItems_Qty,OrderItems_Type,"SALE",OrderItems_SKU,I485))</f>
        <v>0</v>
      </c>
    </row>
    <row r="486" customFormat="false" ht="15" hidden="false" customHeight="false" outlineLevel="0" collapsed="false">
      <c r="I486" s="82"/>
      <c r="K486" s="83"/>
      <c r="L486" s="84"/>
      <c r="N486" s="84"/>
      <c r="P486" s="0" t="n">
        <f aca="true">IF(I486="","",SUMIFS(OrderItems_Qty,OrderItems_Type,"PURCHASE",OrderItems_SKU,I486)-SUMIFS(OrderItems_Qty,OrderItems_Type,"SALE",OrderItems_SKU,I486))</f>
        <v>0</v>
      </c>
    </row>
    <row r="487" customFormat="false" ht="15" hidden="false" customHeight="false" outlineLevel="0" collapsed="false">
      <c r="I487" s="82"/>
      <c r="K487" s="83"/>
      <c r="L487" s="84"/>
      <c r="N487" s="84"/>
      <c r="P487" s="0" t="n">
        <f aca="true">IF(I487="","",SUMIFS(OrderItems_Qty,OrderItems_Type,"PURCHASE",OrderItems_SKU,I487)-SUMIFS(OrderItems_Qty,OrderItems_Type,"SALE",OrderItems_SKU,I487))</f>
        <v>0</v>
      </c>
    </row>
    <row r="488" customFormat="false" ht="15" hidden="false" customHeight="false" outlineLevel="0" collapsed="false">
      <c r="I488" s="82"/>
      <c r="K488" s="83"/>
      <c r="L488" s="84"/>
      <c r="N488" s="84"/>
      <c r="P488" s="0" t="n">
        <f aca="true">IF(I488="","",SUMIFS(OrderItems_Qty,OrderItems_Type,"PURCHASE",OrderItems_SKU,I488)-SUMIFS(OrderItems_Qty,OrderItems_Type,"SALE",OrderItems_SKU,I488))</f>
        <v>0</v>
      </c>
    </row>
    <row r="489" customFormat="false" ht="15" hidden="false" customHeight="false" outlineLevel="0" collapsed="false">
      <c r="I489" s="82"/>
      <c r="K489" s="83"/>
      <c r="L489" s="84"/>
      <c r="N489" s="84"/>
      <c r="P489" s="0" t="n">
        <f aca="true">IF(I489="","",SUMIFS(OrderItems_Qty,OrderItems_Type,"PURCHASE",OrderItems_SKU,I489)-SUMIFS(OrderItems_Qty,OrderItems_Type,"SALE",OrderItems_SKU,I489))</f>
        <v>0</v>
      </c>
    </row>
    <row r="490" customFormat="false" ht="15" hidden="false" customHeight="false" outlineLevel="0" collapsed="false">
      <c r="I490" s="82"/>
      <c r="K490" s="83"/>
      <c r="L490" s="84"/>
      <c r="N490" s="84"/>
      <c r="P490" s="0" t="n">
        <f aca="true">IF(I490="","",SUMIFS(OrderItems_Qty,OrderItems_Type,"PURCHASE",OrderItems_SKU,I490)-SUMIFS(OrderItems_Qty,OrderItems_Type,"SALE",OrderItems_SKU,I490))</f>
        <v>0</v>
      </c>
    </row>
    <row r="491" customFormat="false" ht="15" hidden="false" customHeight="false" outlineLevel="0" collapsed="false">
      <c r="I491" s="82"/>
      <c r="K491" s="83"/>
      <c r="L491" s="84"/>
      <c r="N491" s="84"/>
      <c r="P491" s="0" t="n">
        <f aca="true">IF(I491="","",SUMIFS(OrderItems_Qty,OrderItems_Type,"PURCHASE",OrderItems_SKU,I491)-SUMIFS(OrderItems_Qty,OrderItems_Type,"SALE",OrderItems_SKU,I491))</f>
        <v>0</v>
      </c>
    </row>
    <row r="492" customFormat="false" ht="15" hidden="false" customHeight="false" outlineLevel="0" collapsed="false">
      <c r="I492" s="82"/>
      <c r="K492" s="83"/>
      <c r="L492" s="84"/>
      <c r="N492" s="84"/>
      <c r="P492" s="0" t="n">
        <f aca="true">IF(I492="","",SUMIFS(OrderItems_Qty,OrderItems_Type,"PURCHASE",OrderItems_SKU,I492)-SUMIFS(OrderItems_Qty,OrderItems_Type,"SALE",OrderItems_SKU,I492))</f>
        <v>0</v>
      </c>
    </row>
    <row r="493" customFormat="false" ht="15" hidden="false" customHeight="false" outlineLevel="0" collapsed="false">
      <c r="I493" s="82"/>
      <c r="K493" s="83"/>
      <c r="L493" s="84"/>
      <c r="N493" s="84"/>
      <c r="P493" s="0" t="n">
        <f aca="true">IF(I493="","",SUMIFS(OrderItems_Qty,OrderItems_Type,"PURCHASE",OrderItems_SKU,I493)-SUMIFS(OrderItems_Qty,OrderItems_Type,"SALE",OrderItems_SKU,I493))</f>
        <v>0</v>
      </c>
    </row>
    <row r="494" customFormat="false" ht="15" hidden="false" customHeight="false" outlineLevel="0" collapsed="false">
      <c r="I494" s="82"/>
      <c r="K494" s="83"/>
      <c r="L494" s="84"/>
      <c r="N494" s="84"/>
      <c r="P494" s="0" t="n">
        <f aca="true">IF(I494="","",SUMIFS(OrderItems_Qty,OrderItems_Type,"PURCHASE",OrderItems_SKU,I494)-SUMIFS(OrderItems_Qty,OrderItems_Type,"SALE",OrderItems_SKU,I494))</f>
        <v>0</v>
      </c>
    </row>
    <row r="495" customFormat="false" ht="15" hidden="false" customHeight="false" outlineLevel="0" collapsed="false">
      <c r="I495" s="82"/>
      <c r="K495" s="83"/>
      <c r="L495" s="84"/>
      <c r="N495" s="84"/>
      <c r="P495" s="0" t="n">
        <f aca="true">IF(I495="","",SUMIFS(OrderItems_Qty,OrderItems_Type,"PURCHASE",OrderItems_SKU,I495)-SUMIFS(OrderItems_Qty,OrderItems_Type,"SALE",OrderItems_SKU,I495))</f>
        <v>0</v>
      </c>
    </row>
    <row r="496" customFormat="false" ht="15" hidden="false" customHeight="false" outlineLevel="0" collapsed="false">
      <c r="I496" s="82"/>
      <c r="K496" s="83"/>
      <c r="L496" s="84"/>
      <c r="N496" s="84"/>
      <c r="P496" s="0" t="n">
        <f aca="true">IF(I496="","",SUMIFS(OrderItems_Qty,OrderItems_Type,"PURCHASE",OrderItems_SKU,I496)-SUMIFS(OrderItems_Qty,OrderItems_Type,"SALE",OrderItems_SKU,I496))</f>
        <v>0</v>
      </c>
    </row>
    <row r="497" customFormat="false" ht="15" hidden="false" customHeight="false" outlineLevel="0" collapsed="false">
      <c r="I497" s="82"/>
      <c r="K497" s="83"/>
      <c r="L497" s="84"/>
      <c r="N497" s="84"/>
      <c r="P497" s="0" t="n">
        <f aca="true">IF(I497="","",SUMIFS(OrderItems_Qty,OrderItems_Type,"PURCHASE",OrderItems_SKU,I497)-SUMIFS(OrderItems_Qty,OrderItems_Type,"SALE",OrderItems_SKU,I497))</f>
        <v>0</v>
      </c>
    </row>
    <row r="498" customFormat="false" ht="15" hidden="false" customHeight="false" outlineLevel="0" collapsed="false">
      <c r="I498" s="82"/>
      <c r="K498" s="83"/>
      <c r="L498" s="84"/>
      <c r="N498" s="84"/>
      <c r="P498" s="0" t="n">
        <f aca="true">IF(I498="","",SUMIFS(OrderItems_Qty,OrderItems_Type,"PURCHASE",OrderItems_SKU,I498)-SUMIFS(OrderItems_Qty,OrderItems_Type,"SALE",OrderItems_SKU,I498))</f>
        <v>0</v>
      </c>
    </row>
    <row r="499" customFormat="false" ht="15" hidden="false" customHeight="false" outlineLevel="0" collapsed="false">
      <c r="I499" s="82"/>
      <c r="K499" s="83"/>
      <c r="L499" s="84"/>
      <c r="N499" s="84"/>
      <c r="P499" s="0" t="n">
        <f aca="true">IF(I499="","",SUMIFS(OrderItems_Qty,OrderItems_Type,"PURCHASE",OrderItems_SKU,I499)-SUMIFS(OrderItems_Qty,OrderItems_Type,"SALE",OrderItems_SKU,I499))</f>
        <v>0</v>
      </c>
    </row>
    <row r="500" customFormat="false" ht="15" hidden="false" customHeight="false" outlineLevel="0" collapsed="false">
      <c r="I500" s="82"/>
      <c r="K500" s="83"/>
      <c r="L500" s="84"/>
      <c r="N500" s="84"/>
      <c r="P500" s="0" t="n">
        <f aca="true">IF(I500="","",SUMIFS(OrderItems_Qty,OrderItems_Type,"PURCHASE",OrderItems_SKU,I500)-SUMIFS(OrderItems_Qty,OrderItems_Type,"SALE",OrderItems_SKU,I500))</f>
        <v>0</v>
      </c>
    </row>
    <row r="501" customFormat="false" ht="15" hidden="false" customHeight="false" outlineLevel="0" collapsed="false">
      <c r="I501" s="82"/>
      <c r="K501" s="83"/>
      <c r="L501" s="84"/>
      <c r="N501" s="84"/>
      <c r="P501" s="0" t="n">
        <f aca="true">IF(I501="","",SUMIFS(OrderItems_Qty,OrderItems_Type,"PURCHASE",OrderItems_SKU,I501)-SUMIFS(OrderItems_Qty,OrderItems_Type,"SALE",OrderItems_SKU,I501))</f>
        <v>0</v>
      </c>
    </row>
    <row r="502" customFormat="false" ht="15" hidden="false" customHeight="false" outlineLevel="0" collapsed="false">
      <c r="I502" s="82"/>
      <c r="K502" s="83"/>
      <c r="L502" s="84"/>
      <c r="N502" s="84"/>
      <c r="P502" s="0" t="n">
        <f aca="true">IF(I502="","",SUMIFS(OrderItems_Qty,OrderItems_Type,"PURCHASE",OrderItems_SKU,I502)-SUMIFS(OrderItems_Qty,OrderItems_Type,"SALE",OrderItems_SKU,I502))</f>
        <v>0</v>
      </c>
    </row>
    <row r="503" customFormat="false" ht="15" hidden="false" customHeight="false" outlineLevel="0" collapsed="false">
      <c r="I503" s="82"/>
      <c r="K503" s="83"/>
      <c r="L503" s="84"/>
      <c r="N503" s="84"/>
      <c r="P503" s="0" t="n">
        <f aca="true">IF(I503="","",SUMIFS(OrderItems_Qty,OrderItems_Type,"PURCHASE",OrderItems_SKU,I503)-SUMIFS(OrderItems_Qty,OrderItems_Type,"SALE",OrderItems_SKU,I503))</f>
        <v>0</v>
      </c>
    </row>
    <row r="504" customFormat="false" ht="15" hidden="false" customHeight="false" outlineLevel="0" collapsed="false">
      <c r="I504" s="82"/>
      <c r="K504" s="83"/>
      <c r="L504" s="84"/>
      <c r="N504" s="84"/>
      <c r="P504" s="0" t="n">
        <f aca="true">IF(I504="","",SUMIFS(OrderItems_Qty,OrderItems_Type,"PURCHASE",OrderItems_SKU,I504)-SUMIFS(OrderItems_Qty,OrderItems_Type,"SALE",OrderItems_SKU,I504))</f>
        <v>0</v>
      </c>
    </row>
    <row r="505" customFormat="false" ht="15" hidden="false" customHeight="false" outlineLevel="0" collapsed="false">
      <c r="I505" s="82"/>
      <c r="K505" s="83"/>
      <c r="L505" s="84"/>
      <c r="N505" s="84"/>
      <c r="P505" s="0" t="n">
        <f aca="true">IF(I505="","",SUMIFS(OrderItems_Qty,OrderItems_Type,"PURCHASE",OrderItems_SKU,I505)-SUMIFS(OrderItems_Qty,OrderItems_Type,"SALE",OrderItems_SKU,I505))</f>
        <v>0</v>
      </c>
    </row>
    <row r="506" customFormat="false" ht="15" hidden="false" customHeight="false" outlineLevel="0" collapsed="false">
      <c r="I506" s="82"/>
      <c r="K506" s="83"/>
      <c r="L506" s="84"/>
      <c r="N506" s="84"/>
      <c r="P506" s="0" t="n">
        <f aca="true">IF(I506="","",SUMIFS(OrderItems_Qty,OrderItems_Type,"PURCHASE",OrderItems_SKU,I506)-SUMIFS(OrderItems_Qty,OrderItems_Type,"SALE",OrderItems_SKU,I506))</f>
        <v>0</v>
      </c>
    </row>
    <row r="507" customFormat="false" ht="15" hidden="false" customHeight="false" outlineLevel="0" collapsed="false">
      <c r="I507" s="82"/>
      <c r="K507" s="83"/>
      <c r="L507" s="84"/>
      <c r="N507" s="84"/>
      <c r="P507" s="0" t="n">
        <f aca="true">IF(I507="","",SUMIFS(OrderItems_Qty,OrderItems_Type,"PURCHASE",OrderItems_SKU,I507)-SUMIFS(OrderItems_Qty,OrderItems_Type,"SALE",OrderItems_SKU,I507))</f>
        <v>0</v>
      </c>
    </row>
    <row r="508" customFormat="false" ht="15" hidden="false" customHeight="false" outlineLevel="0" collapsed="false">
      <c r="I508" s="82"/>
      <c r="K508" s="83"/>
      <c r="L508" s="84"/>
      <c r="N508" s="84"/>
      <c r="P508" s="0" t="n">
        <f aca="true">IF(I508="","",SUMIFS(OrderItems_Qty,OrderItems_Type,"PURCHASE",OrderItems_SKU,I508)-SUMIFS(OrderItems_Qty,OrderItems_Type,"SALE",OrderItems_SKU,I508))</f>
        <v>0</v>
      </c>
    </row>
    <row r="509" customFormat="false" ht="15" hidden="false" customHeight="false" outlineLevel="0" collapsed="false">
      <c r="I509" s="82"/>
      <c r="K509" s="83"/>
      <c r="L509" s="84"/>
      <c r="N509" s="84"/>
      <c r="P509" s="0" t="n">
        <f aca="true">IF(I509="","",SUMIFS(OrderItems_Qty,OrderItems_Type,"PURCHASE",OrderItems_SKU,I509)-SUMIFS(OrderItems_Qty,OrderItems_Type,"SALE",OrderItems_SKU,I509))</f>
        <v>0</v>
      </c>
    </row>
    <row r="510" customFormat="false" ht="15" hidden="false" customHeight="false" outlineLevel="0" collapsed="false">
      <c r="I510" s="82"/>
      <c r="K510" s="83"/>
      <c r="L510" s="84"/>
      <c r="N510" s="84"/>
      <c r="P510" s="0" t="n">
        <f aca="true">IF(I510="","",SUMIFS(OrderItems_Qty,OrderItems_Type,"PURCHASE",OrderItems_SKU,I510)-SUMIFS(OrderItems_Qty,OrderItems_Type,"SALE",OrderItems_SKU,I510))</f>
        <v>0</v>
      </c>
    </row>
    <row r="511" customFormat="false" ht="15" hidden="false" customHeight="false" outlineLevel="0" collapsed="false">
      <c r="I511" s="82"/>
      <c r="K511" s="83"/>
      <c r="L511" s="84"/>
      <c r="N511" s="84"/>
      <c r="P511" s="0" t="n">
        <f aca="true">IF(I511="","",SUMIFS(OrderItems_Qty,OrderItems_Type,"PURCHASE",OrderItems_SKU,I511)-SUMIFS(OrderItems_Qty,OrderItems_Type,"SALE",OrderItems_SKU,I511))</f>
        <v>0</v>
      </c>
    </row>
    <row r="512" customFormat="false" ht="15" hidden="false" customHeight="false" outlineLevel="0" collapsed="false">
      <c r="I512" s="82"/>
      <c r="K512" s="83"/>
      <c r="L512" s="84"/>
      <c r="N512" s="84"/>
      <c r="P512" s="0" t="n">
        <f aca="true">IF(I512="","",SUMIFS(OrderItems_Qty,OrderItems_Type,"PURCHASE",OrderItems_SKU,I512)-SUMIFS(OrderItems_Qty,OrderItems_Type,"SALE",OrderItems_SKU,I512))</f>
        <v>0</v>
      </c>
    </row>
    <row r="513" customFormat="false" ht="15" hidden="false" customHeight="false" outlineLevel="0" collapsed="false">
      <c r="I513" s="82"/>
      <c r="K513" s="83"/>
      <c r="L513" s="84"/>
      <c r="N513" s="84"/>
      <c r="P513" s="0" t="n">
        <f aca="true">IF(I513="","",SUMIFS(OrderItems_Qty,OrderItems_Type,"PURCHASE",OrderItems_SKU,I513)-SUMIFS(OrderItems_Qty,OrderItems_Type,"SALE",OrderItems_SKU,I513))</f>
        <v>0</v>
      </c>
    </row>
    <row r="514" customFormat="false" ht="15" hidden="false" customHeight="false" outlineLevel="0" collapsed="false">
      <c r="I514" s="82"/>
      <c r="K514" s="83"/>
      <c r="L514" s="84"/>
      <c r="N514" s="84"/>
      <c r="P514" s="0" t="n">
        <f aca="true">IF(I514="","",SUMIFS(OrderItems_Qty,OrderItems_Type,"PURCHASE",OrderItems_SKU,I514)-SUMIFS(OrderItems_Qty,OrderItems_Type,"SALE",OrderItems_SKU,I514))</f>
        <v>0</v>
      </c>
    </row>
    <row r="515" customFormat="false" ht="15" hidden="false" customHeight="false" outlineLevel="0" collapsed="false">
      <c r="I515" s="82"/>
      <c r="K515" s="83"/>
      <c r="L515" s="84"/>
      <c r="N515" s="84"/>
      <c r="P515" s="0" t="n">
        <f aca="true">IF(I515="","",SUMIFS(OrderItems_Qty,OrderItems_Type,"PURCHASE",OrderItems_SKU,I515)-SUMIFS(OrderItems_Qty,OrderItems_Type,"SALE",OrderItems_SKU,I515))</f>
        <v>0</v>
      </c>
    </row>
    <row r="516" customFormat="false" ht="15" hidden="false" customHeight="false" outlineLevel="0" collapsed="false">
      <c r="I516" s="82"/>
      <c r="K516" s="83"/>
      <c r="L516" s="84"/>
      <c r="N516" s="84"/>
      <c r="P516" s="0" t="n">
        <f aca="true">IF(I516="","",SUMIFS(OrderItems_Qty,OrderItems_Type,"PURCHASE",OrderItems_SKU,I516)-SUMIFS(OrderItems_Qty,OrderItems_Type,"SALE",OrderItems_SKU,I516))</f>
        <v>0</v>
      </c>
    </row>
    <row r="517" customFormat="false" ht="15" hidden="false" customHeight="false" outlineLevel="0" collapsed="false">
      <c r="I517" s="82"/>
      <c r="K517" s="83"/>
      <c r="L517" s="84"/>
      <c r="N517" s="84"/>
      <c r="P517" s="0" t="n">
        <f aca="true">IF(I517="","",SUMIFS(OrderItems_Qty,OrderItems_Type,"PURCHASE",OrderItems_SKU,I517)-SUMIFS(OrderItems_Qty,OrderItems_Type,"SALE",OrderItems_SKU,I517))</f>
        <v>0</v>
      </c>
    </row>
    <row r="518" customFormat="false" ht="15" hidden="false" customHeight="false" outlineLevel="0" collapsed="false">
      <c r="I518" s="82"/>
      <c r="K518" s="83"/>
      <c r="L518" s="84"/>
      <c r="N518" s="84"/>
      <c r="P518" s="0" t="n">
        <f aca="true">IF(I518="","",SUMIFS(OrderItems_Qty,OrderItems_Type,"PURCHASE",OrderItems_SKU,I518)-SUMIFS(OrderItems_Qty,OrderItems_Type,"SALE",OrderItems_SKU,I518))</f>
        <v>0</v>
      </c>
    </row>
    <row r="519" customFormat="false" ht="15" hidden="false" customHeight="false" outlineLevel="0" collapsed="false">
      <c r="I519" s="82"/>
      <c r="K519" s="83"/>
      <c r="L519" s="84"/>
      <c r="N519" s="84"/>
      <c r="P519" s="0" t="n">
        <f aca="true">IF(I519="","",SUMIFS(OrderItems_Qty,OrderItems_Type,"PURCHASE",OrderItems_SKU,I519)-SUMIFS(OrderItems_Qty,OrderItems_Type,"SALE",OrderItems_SKU,I519))</f>
        <v>0</v>
      </c>
    </row>
    <row r="520" customFormat="false" ht="15" hidden="false" customHeight="false" outlineLevel="0" collapsed="false">
      <c r="I520" s="82"/>
      <c r="K520" s="83"/>
      <c r="L520" s="84"/>
      <c r="N520" s="84"/>
      <c r="P520" s="0" t="n">
        <f aca="true">IF(I520="","",SUMIFS(OrderItems_Qty,OrderItems_Type,"PURCHASE",OrderItems_SKU,I520)-SUMIFS(OrderItems_Qty,OrderItems_Type,"SALE",OrderItems_SKU,I520))</f>
        <v>0</v>
      </c>
    </row>
    <row r="521" customFormat="false" ht="15" hidden="false" customHeight="false" outlineLevel="0" collapsed="false">
      <c r="I521" s="82"/>
      <c r="K521" s="83"/>
      <c r="L521" s="84"/>
      <c r="N521" s="84"/>
      <c r="P521" s="0" t="n">
        <f aca="true">IF(I521="","",SUMIFS(OrderItems_Qty,OrderItems_Type,"PURCHASE",OrderItems_SKU,I521)-SUMIFS(OrderItems_Qty,OrderItems_Type,"SALE",OrderItems_SKU,I521))</f>
        <v>0</v>
      </c>
    </row>
    <row r="522" customFormat="false" ht="15" hidden="false" customHeight="false" outlineLevel="0" collapsed="false">
      <c r="I522" s="82"/>
      <c r="K522" s="83"/>
      <c r="L522" s="84"/>
      <c r="N522" s="84"/>
      <c r="P522" s="0" t="n">
        <f aca="true">IF(I522="","",SUMIFS(OrderItems_Qty,OrderItems_Type,"PURCHASE",OrderItems_SKU,I522)-SUMIFS(OrderItems_Qty,OrderItems_Type,"SALE",OrderItems_SKU,I522))</f>
        <v>0</v>
      </c>
    </row>
    <row r="523" customFormat="false" ht="15" hidden="false" customHeight="false" outlineLevel="0" collapsed="false">
      <c r="I523" s="82"/>
      <c r="K523" s="83"/>
      <c r="L523" s="84"/>
      <c r="N523" s="84"/>
      <c r="P523" s="0" t="n">
        <f aca="true">IF(I523="","",SUMIFS(OrderItems_Qty,OrderItems_Type,"PURCHASE",OrderItems_SKU,I523)-SUMIFS(OrderItems_Qty,OrderItems_Type,"SALE",OrderItems_SKU,I523))</f>
        <v>0</v>
      </c>
    </row>
    <row r="524" customFormat="false" ht="15" hidden="false" customHeight="false" outlineLevel="0" collapsed="false">
      <c r="I524" s="82"/>
      <c r="K524" s="83"/>
      <c r="L524" s="84"/>
      <c r="N524" s="84"/>
      <c r="P524" s="0" t="n">
        <f aca="true">IF(I524="","",SUMIFS(OrderItems_Qty,OrderItems_Type,"PURCHASE",OrderItems_SKU,I524)-SUMIFS(OrderItems_Qty,OrderItems_Type,"SALE",OrderItems_SKU,I524))</f>
        <v>0</v>
      </c>
    </row>
    <row r="525" customFormat="false" ht="15" hidden="false" customHeight="false" outlineLevel="0" collapsed="false">
      <c r="I525" s="82"/>
      <c r="K525" s="83"/>
      <c r="L525" s="84"/>
      <c r="N525" s="84"/>
      <c r="P525" s="0" t="n">
        <f aca="true">IF(I525="","",SUMIFS(OrderItems_Qty,OrderItems_Type,"PURCHASE",OrderItems_SKU,I525)-SUMIFS(OrderItems_Qty,OrderItems_Type,"SALE",OrderItems_SKU,I525))</f>
        <v>0</v>
      </c>
    </row>
    <row r="526" customFormat="false" ht="15" hidden="false" customHeight="false" outlineLevel="0" collapsed="false">
      <c r="I526" s="82"/>
      <c r="K526" s="83"/>
      <c r="L526" s="84"/>
      <c r="N526" s="84"/>
      <c r="P526" s="0" t="n">
        <f aca="true">IF(I526="","",SUMIFS(OrderItems_Qty,OrderItems_Type,"PURCHASE",OrderItems_SKU,I526)-SUMIFS(OrderItems_Qty,OrderItems_Type,"SALE",OrderItems_SKU,I526))</f>
        <v>0</v>
      </c>
    </row>
    <row r="527" customFormat="false" ht="15" hidden="false" customHeight="false" outlineLevel="0" collapsed="false">
      <c r="I527" s="82"/>
      <c r="K527" s="83"/>
      <c r="L527" s="84"/>
      <c r="N527" s="84"/>
      <c r="P527" s="0" t="n">
        <f aca="true">IF(I527="","",SUMIFS(OrderItems_Qty,OrderItems_Type,"PURCHASE",OrderItems_SKU,I527)-SUMIFS(OrderItems_Qty,OrderItems_Type,"SALE",OrderItems_SKU,I527))</f>
        <v>0</v>
      </c>
    </row>
    <row r="528" customFormat="false" ht="15" hidden="false" customHeight="false" outlineLevel="0" collapsed="false">
      <c r="I528" s="82"/>
      <c r="K528" s="83"/>
      <c r="L528" s="84"/>
      <c r="N528" s="84"/>
      <c r="P528" s="0" t="n">
        <f aca="true">IF(I528="","",SUMIFS(OrderItems_Qty,OrderItems_Type,"PURCHASE",OrderItems_SKU,I528)-SUMIFS(OrderItems_Qty,OrderItems_Type,"SALE",OrderItems_SKU,I528))</f>
        <v>0</v>
      </c>
    </row>
    <row r="529" customFormat="false" ht="15" hidden="false" customHeight="false" outlineLevel="0" collapsed="false">
      <c r="I529" s="82"/>
      <c r="K529" s="83"/>
      <c r="L529" s="84"/>
      <c r="N529" s="84"/>
      <c r="P529" s="0" t="n">
        <f aca="true">IF(I529="","",SUMIFS(OrderItems_Qty,OrderItems_Type,"PURCHASE",OrderItems_SKU,I529)-SUMIFS(OrderItems_Qty,OrderItems_Type,"SALE",OrderItems_SKU,I529))</f>
        <v>0</v>
      </c>
    </row>
    <row r="530" customFormat="false" ht="15" hidden="false" customHeight="false" outlineLevel="0" collapsed="false">
      <c r="I530" s="82"/>
      <c r="K530" s="83"/>
      <c r="L530" s="84"/>
      <c r="N530" s="84"/>
      <c r="P530" s="0" t="n">
        <f aca="true">IF(I530="","",SUMIFS(OrderItems_Qty,OrderItems_Type,"PURCHASE",OrderItems_SKU,I530)-SUMIFS(OrderItems_Qty,OrderItems_Type,"SALE",OrderItems_SKU,I530))</f>
        <v>0</v>
      </c>
    </row>
    <row r="531" customFormat="false" ht="15" hidden="false" customHeight="false" outlineLevel="0" collapsed="false">
      <c r="I531" s="82"/>
      <c r="K531" s="83"/>
      <c r="L531" s="84"/>
      <c r="N531" s="84"/>
      <c r="P531" s="0" t="n">
        <f aca="true">IF(I531="","",SUMIFS(OrderItems_Qty,OrderItems_Type,"PURCHASE",OrderItems_SKU,I531)-SUMIFS(OrderItems_Qty,OrderItems_Type,"SALE",OrderItems_SKU,I531))</f>
        <v>0</v>
      </c>
    </row>
    <row r="532" customFormat="false" ht="15" hidden="false" customHeight="false" outlineLevel="0" collapsed="false">
      <c r="I532" s="82"/>
      <c r="K532" s="83"/>
      <c r="L532" s="84"/>
      <c r="N532" s="84"/>
      <c r="P532" s="0" t="n">
        <f aca="true">IF(I532="","",SUMIFS(OrderItems_Qty,OrderItems_Type,"PURCHASE",OrderItems_SKU,I532)-SUMIFS(OrderItems_Qty,OrderItems_Type,"SALE",OrderItems_SKU,I532))</f>
        <v>0</v>
      </c>
    </row>
    <row r="533" customFormat="false" ht="15" hidden="false" customHeight="false" outlineLevel="0" collapsed="false">
      <c r="I533" s="82"/>
      <c r="K533" s="83"/>
      <c r="L533" s="84"/>
      <c r="N533" s="84"/>
      <c r="P533" s="0" t="n">
        <f aca="true">IF(I533="","",SUMIFS(OrderItems_Qty,OrderItems_Type,"PURCHASE",OrderItems_SKU,I533)-SUMIFS(OrderItems_Qty,OrderItems_Type,"SALE",OrderItems_SKU,I533))</f>
        <v>0</v>
      </c>
    </row>
    <row r="534" customFormat="false" ht="15" hidden="false" customHeight="false" outlineLevel="0" collapsed="false">
      <c r="I534" s="82"/>
      <c r="K534" s="83"/>
      <c r="L534" s="84"/>
      <c r="N534" s="84"/>
      <c r="P534" s="0" t="n">
        <f aca="true">IF(I534="","",SUMIFS(OrderItems_Qty,OrderItems_Type,"PURCHASE",OrderItems_SKU,I534)-SUMIFS(OrderItems_Qty,OrderItems_Type,"SALE",OrderItems_SKU,I534))</f>
        <v>0</v>
      </c>
    </row>
    <row r="535" customFormat="false" ht="15" hidden="false" customHeight="false" outlineLevel="0" collapsed="false">
      <c r="I535" s="82"/>
      <c r="K535" s="83"/>
      <c r="L535" s="84"/>
      <c r="N535" s="84"/>
      <c r="P535" s="0" t="n">
        <f aca="true">IF(I535="","",SUMIFS(OrderItems_Qty,OrderItems_Type,"PURCHASE",OrderItems_SKU,I535)-SUMIFS(OrderItems_Qty,OrderItems_Type,"SALE",OrderItems_SKU,I535))</f>
        <v>0</v>
      </c>
    </row>
    <row r="536" customFormat="false" ht="15" hidden="false" customHeight="false" outlineLevel="0" collapsed="false">
      <c r="I536" s="82"/>
      <c r="K536" s="83"/>
      <c r="L536" s="84"/>
      <c r="N536" s="84"/>
      <c r="P536" s="0" t="n">
        <f aca="true">IF(I536="","",SUMIFS(OrderItems_Qty,OrderItems_Type,"PURCHASE",OrderItems_SKU,I536)-SUMIFS(OrderItems_Qty,OrderItems_Type,"SALE",OrderItems_SKU,I536))</f>
        <v>0</v>
      </c>
    </row>
    <row r="537" customFormat="false" ht="15" hidden="false" customHeight="false" outlineLevel="0" collapsed="false">
      <c r="I537" s="82"/>
      <c r="K537" s="83"/>
      <c r="L537" s="84"/>
      <c r="N537" s="84"/>
      <c r="P537" s="0" t="n">
        <f aca="true">IF(I537="","",SUMIFS(OrderItems_Qty,OrderItems_Type,"PURCHASE",OrderItems_SKU,I537)-SUMIFS(OrderItems_Qty,OrderItems_Type,"SALE",OrderItems_SKU,I537))</f>
        <v>0</v>
      </c>
    </row>
    <row r="538" customFormat="false" ht="15" hidden="false" customHeight="false" outlineLevel="0" collapsed="false">
      <c r="I538" s="82"/>
      <c r="K538" s="83"/>
      <c r="L538" s="84"/>
      <c r="N538" s="84"/>
      <c r="P538" s="0" t="n">
        <f aca="true">IF(I538="","",SUMIFS(OrderItems_Qty,OrderItems_Type,"PURCHASE",OrderItems_SKU,I538)-SUMIFS(OrderItems_Qty,OrderItems_Type,"SALE",OrderItems_SKU,I538))</f>
        <v>0</v>
      </c>
    </row>
    <row r="539" customFormat="false" ht="15" hidden="false" customHeight="false" outlineLevel="0" collapsed="false">
      <c r="I539" s="82"/>
      <c r="K539" s="83"/>
      <c r="L539" s="84"/>
      <c r="N539" s="84"/>
      <c r="P539" s="0" t="n">
        <f aca="true">IF(I539="","",SUMIFS(OrderItems_Qty,OrderItems_Type,"PURCHASE",OrderItems_SKU,I539)-SUMIFS(OrderItems_Qty,OrderItems_Type,"SALE",OrderItems_SKU,I539))</f>
        <v>0</v>
      </c>
    </row>
    <row r="540" customFormat="false" ht="15" hidden="false" customHeight="false" outlineLevel="0" collapsed="false">
      <c r="I540" s="82"/>
      <c r="K540" s="83"/>
      <c r="L540" s="84"/>
      <c r="N540" s="84"/>
      <c r="P540" s="0" t="n">
        <f aca="true">IF(I540="","",SUMIFS(OrderItems_Qty,OrderItems_Type,"PURCHASE",OrderItems_SKU,I540)-SUMIFS(OrderItems_Qty,OrderItems_Type,"SALE",OrderItems_SKU,I540))</f>
        <v>0</v>
      </c>
    </row>
    <row r="541" customFormat="false" ht="15" hidden="false" customHeight="false" outlineLevel="0" collapsed="false">
      <c r="I541" s="82"/>
      <c r="K541" s="83"/>
      <c r="L541" s="84"/>
      <c r="N541" s="84"/>
      <c r="P541" s="0" t="n">
        <f aca="true">IF(I541="","",SUMIFS(OrderItems_Qty,OrderItems_Type,"PURCHASE",OrderItems_SKU,I541)-SUMIFS(OrderItems_Qty,OrderItems_Type,"SALE",OrderItems_SKU,I541))</f>
        <v>0</v>
      </c>
    </row>
    <row r="542" customFormat="false" ht="15" hidden="false" customHeight="false" outlineLevel="0" collapsed="false">
      <c r="I542" s="82"/>
      <c r="K542" s="83"/>
      <c r="L542" s="84"/>
      <c r="N542" s="84"/>
      <c r="P542" s="0" t="n">
        <f aca="true">IF(I542="","",SUMIFS(OrderItems_Qty,OrderItems_Type,"PURCHASE",OrderItems_SKU,I542)-SUMIFS(OrderItems_Qty,OrderItems_Type,"SALE",OrderItems_SKU,I542))</f>
        <v>0</v>
      </c>
    </row>
    <row r="543" customFormat="false" ht="15" hidden="false" customHeight="false" outlineLevel="0" collapsed="false">
      <c r="I543" s="82"/>
      <c r="K543" s="83"/>
      <c r="L543" s="84"/>
      <c r="N543" s="84"/>
      <c r="P543" s="0" t="n">
        <f aca="true">IF(I543="","",SUMIFS(OrderItems_Qty,OrderItems_Type,"PURCHASE",OrderItems_SKU,I543)-SUMIFS(OrderItems_Qty,OrderItems_Type,"SALE",OrderItems_SKU,I543))</f>
        <v>0</v>
      </c>
    </row>
    <row r="544" customFormat="false" ht="15" hidden="false" customHeight="false" outlineLevel="0" collapsed="false">
      <c r="I544" s="82"/>
      <c r="K544" s="83"/>
      <c r="L544" s="84"/>
      <c r="N544" s="84"/>
      <c r="P544" s="0" t="n">
        <f aca="true">IF(I544="","",SUMIFS(OrderItems_Qty,OrderItems_Type,"PURCHASE",OrderItems_SKU,I544)-SUMIFS(OrderItems_Qty,OrderItems_Type,"SALE",OrderItems_SKU,I544))</f>
        <v>0</v>
      </c>
    </row>
    <row r="545" customFormat="false" ht="15" hidden="false" customHeight="false" outlineLevel="0" collapsed="false">
      <c r="I545" s="82"/>
      <c r="K545" s="83"/>
      <c r="L545" s="84"/>
      <c r="N545" s="84"/>
      <c r="P545" s="0" t="n">
        <f aca="true">IF(I545="","",SUMIFS(OrderItems_Qty,OrderItems_Type,"PURCHASE",OrderItems_SKU,I545)-SUMIFS(OrderItems_Qty,OrderItems_Type,"SALE",OrderItems_SKU,I545))</f>
        <v>0</v>
      </c>
    </row>
    <row r="546" customFormat="false" ht="15" hidden="false" customHeight="false" outlineLevel="0" collapsed="false">
      <c r="I546" s="82"/>
      <c r="K546" s="83"/>
      <c r="L546" s="84"/>
      <c r="N546" s="84"/>
      <c r="P546" s="0" t="n">
        <f aca="true">IF(I546="","",SUMIFS(OrderItems_Qty,OrderItems_Type,"PURCHASE",OrderItems_SKU,I546)-SUMIFS(OrderItems_Qty,OrderItems_Type,"SALE",OrderItems_SKU,I546))</f>
        <v>0</v>
      </c>
    </row>
    <row r="547" customFormat="false" ht="15" hidden="false" customHeight="false" outlineLevel="0" collapsed="false">
      <c r="I547" s="82"/>
      <c r="K547" s="83"/>
      <c r="L547" s="84"/>
      <c r="N547" s="84"/>
      <c r="P547" s="0" t="n">
        <f aca="true">IF(I547="","",SUMIFS(OrderItems_Qty,OrderItems_Type,"PURCHASE",OrderItems_SKU,I547)-SUMIFS(OrderItems_Qty,OrderItems_Type,"SALE",OrderItems_SKU,I547))</f>
        <v>0</v>
      </c>
    </row>
    <row r="548" customFormat="false" ht="15" hidden="false" customHeight="false" outlineLevel="0" collapsed="false">
      <c r="I548" s="82"/>
      <c r="K548" s="83"/>
      <c r="L548" s="84"/>
      <c r="N548" s="84"/>
      <c r="P548" s="0" t="n">
        <f aca="true">IF(I548="","",SUMIFS(OrderItems_Qty,OrderItems_Type,"PURCHASE",OrderItems_SKU,I548)-SUMIFS(OrderItems_Qty,OrderItems_Type,"SALE",OrderItems_SKU,I548))</f>
        <v>0</v>
      </c>
    </row>
    <row r="549" customFormat="false" ht="15" hidden="false" customHeight="false" outlineLevel="0" collapsed="false">
      <c r="I549" s="82"/>
      <c r="K549" s="83"/>
      <c r="L549" s="84"/>
      <c r="N549" s="84"/>
      <c r="P549" s="0" t="n">
        <f aca="true">IF(I549="","",SUMIFS(OrderItems_Qty,OrderItems_Type,"PURCHASE",OrderItems_SKU,I549)-SUMIFS(OrderItems_Qty,OrderItems_Type,"SALE",OrderItems_SKU,I549))</f>
        <v>0</v>
      </c>
    </row>
    <row r="550" customFormat="false" ht="15" hidden="false" customHeight="false" outlineLevel="0" collapsed="false">
      <c r="I550" s="82"/>
      <c r="K550" s="83"/>
      <c r="L550" s="84"/>
      <c r="N550" s="84"/>
      <c r="P550" s="0" t="n">
        <f aca="true">IF(I550="","",SUMIFS(OrderItems_Qty,OrderItems_Type,"PURCHASE",OrderItems_SKU,I550)-SUMIFS(OrderItems_Qty,OrderItems_Type,"SALE",OrderItems_SKU,I550))</f>
        <v>0</v>
      </c>
    </row>
    <row r="551" customFormat="false" ht="15" hidden="false" customHeight="false" outlineLevel="0" collapsed="false">
      <c r="I551" s="82"/>
      <c r="K551" s="83"/>
      <c r="L551" s="84"/>
      <c r="N551" s="84"/>
      <c r="P551" s="0" t="n">
        <f aca="true">IF(I551="","",SUMIFS(OrderItems_Qty,OrderItems_Type,"PURCHASE",OrderItems_SKU,I551)-SUMIFS(OrderItems_Qty,OrderItems_Type,"SALE",OrderItems_SKU,I551))</f>
        <v>0</v>
      </c>
    </row>
    <row r="552" customFormat="false" ht="15" hidden="false" customHeight="false" outlineLevel="0" collapsed="false">
      <c r="I552" s="82"/>
      <c r="K552" s="83"/>
      <c r="L552" s="84"/>
      <c r="N552" s="84"/>
      <c r="P552" s="0" t="n">
        <f aca="true">IF(I552="","",SUMIFS(OrderItems_Qty,OrderItems_Type,"PURCHASE",OrderItems_SKU,I552)-SUMIFS(OrderItems_Qty,OrderItems_Type,"SALE",OrderItems_SKU,I552))</f>
        <v>0</v>
      </c>
    </row>
    <row r="553" customFormat="false" ht="15" hidden="false" customHeight="false" outlineLevel="0" collapsed="false">
      <c r="I553" s="82"/>
      <c r="K553" s="83"/>
      <c r="L553" s="84"/>
      <c r="N553" s="84"/>
      <c r="P553" s="0" t="n">
        <f aca="true">IF(I553="","",SUMIFS(OrderItems_Qty,OrderItems_Type,"PURCHASE",OrderItems_SKU,I553)-SUMIFS(OrderItems_Qty,OrderItems_Type,"SALE",OrderItems_SKU,I553))</f>
        <v>0</v>
      </c>
    </row>
    <row r="554" customFormat="false" ht="15" hidden="false" customHeight="false" outlineLevel="0" collapsed="false">
      <c r="I554" s="82"/>
      <c r="K554" s="83"/>
      <c r="L554" s="84"/>
      <c r="N554" s="84"/>
      <c r="P554" s="0" t="n">
        <f aca="true">IF(I554="","",SUMIFS(OrderItems_Qty,OrderItems_Type,"PURCHASE",OrderItems_SKU,I554)-SUMIFS(OrderItems_Qty,OrderItems_Type,"SALE",OrderItems_SKU,I554))</f>
        <v>0</v>
      </c>
    </row>
    <row r="555" customFormat="false" ht="15" hidden="false" customHeight="false" outlineLevel="0" collapsed="false">
      <c r="I555" s="82"/>
      <c r="K555" s="83"/>
      <c r="L555" s="84"/>
      <c r="N555" s="84"/>
      <c r="P555" s="0" t="n">
        <f aca="true">IF(I555="","",SUMIFS(OrderItems_Qty,OrderItems_Type,"PURCHASE",OrderItems_SKU,I555)-SUMIFS(OrderItems_Qty,OrderItems_Type,"SALE",OrderItems_SKU,I555))</f>
        <v>0</v>
      </c>
    </row>
    <row r="556" customFormat="false" ht="15" hidden="false" customHeight="false" outlineLevel="0" collapsed="false">
      <c r="I556" s="82"/>
      <c r="K556" s="83"/>
      <c r="L556" s="84"/>
      <c r="N556" s="84"/>
      <c r="P556" s="0" t="n">
        <f aca="true">IF(I556="","",SUMIFS(OrderItems_Qty,OrderItems_Type,"PURCHASE",OrderItems_SKU,I556)-SUMIFS(OrderItems_Qty,OrderItems_Type,"SALE",OrderItems_SKU,I556))</f>
        <v>0</v>
      </c>
    </row>
    <row r="557" customFormat="false" ht="15" hidden="false" customHeight="false" outlineLevel="0" collapsed="false">
      <c r="I557" s="82"/>
      <c r="K557" s="83"/>
      <c r="L557" s="84"/>
      <c r="N557" s="84"/>
      <c r="P557" s="0" t="n">
        <f aca="true">IF(I557="","",SUMIFS(OrderItems_Qty,OrderItems_Type,"PURCHASE",OrderItems_SKU,I557)-SUMIFS(OrderItems_Qty,OrderItems_Type,"SALE",OrderItems_SKU,I557))</f>
        <v>0</v>
      </c>
    </row>
    <row r="558" customFormat="false" ht="15" hidden="false" customHeight="false" outlineLevel="0" collapsed="false">
      <c r="I558" s="82"/>
      <c r="K558" s="83"/>
      <c r="L558" s="84"/>
      <c r="N558" s="84"/>
      <c r="P558" s="0" t="n">
        <f aca="true">IF(I558="","",SUMIFS(OrderItems_Qty,OrderItems_Type,"PURCHASE",OrderItems_SKU,I558)-SUMIFS(OrderItems_Qty,OrderItems_Type,"SALE",OrderItems_SKU,I558))</f>
        <v>0</v>
      </c>
    </row>
    <row r="559" customFormat="false" ht="15" hidden="false" customHeight="false" outlineLevel="0" collapsed="false">
      <c r="I559" s="82"/>
      <c r="K559" s="83"/>
      <c r="L559" s="84"/>
      <c r="N559" s="84"/>
      <c r="P559" s="0" t="n">
        <f aca="true">IF(I559="","",SUMIFS(OrderItems_Qty,OrderItems_Type,"PURCHASE",OrderItems_SKU,I559)-SUMIFS(OrderItems_Qty,OrderItems_Type,"SALE",OrderItems_SKU,I559))</f>
        <v>0</v>
      </c>
    </row>
    <row r="560" customFormat="false" ht="15" hidden="false" customHeight="false" outlineLevel="0" collapsed="false">
      <c r="I560" s="82"/>
      <c r="K560" s="83"/>
      <c r="L560" s="84"/>
      <c r="N560" s="84"/>
      <c r="P560" s="0" t="n">
        <f aca="true">IF(I560="","",SUMIFS(OrderItems_Qty,OrderItems_Type,"PURCHASE",OrderItems_SKU,I560)-SUMIFS(OrderItems_Qty,OrderItems_Type,"SALE",OrderItems_SKU,I560))</f>
        <v>0</v>
      </c>
    </row>
    <row r="561" customFormat="false" ht="15" hidden="false" customHeight="false" outlineLevel="0" collapsed="false">
      <c r="I561" s="82"/>
      <c r="K561" s="83"/>
      <c r="L561" s="84"/>
      <c r="N561" s="84"/>
      <c r="P561" s="0" t="n">
        <f aca="true">IF(I561="","",SUMIFS(OrderItems_Qty,OrderItems_Type,"PURCHASE",OrderItems_SKU,I561)-SUMIFS(OrderItems_Qty,OrderItems_Type,"SALE",OrderItems_SKU,I561))</f>
        <v>0</v>
      </c>
    </row>
    <row r="562" customFormat="false" ht="15" hidden="false" customHeight="false" outlineLevel="0" collapsed="false">
      <c r="I562" s="82"/>
      <c r="K562" s="83"/>
      <c r="L562" s="84"/>
      <c r="N562" s="84"/>
      <c r="P562" s="0" t="n">
        <f aca="true">IF(I562="","",SUMIFS(OrderItems_Qty,OrderItems_Type,"PURCHASE",OrderItems_SKU,I562)-SUMIFS(OrderItems_Qty,OrderItems_Type,"SALE",OrderItems_SKU,I562))</f>
        <v>0</v>
      </c>
    </row>
    <row r="563" customFormat="false" ht="15" hidden="false" customHeight="false" outlineLevel="0" collapsed="false">
      <c r="I563" s="82"/>
      <c r="K563" s="83"/>
      <c r="L563" s="84"/>
      <c r="N563" s="84"/>
      <c r="P563" s="0" t="n">
        <f aca="true">IF(I563="","",SUMIFS(OrderItems_Qty,OrderItems_Type,"PURCHASE",OrderItems_SKU,I563)-SUMIFS(OrderItems_Qty,OrderItems_Type,"SALE",OrderItems_SKU,I563))</f>
        <v>0</v>
      </c>
    </row>
    <row r="564" customFormat="false" ht="15" hidden="false" customHeight="false" outlineLevel="0" collapsed="false">
      <c r="I564" s="82"/>
      <c r="K564" s="83"/>
      <c r="L564" s="84"/>
      <c r="N564" s="84"/>
      <c r="P564" s="0" t="n">
        <f aca="true">IF(I564="","",SUMIFS(OrderItems_Qty,OrderItems_Type,"PURCHASE",OrderItems_SKU,I564)-SUMIFS(OrderItems_Qty,OrderItems_Type,"SALE",OrderItems_SKU,I564))</f>
        <v>0</v>
      </c>
    </row>
    <row r="565" customFormat="false" ht="15" hidden="false" customHeight="false" outlineLevel="0" collapsed="false">
      <c r="I565" s="82"/>
      <c r="K565" s="83"/>
      <c r="L565" s="84"/>
      <c r="N565" s="84"/>
      <c r="P565" s="0" t="n">
        <f aca="true">IF(I565="","",SUMIFS(OrderItems_Qty,OrderItems_Type,"PURCHASE",OrderItems_SKU,I565)-SUMIFS(OrderItems_Qty,OrderItems_Type,"SALE",OrderItems_SKU,I565))</f>
        <v>0</v>
      </c>
    </row>
    <row r="566" customFormat="false" ht="15" hidden="false" customHeight="false" outlineLevel="0" collapsed="false">
      <c r="I566" s="82"/>
      <c r="K566" s="83"/>
      <c r="L566" s="84"/>
      <c r="N566" s="84"/>
      <c r="P566" s="0" t="n">
        <f aca="true">IF(I566="","",SUMIFS(OrderItems_Qty,OrderItems_Type,"PURCHASE",OrderItems_SKU,I566)-SUMIFS(OrderItems_Qty,OrderItems_Type,"SALE",OrderItems_SKU,I566))</f>
        <v>0</v>
      </c>
    </row>
    <row r="567" customFormat="false" ht="15" hidden="false" customHeight="false" outlineLevel="0" collapsed="false">
      <c r="I567" s="82"/>
      <c r="K567" s="83"/>
      <c r="L567" s="84"/>
      <c r="N567" s="84"/>
      <c r="P567" s="0" t="n">
        <f aca="true">IF(I567="","",SUMIFS(OrderItems_Qty,OrderItems_Type,"PURCHASE",OrderItems_SKU,I567)-SUMIFS(OrderItems_Qty,OrderItems_Type,"SALE",OrderItems_SKU,I567))</f>
        <v>0</v>
      </c>
    </row>
    <row r="568" customFormat="false" ht="15" hidden="false" customHeight="false" outlineLevel="0" collapsed="false">
      <c r="I568" s="82"/>
      <c r="K568" s="83"/>
      <c r="L568" s="84"/>
      <c r="N568" s="84"/>
      <c r="P568" s="0" t="n">
        <f aca="true">IF(I568="","",SUMIFS(OrderItems_Qty,OrderItems_Type,"PURCHASE",OrderItems_SKU,I568)-SUMIFS(OrderItems_Qty,OrderItems_Type,"SALE",OrderItems_SKU,I568))</f>
        <v>0</v>
      </c>
    </row>
    <row r="569" customFormat="false" ht="15" hidden="false" customHeight="false" outlineLevel="0" collapsed="false">
      <c r="I569" s="82"/>
      <c r="K569" s="83"/>
      <c r="L569" s="84"/>
      <c r="N569" s="84"/>
      <c r="P569" s="0" t="n">
        <f aca="true">IF(I569="","",SUMIFS(OrderItems_Qty,OrderItems_Type,"PURCHASE",OrderItems_SKU,I569)-SUMIFS(OrderItems_Qty,OrderItems_Type,"SALE",OrderItems_SKU,I569))</f>
        <v>0</v>
      </c>
    </row>
    <row r="570" customFormat="false" ht="15" hidden="false" customHeight="false" outlineLevel="0" collapsed="false">
      <c r="I570" s="82"/>
      <c r="K570" s="83"/>
      <c r="L570" s="84"/>
      <c r="N570" s="84"/>
      <c r="P570" s="0" t="n">
        <f aca="true">IF(I570="","",SUMIFS(OrderItems_Qty,OrderItems_Type,"PURCHASE",OrderItems_SKU,I570)-SUMIFS(OrderItems_Qty,OrderItems_Type,"SALE",OrderItems_SKU,I570))</f>
        <v>0</v>
      </c>
    </row>
    <row r="571" customFormat="false" ht="15" hidden="false" customHeight="false" outlineLevel="0" collapsed="false">
      <c r="I571" s="82"/>
      <c r="K571" s="83"/>
      <c r="L571" s="84"/>
      <c r="N571" s="84"/>
      <c r="P571" s="0" t="n">
        <f aca="true">IF(I571="","",SUMIFS(OrderItems_Qty,OrderItems_Type,"PURCHASE",OrderItems_SKU,I571)-SUMIFS(OrderItems_Qty,OrderItems_Type,"SALE",OrderItems_SKU,I571))</f>
        <v>0</v>
      </c>
    </row>
    <row r="572" customFormat="false" ht="15" hidden="false" customHeight="false" outlineLevel="0" collapsed="false">
      <c r="I572" s="82"/>
      <c r="K572" s="83"/>
      <c r="L572" s="84"/>
      <c r="N572" s="84"/>
      <c r="P572" s="0" t="n">
        <f aca="true">IF(I572="","",SUMIFS(OrderItems_Qty,OrderItems_Type,"PURCHASE",OrderItems_SKU,I572)-SUMIFS(OrderItems_Qty,OrderItems_Type,"SALE",OrderItems_SKU,I572))</f>
        <v>0</v>
      </c>
    </row>
    <row r="573" customFormat="false" ht="15" hidden="false" customHeight="false" outlineLevel="0" collapsed="false">
      <c r="I573" s="82"/>
      <c r="K573" s="83"/>
      <c r="L573" s="84"/>
      <c r="N573" s="84"/>
      <c r="P573" s="0" t="n">
        <f aca="true">IF(I573="","",SUMIFS(OrderItems_Qty,OrderItems_Type,"PURCHASE",OrderItems_SKU,I573)-SUMIFS(OrderItems_Qty,OrderItems_Type,"SALE",OrderItems_SKU,I573))</f>
        <v>0</v>
      </c>
    </row>
    <row r="574" customFormat="false" ht="15" hidden="false" customHeight="false" outlineLevel="0" collapsed="false">
      <c r="I574" s="82"/>
      <c r="K574" s="83"/>
      <c r="L574" s="84"/>
      <c r="N574" s="84"/>
      <c r="P574" s="0" t="n">
        <f aca="true">IF(I574="","",SUMIFS(OrderItems_Qty,OrderItems_Type,"PURCHASE",OrderItems_SKU,I574)-SUMIFS(OrderItems_Qty,OrderItems_Type,"SALE",OrderItems_SKU,I574))</f>
        <v>0</v>
      </c>
    </row>
    <row r="575" customFormat="false" ht="15" hidden="false" customHeight="false" outlineLevel="0" collapsed="false">
      <c r="I575" s="82"/>
      <c r="K575" s="83"/>
      <c r="L575" s="84"/>
      <c r="N575" s="84"/>
      <c r="P575" s="0" t="n">
        <f aca="true">IF(I575="","",SUMIFS(OrderItems_Qty,OrderItems_Type,"PURCHASE",OrderItems_SKU,I575)-SUMIFS(OrderItems_Qty,OrderItems_Type,"SALE",OrderItems_SKU,I575))</f>
        <v>0</v>
      </c>
    </row>
    <row r="576" customFormat="false" ht="15" hidden="false" customHeight="false" outlineLevel="0" collapsed="false">
      <c r="I576" s="82"/>
      <c r="K576" s="83"/>
      <c r="L576" s="84"/>
      <c r="N576" s="84"/>
      <c r="P576" s="0" t="n">
        <f aca="true">IF(I576="","",SUMIFS(OrderItems_Qty,OrderItems_Type,"PURCHASE",OrderItems_SKU,I576)-SUMIFS(OrderItems_Qty,OrderItems_Type,"SALE",OrderItems_SKU,I576))</f>
        <v>0</v>
      </c>
    </row>
    <row r="577" customFormat="false" ht="15" hidden="false" customHeight="false" outlineLevel="0" collapsed="false">
      <c r="I577" s="82"/>
      <c r="K577" s="83"/>
      <c r="L577" s="84"/>
      <c r="N577" s="84"/>
      <c r="P577" s="0" t="n">
        <f aca="true">IF(I577="","",SUMIFS(OrderItems_Qty,OrderItems_Type,"PURCHASE",OrderItems_SKU,I577)-SUMIFS(OrderItems_Qty,OrderItems_Type,"SALE",OrderItems_SKU,I577))</f>
        <v>0</v>
      </c>
    </row>
    <row r="578" customFormat="false" ht="15" hidden="false" customHeight="false" outlineLevel="0" collapsed="false">
      <c r="I578" s="82"/>
      <c r="K578" s="83"/>
      <c r="L578" s="84"/>
      <c r="N578" s="84"/>
      <c r="P578" s="0" t="n">
        <f aca="true">IF(I578="","",SUMIFS(OrderItems_Qty,OrderItems_Type,"PURCHASE",OrderItems_SKU,I578)-SUMIFS(OrderItems_Qty,OrderItems_Type,"SALE",OrderItems_SKU,I578))</f>
        <v>0</v>
      </c>
    </row>
    <row r="579" customFormat="false" ht="15" hidden="false" customHeight="false" outlineLevel="0" collapsed="false">
      <c r="I579" s="82"/>
      <c r="K579" s="83"/>
      <c r="L579" s="84"/>
      <c r="N579" s="84"/>
      <c r="P579" s="0" t="n">
        <f aca="true">IF(I579="","",SUMIFS(OrderItems_Qty,OrderItems_Type,"PURCHASE",OrderItems_SKU,I579)-SUMIFS(OrderItems_Qty,OrderItems_Type,"SALE",OrderItems_SKU,I579))</f>
        <v>0</v>
      </c>
    </row>
    <row r="580" customFormat="false" ht="15" hidden="false" customHeight="false" outlineLevel="0" collapsed="false">
      <c r="I580" s="82"/>
      <c r="K580" s="83"/>
      <c r="L580" s="84"/>
      <c r="N580" s="84"/>
      <c r="P580" s="0" t="n">
        <f aca="true">IF(I580="","",SUMIFS(OrderItems_Qty,OrderItems_Type,"PURCHASE",OrderItems_SKU,I580)-SUMIFS(OrderItems_Qty,OrderItems_Type,"SALE",OrderItems_SKU,I580))</f>
        <v>0</v>
      </c>
    </row>
    <row r="581" customFormat="false" ht="15" hidden="false" customHeight="false" outlineLevel="0" collapsed="false">
      <c r="I581" s="82"/>
      <c r="K581" s="83"/>
      <c r="L581" s="84"/>
      <c r="N581" s="84"/>
      <c r="P581" s="0" t="n">
        <f aca="true">IF(I581="","",SUMIFS(OrderItems_Qty,OrderItems_Type,"PURCHASE",OrderItems_SKU,I581)-SUMIFS(OrderItems_Qty,OrderItems_Type,"SALE",OrderItems_SKU,I581))</f>
        <v>0</v>
      </c>
    </row>
    <row r="582" customFormat="false" ht="15" hidden="false" customHeight="false" outlineLevel="0" collapsed="false">
      <c r="I582" s="82"/>
      <c r="K582" s="83"/>
      <c r="L582" s="84"/>
      <c r="N582" s="84"/>
      <c r="P582" s="0" t="n">
        <f aca="true">IF(I582="","",SUMIFS(OrderItems_Qty,OrderItems_Type,"PURCHASE",OrderItems_SKU,I582)-SUMIFS(OrderItems_Qty,OrderItems_Type,"SALE",OrderItems_SKU,I582))</f>
        <v>0</v>
      </c>
    </row>
    <row r="583" customFormat="false" ht="15" hidden="false" customHeight="false" outlineLevel="0" collapsed="false">
      <c r="I583" s="82"/>
      <c r="K583" s="83"/>
      <c r="L583" s="84"/>
      <c r="N583" s="84"/>
      <c r="P583" s="0" t="n">
        <f aca="true">IF(I583="","",SUMIFS(OrderItems_Qty,OrderItems_Type,"PURCHASE",OrderItems_SKU,I583)-SUMIFS(OrderItems_Qty,OrderItems_Type,"SALE",OrderItems_SKU,I583))</f>
        <v>0</v>
      </c>
    </row>
    <row r="584" customFormat="false" ht="15" hidden="false" customHeight="false" outlineLevel="0" collapsed="false">
      <c r="I584" s="82"/>
      <c r="K584" s="83"/>
      <c r="L584" s="84"/>
      <c r="N584" s="84"/>
      <c r="P584" s="0" t="n">
        <f aca="true">IF(I584="","",SUMIFS(OrderItems_Qty,OrderItems_Type,"PURCHASE",OrderItems_SKU,I584)-SUMIFS(OrderItems_Qty,OrderItems_Type,"SALE",OrderItems_SKU,I584))</f>
        <v>0</v>
      </c>
    </row>
    <row r="585" customFormat="false" ht="15" hidden="false" customHeight="false" outlineLevel="0" collapsed="false">
      <c r="I585" s="82"/>
      <c r="K585" s="83"/>
      <c r="L585" s="84"/>
      <c r="N585" s="84"/>
      <c r="P585" s="0" t="n">
        <f aca="true">IF(I585="","",SUMIFS(OrderItems_Qty,OrderItems_Type,"PURCHASE",OrderItems_SKU,I585)-SUMIFS(OrderItems_Qty,OrderItems_Type,"SALE",OrderItems_SKU,I585))</f>
        <v>0</v>
      </c>
    </row>
    <row r="586" customFormat="false" ht="15" hidden="false" customHeight="false" outlineLevel="0" collapsed="false">
      <c r="I586" s="82"/>
      <c r="K586" s="83"/>
      <c r="L586" s="84"/>
      <c r="N586" s="84"/>
      <c r="P586" s="0" t="n">
        <f aca="true">IF(I586="","",SUMIFS(OrderItems_Qty,OrderItems_Type,"PURCHASE",OrderItems_SKU,I586)-SUMIFS(OrderItems_Qty,OrderItems_Type,"SALE",OrderItems_SKU,I586))</f>
        <v>0</v>
      </c>
    </row>
    <row r="587" customFormat="false" ht="15" hidden="false" customHeight="false" outlineLevel="0" collapsed="false">
      <c r="I587" s="82"/>
      <c r="K587" s="83"/>
      <c r="L587" s="84"/>
      <c r="N587" s="84"/>
      <c r="P587" s="0" t="n">
        <f aca="true">IF(I587="","",SUMIFS(OrderItems_Qty,OrderItems_Type,"PURCHASE",OrderItems_SKU,I587)-SUMIFS(OrderItems_Qty,OrderItems_Type,"SALE",OrderItems_SKU,I587))</f>
        <v>0</v>
      </c>
    </row>
    <row r="588" customFormat="false" ht="15" hidden="false" customHeight="false" outlineLevel="0" collapsed="false">
      <c r="I588" s="82"/>
      <c r="K588" s="83"/>
      <c r="L588" s="84"/>
      <c r="N588" s="84"/>
      <c r="P588" s="0" t="n">
        <f aca="true">IF(I588="","",SUMIFS(OrderItems_Qty,OrderItems_Type,"PURCHASE",OrderItems_SKU,I588)-SUMIFS(OrderItems_Qty,OrderItems_Type,"SALE",OrderItems_SKU,I588))</f>
        <v>0</v>
      </c>
    </row>
    <row r="589" customFormat="false" ht="15" hidden="false" customHeight="false" outlineLevel="0" collapsed="false">
      <c r="I589" s="82"/>
      <c r="K589" s="83"/>
      <c r="L589" s="84"/>
      <c r="N589" s="84"/>
      <c r="P589" s="0" t="n">
        <f aca="true">IF(I589="","",SUMIFS(OrderItems_Qty,OrderItems_Type,"PURCHASE",OrderItems_SKU,I589)-SUMIFS(OrderItems_Qty,OrderItems_Type,"SALE",OrderItems_SKU,I589))</f>
        <v>0</v>
      </c>
    </row>
    <row r="590" customFormat="false" ht="15" hidden="false" customHeight="false" outlineLevel="0" collapsed="false">
      <c r="I590" s="82"/>
      <c r="K590" s="83"/>
      <c r="L590" s="84"/>
      <c r="N590" s="84"/>
      <c r="P590" s="0" t="n">
        <f aca="true">IF(I590="","",SUMIFS(OrderItems_Qty,OrderItems_Type,"PURCHASE",OrderItems_SKU,I590)-SUMIFS(OrderItems_Qty,OrderItems_Type,"SALE",OrderItems_SKU,I590))</f>
        <v>0</v>
      </c>
    </row>
    <row r="591" customFormat="false" ht="15" hidden="false" customHeight="false" outlineLevel="0" collapsed="false">
      <c r="I591" s="82"/>
      <c r="K591" s="83"/>
      <c r="L591" s="84"/>
      <c r="N591" s="84"/>
      <c r="P591" s="0" t="n">
        <f aca="true">IF(I591="","",SUMIFS(OrderItems_Qty,OrderItems_Type,"PURCHASE",OrderItems_SKU,I591)-SUMIFS(OrderItems_Qty,OrderItems_Type,"SALE",OrderItems_SKU,I591))</f>
        <v>0</v>
      </c>
    </row>
    <row r="592" customFormat="false" ht="15" hidden="false" customHeight="false" outlineLevel="0" collapsed="false">
      <c r="I592" s="82"/>
      <c r="K592" s="83"/>
      <c r="L592" s="84"/>
      <c r="N592" s="84"/>
      <c r="P592" s="0" t="n">
        <f aca="true">IF(I592="","",SUMIFS(OrderItems_Qty,OrderItems_Type,"PURCHASE",OrderItems_SKU,I592)-SUMIFS(OrderItems_Qty,OrderItems_Type,"SALE",OrderItems_SKU,I592))</f>
        <v>0</v>
      </c>
    </row>
    <row r="593" customFormat="false" ht="15" hidden="false" customHeight="false" outlineLevel="0" collapsed="false">
      <c r="I593" s="82"/>
      <c r="K593" s="83"/>
      <c r="L593" s="84"/>
      <c r="N593" s="84"/>
      <c r="P593" s="0" t="n">
        <f aca="true">IF(I593="","",SUMIFS(OrderItems_Qty,OrderItems_Type,"PURCHASE",OrderItems_SKU,I593)-SUMIFS(OrderItems_Qty,OrderItems_Type,"SALE",OrderItems_SKU,I593))</f>
        <v>0</v>
      </c>
    </row>
    <row r="594" customFormat="false" ht="15" hidden="false" customHeight="false" outlineLevel="0" collapsed="false">
      <c r="I594" s="82"/>
      <c r="K594" s="83"/>
      <c r="L594" s="84"/>
      <c r="N594" s="84"/>
      <c r="P594" s="0" t="n">
        <f aca="true">IF(I594="","",SUMIFS(OrderItems_Qty,OrderItems_Type,"PURCHASE",OrderItems_SKU,I594)-SUMIFS(OrderItems_Qty,OrderItems_Type,"SALE",OrderItems_SKU,I594))</f>
        <v>0</v>
      </c>
    </row>
    <row r="595" customFormat="false" ht="15" hidden="false" customHeight="false" outlineLevel="0" collapsed="false">
      <c r="I595" s="82"/>
      <c r="K595" s="83"/>
      <c r="L595" s="84"/>
      <c r="N595" s="84"/>
      <c r="P595" s="0" t="n">
        <f aca="true">IF(I595="","",SUMIFS(OrderItems_Qty,OrderItems_Type,"PURCHASE",OrderItems_SKU,I595)-SUMIFS(OrderItems_Qty,OrderItems_Type,"SALE",OrderItems_SKU,I595))</f>
        <v>0</v>
      </c>
    </row>
    <row r="596" customFormat="false" ht="15" hidden="false" customHeight="false" outlineLevel="0" collapsed="false">
      <c r="I596" s="82"/>
      <c r="K596" s="83"/>
      <c r="L596" s="84"/>
      <c r="N596" s="84"/>
      <c r="P596" s="0" t="n">
        <f aca="true">IF(I596="","",SUMIFS(OrderItems_Qty,OrderItems_Type,"PURCHASE",OrderItems_SKU,I596)-SUMIFS(OrderItems_Qty,OrderItems_Type,"SALE",OrderItems_SKU,I596))</f>
        <v>0</v>
      </c>
    </row>
    <row r="597" customFormat="false" ht="15" hidden="false" customHeight="false" outlineLevel="0" collapsed="false">
      <c r="I597" s="82"/>
      <c r="K597" s="83"/>
      <c r="L597" s="84"/>
      <c r="N597" s="84"/>
      <c r="P597" s="0" t="n">
        <f aca="true">IF(I597="","",SUMIFS(OrderItems_Qty,OrderItems_Type,"PURCHASE",OrderItems_SKU,I597)-SUMIFS(OrderItems_Qty,OrderItems_Type,"SALE",OrderItems_SKU,I597))</f>
        <v>0</v>
      </c>
    </row>
    <row r="598" customFormat="false" ht="15" hidden="false" customHeight="false" outlineLevel="0" collapsed="false">
      <c r="I598" s="82"/>
      <c r="K598" s="83"/>
      <c r="L598" s="84"/>
      <c r="N598" s="84"/>
      <c r="P598" s="0" t="n">
        <f aca="true">IF(I598="","",SUMIFS(OrderItems_Qty,OrderItems_Type,"PURCHASE",OrderItems_SKU,I598)-SUMIFS(OrderItems_Qty,OrderItems_Type,"SALE",OrderItems_SKU,I598))</f>
        <v>0</v>
      </c>
    </row>
    <row r="599" customFormat="false" ht="15" hidden="false" customHeight="false" outlineLevel="0" collapsed="false">
      <c r="I599" s="82"/>
      <c r="K599" s="83"/>
      <c r="L599" s="84"/>
      <c r="N599" s="84"/>
      <c r="P599" s="0" t="n">
        <f aca="true">IF(I599="","",SUMIFS(OrderItems_Qty,OrderItems_Type,"PURCHASE",OrderItems_SKU,I599)-SUMIFS(OrderItems_Qty,OrderItems_Type,"SALE",OrderItems_SKU,I599))</f>
        <v>0</v>
      </c>
    </row>
    <row r="600" customFormat="false" ht="15" hidden="false" customHeight="false" outlineLevel="0" collapsed="false">
      <c r="I600" s="82"/>
      <c r="K600" s="83"/>
      <c r="L600" s="84"/>
      <c r="N600" s="84"/>
      <c r="P600" s="0" t="n">
        <f aca="true">IF(I600="","",SUMIFS(OrderItems_Qty,OrderItems_Type,"PURCHASE",OrderItems_SKU,I600)-SUMIFS(OrderItems_Qty,OrderItems_Type,"SALE",OrderItems_SKU,I600))</f>
        <v>0</v>
      </c>
    </row>
    <row r="601" customFormat="false" ht="15" hidden="false" customHeight="false" outlineLevel="0" collapsed="false">
      <c r="I601" s="82"/>
      <c r="K601" s="83"/>
      <c r="L601" s="84"/>
      <c r="N601" s="84"/>
      <c r="P601" s="0" t="n">
        <f aca="true">IF(I601="","",SUMIFS(OrderItems_Qty,OrderItems_Type,"PURCHASE",OrderItems_SKU,I601)-SUMIFS(OrderItems_Qty,OrderItems_Type,"SALE",OrderItems_SKU,I601))</f>
        <v>0</v>
      </c>
    </row>
    <row r="602" customFormat="false" ht="15" hidden="false" customHeight="false" outlineLevel="0" collapsed="false">
      <c r="I602" s="82"/>
      <c r="K602" s="83"/>
      <c r="L602" s="84"/>
      <c r="N602" s="84"/>
      <c r="P602" s="0" t="n">
        <f aca="true">IF(I602="","",SUMIFS(OrderItems_Qty,OrderItems_Type,"PURCHASE",OrderItems_SKU,I602)-SUMIFS(OrderItems_Qty,OrderItems_Type,"SALE",OrderItems_SKU,I602))</f>
        <v>0</v>
      </c>
    </row>
    <row r="603" customFormat="false" ht="15" hidden="false" customHeight="false" outlineLevel="0" collapsed="false">
      <c r="I603" s="82"/>
      <c r="K603" s="83"/>
      <c r="L603" s="84"/>
      <c r="N603" s="84"/>
      <c r="P603" s="0" t="n">
        <f aca="true">IF(I603="","",SUMIFS(OrderItems_Qty,OrderItems_Type,"PURCHASE",OrderItems_SKU,I603)-SUMIFS(OrderItems_Qty,OrderItems_Type,"SALE",OrderItems_SKU,I603))</f>
        <v>0</v>
      </c>
    </row>
    <row r="604" customFormat="false" ht="15" hidden="false" customHeight="false" outlineLevel="0" collapsed="false">
      <c r="I604" s="82"/>
      <c r="K604" s="83"/>
      <c r="L604" s="84"/>
      <c r="N604" s="84"/>
      <c r="P604" s="0" t="n">
        <f aca="true">IF(I604="","",SUMIFS(OrderItems_Qty,OrderItems_Type,"PURCHASE",OrderItems_SKU,I604)-SUMIFS(OrderItems_Qty,OrderItems_Type,"SALE",OrderItems_SKU,I604))</f>
        <v>0</v>
      </c>
    </row>
    <row r="605" customFormat="false" ht="15" hidden="false" customHeight="false" outlineLevel="0" collapsed="false">
      <c r="I605" s="82"/>
      <c r="K605" s="83"/>
      <c r="L605" s="84"/>
      <c r="N605" s="84"/>
      <c r="P605" s="0" t="n">
        <f aca="true">IF(I605="","",SUMIFS(OrderItems_Qty,OrderItems_Type,"PURCHASE",OrderItems_SKU,I605)-SUMIFS(OrderItems_Qty,OrderItems_Type,"SALE",OrderItems_SKU,I605))</f>
        <v>0</v>
      </c>
    </row>
    <row r="606" customFormat="false" ht="15" hidden="false" customHeight="false" outlineLevel="0" collapsed="false">
      <c r="I606" s="82"/>
      <c r="K606" s="83"/>
      <c r="L606" s="84"/>
      <c r="N606" s="84"/>
      <c r="P606" s="0" t="n">
        <f aca="true">IF(I606="","",SUMIFS(OrderItems_Qty,OrderItems_Type,"PURCHASE",OrderItems_SKU,I606)-SUMIFS(OrderItems_Qty,OrderItems_Type,"SALE",OrderItems_SKU,I606))</f>
        <v>0</v>
      </c>
    </row>
    <row r="607" customFormat="false" ht="15" hidden="false" customHeight="false" outlineLevel="0" collapsed="false">
      <c r="I607" s="82"/>
      <c r="K607" s="83"/>
      <c r="L607" s="84"/>
      <c r="N607" s="84"/>
      <c r="P607" s="0" t="n">
        <f aca="true">IF(I607="","",SUMIFS(OrderItems_Qty,OrderItems_Type,"PURCHASE",OrderItems_SKU,I607)-SUMIFS(OrderItems_Qty,OrderItems_Type,"SALE",OrderItems_SKU,I607))</f>
        <v>0</v>
      </c>
    </row>
    <row r="608" customFormat="false" ht="15" hidden="false" customHeight="false" outlineLevel="0" collapsed="false">
      <c r="I608" s="82"/>
      <c r="K608" s="83"/>
      <c r="L608" s="84"/>
      <c r="N608" s="84"/>
      <c r="P608" s="0" t="n">
        <f aca="true">IF(I608="","",SUMIFS(OrderItems_Qty,OrderItems_Type,"PURCHASE",OrderItems_SKU,I608)-SUMIFS(OrderItems_Qty,OrderItems_Type,"SALE",OrderItems_SKU,I608))</f>
        <v>0</v>
      </c>
    </row>
    <row r="609" customFormat="false" ht="15" hidden="false" customHeight="false" outlineLevel="0" collapsed="false">
      <c r="I609" s="82"/>
      <c r="K609" s="83"/>
      <c r="L609" s="84"/>
      <c r="N609" s="84"/>
      <c r="P609" s="0" t="n">
        <f aca="true">IF(I609="","",SUMIFS(OrderItems_Qty,OrderItems_Type,"PURCHASE",OrderItems_SKU,I609)-SUMIFS(OrderItems_Qty,OrderItems_Type,"SALE",OrderItems_SKU,I609))</f>
        <v>0</v>
      </c>
    </row>
    <row r="610" customFormat="false" ht="15" hidden="false" customHeight="false" outlineLevel="0" collapsed="false">
      <c r="I610" s="82"/>
      <c r="K610" s="83"/>
      <c r="L610" s="84"/>
      <c r="N610" s="84"/>
      <c r="P610" s="0" t="n">
        <f aca="true">IF(I610="","",SUMIFS(OrderItems_Qty,OrderItems_Type,"PURCHASE",OrderItems_SKU,I610)-SUMIFS(OrderItems_Qty,OrderItems_Type,"SALE",OrderItems_SKU,I610))</f>
        <v>0</v>
      </c>
    </row>
    <row r="611" customFormat="false" ht="15" hidden="false" customHeight="false" outlineLevel="0" collapsed="false">
      <c r="I611" s="82"/>
      <c r="K611" s="83"/>
      <c r="L611" s="84"/>
      <c r="N611" s="84"/>
      <c r="P611" s="0" t="n">
        <f aca="true">IF(I611="","",SUMIFS(OrderItems_Qty,OrderItems_Type,"PURCHASE",OrderItems_SKU,I611)-SUMIFS(OrderItems_Qty,OrderItems_Type,"SALE",OrderItems_SKU,I611))</f>
        <v>0</v>
      </c>
    </row>
    <row r="612" customFormat="false" ht="15" hidden="false" customHeight="false" outlineLevel="0" collapsed="false">
      <c r="I612" s="82"/>
      <c r="K612" s="83"/>
      <c r="L612" s="84"/>
      <c r="N612" s="84"/>
      <c r="P612" s="0" t="n">
        <f aca="true">IF(I612="","",SUMIFS(OrderItems_Qty,OrderItems_Type,"PURCHASE",OrderItems_SKU,I612)-SUMIFS(OrderItems_Qty,OrderItems_Type,"SALE",OrderItems_SKU,I612))</f>
        <v>0</v>
      </c>
    </row>
    <row r="613" customFormat="false" ht="15" hidden="false" customHeight="false" outlineLevel="0" collapsed="false">
      <c r="I613" s="82"/>
      <c r="K613" s="83"/>
      <c r="L613" s="84"/>
      <c r="N613" s="84"/>
      <c r="P613" s="0" t="n">
        <f aca="true">IF(I613="","",SUMIFS(OrderItems_Qty,OrderItems_Type,"PURCHASE",OrderItems_SKU,I613)-SUMIFS(OrderItems_Qty,OrderItems_Type,"SALE",OrderItems_SKU,I613))</f>
        <v>0</v>
      </c>
    </row>
    <row r="614" customFormat="false" ht="15" hidden="false" customHeight="false" outlineLevel="0" collapsed="false">
      <c r="I614" s="82"/>
      <c r="K614" s="83"/>
      <c r="L614" s="84"/>
      <c r="N614" s="84"/>
      <c r="P614" s="0" t="n">
        <f aca="true">IF(I614="","",SUMIFS(OrderItems_Qty,OrderItems_Type,"PURCHASE",OrderItems_SKU,I614)-SUMIFS(OrderItems_Qty,OrderItems_Type,"SALE",OrderItems_SKU,I614))</f>
        <v>0</v>
      </c>
    </row>
    <row r="615" customFormat="false" ht="15" hidden="false" customHeight="false" outlineLevel="0" collapsed="false">
      <c r="I615" s="82"/>
      <c r="K615" s="83"/>
      <c r="L615" s="84"/>
      <c r="N615" s="84"/>
      <c r="P615" s="0" t="n">
        <f aca="true">IF(I615="","",SUMIFS(OrderItems_Qty,OrderItems_Type,"PURCHASE",OrderItems_SKU,I615)-SUMIFS(OrderItems_Qty,OrderItems_Type,"SALE",OrderItems_SKU,I615))</f>
        <v>0</v>
      </c>
    </row>
    <row r="616" customFormat="false" ht="15" hidden="false" customHeight="false" outlineLevel="0" collapsed="false">
      <c r="I616" s="82"/>
      <c r="K616" s="83"/>
      <c r="L616" s="84"/>
      <c r="N616" s="84"/>
      <c r="P616" s="0" t="n">
        <f aca="true">IF(I616="","",SUMIFS(OrderItems_Qty,OrderItems_Type,"PURCHASE",OrderItems_SKU,I616)-SUMIFS(OrderItems_Qty,OrderItems_Type,"SALE",OrderItems_SKU,I616))</f>
        <v>0</v>
      </c>
    </row>
    <row r="617" customFormat="false" ht="15" hidden="false" customHeight="false" outlineLevel="0" collapsed="false">
      <c r="I617" s="82"/>
      <c r="K617" s="83"/>
      <c r="L617" s="84"/>
      <c r="N617" s="84"/>
      <c r="P617" s="0" t="n">
        <f aca="true">IF(I617="","",SUMIFS(OrderItems_Qty,OrderItems_Type,"PURCHASE",OrderItems_SKU,I617)-SUMIFS(OrderItems_Qty,OrderItems_Type,"SALE",OrderItems_SKU,I617))</f>
        <v>0</v>
      </c>
    </row>
    <row r="618" customFormat="false" ht="15" hidden="false" customHeight="false" outlineLevel="0" collapsed="false">
      <c r="I618" s="82"/>
      <c r="K618" s="83"/>
      <c r="L618" s="84"/>
      <c r="N618" s="84"/>
      <c r="P618" s="0" t="n">
        <f aca="true">IF(I618="","",SUMIFS(OrderItems_Qty,OrderItems_Type,"PURCHASE",OrderItems_SKU,I618)-SUMIFS(OrderItems_Qty,OrderItems_Type,"SALE",OrderItems_SKU,I618))</f>
        <v>0</v>
      </c>
    </row>
    <row r="619" customFormat="false" ht="15" hidden="false" customHeight="false" outlineLevel="0" collapsed="false">
      <c r="I619" s="82"/>
      <c r="K619" s="83"/>
      <c r="L619" s="84"/>
      <c r="N619" s="84"/>
      <c r="P619" s="0" t="n">
        <f aca="true">IF(I619="","",SUMIFS(OrderItems_Qty,OrderItems_Type,"PURCHASE",OrderItems_SKU,I619)-SUMIFS(OrderItems_Qty,OrderItems_Type,"SALE",OrderItems_SKU,I619))</f>
        <v>0</v>
      </c>
    </row>
    <row r="620" customFormat="false" ht="15" hidden="false" customHeight="false" outlineLevel="0" collapsed="false">
      <c r="I620" s="82"/>
      <c r="K620" s="83"/>
      <c r="L620" s="84"/>
      <c r="N620" s="84"/>
      <c r="P620" s="0" t="n">
        <f aca="true">IF(I620="","",SUMIFS(OrderItems_Qty,OrderItems_Type,"PURCHASE",OrderItems_SKU,I620)-SUMIFS(OrderItems_Qty,OrderItems_Type,"SALE",OrderItems_SKU,I620))</f>
        <v>0</v>
      </c>
    </row>
    <row r="621" customFormat="false" ht="15" hidden="false" customHeight="false" outlineLevel="0" collapsed="false">
      <c r="I621" s="82"/>
      <c r="K621" s="83"/>
      <c r="L621" s="84"/>
      <c r="N621" s="84"/>
      <c r="P621" s="0" t="n">
        <f aca="true">IF(I621="","",SUMIFS(OrderItems_Qty,OrderItems_Type,"PURCHASE",OrderItems_SKU,I621)-SUMIFS(OrderItems_Qty,OrderItems_Type,"SALE",OrderItems_SKU,I621))</f>
        <v>0</v>
      </c>
    </row>
    <row r="622" customFormat="false" ht="15" hidden="false" customHeight="false" outlineLevel="0" collapsed="false">
      <c r="I622" s="82"/>
      <c r="K622" s="83"/>
      <c r="L622" s="84"/>
      <c r="N622" s="84"/>
      <c r="P622" s="0" t="n">
        <f aca="true">IF(I622="","",SUMIFS(OrderItems_Qty,OrderItems_Type,"PURCHASE",OrderItems_SKU,I622)-SUMIFS(OrderItems_Qty,OrderItems_Type,"SALE",OrderItems_SKU,I622))</f>
        <v>0</v>
      </c>
    </row>
    <row r="623" customFormat="false" ht="15" hidden="false" customHeight="false" outlineLevel="0" collapsed="false">
      <c r="I623" s="82"/>
      <c r="K623" s="83"/>
      <c r="L623" s="84"/>
      <c r="N623" s="84"/>
      <c r="P623" s="0" t="n">
        <f aca="true">IF(I623="","",SUMIFS(OrderItems_Qty,OrderItems_Type,"PURCHASE",OrderItems_SKU,I623)-SUMIFS(OrderItems_Qty,OrderItems_Type,"SALE",OrderItems_SKU,I623))</f>
        <v>0</v>
      </c>
    </row>
    <row r="624" customFormat="false" ht="15" hidden="false" customHeight="false" outlineLevel="0" collapsed="false">
      <c r="I624" s="82"/>
      <c r="K624" s="83"/>
      <c r="L624" s="84"/>
      <c r="N624" s="84"/>
      <c r="P624" s="0" t="n">
        <f aca="true">IF(I624="","",SUMIFS(OrderItems_Qty,OrderItems_Type,"PURCHASE",OrderItems_SKU,I624)-SUMIFS(OrderItems_Qty,OrderItems_Type,"SALE",OrderItems_SKU,I624))</f>
        <v>0</v>
      </c>
    </row>
    <row r="625" customFormat="false" ht="15" hidden="false" customHeight="false" outlineLevel="0" collapsed="false">
      <c r="I625" s="82"/>
      <c r="K625" s="83"/>
      <c r="L625" s="84"/>
      <c r="N625" s="84"/>
      <c r="P625" s="0" t="n">
        <f aca="true">IF(I625="","",SUMIFS(OrderItems_Qty,OrderItems_Type,"PURCHASE",OrderItems_SKU,I625)-SUMIFS(OrderItems_Qty,OrderItems_Type,"SALE",OrderItems_SKU,I625))</f>
        <v>0</v>
      </c>
    </row>
    <row r="626" customFormat="false" ht="15" hidden="false" customHeight="false" outlineLevel="0" collapsed="false">
      <c r="I626" s="82"/>
      <c r="K626" s="83"/>
      <c r="L626" s="84"/>
      <c r="N626" s="84"/>
      <c r="P626" s="0" t="n">
        <f aca="true">IF(I626="","",SUMIFS(OrderItems_Qty,OrderItems_Type,"PURCHASE",OrderItems_SKU,I626)-SUMIFS(OrderItems_Qty,OrderItems_Type,"SALE",OrderItems_SKU,I626))</f>
        <v>0</v>
      </c>
    </row>
    <row r="627" customFormat="false" ht="15" hidden="false" customHeight="false" outlineLevel="0" collapsed="false">
      <c r="I627" s="82"/>
      <c r="K627" s="83"/>
      <c r="L627" s="84"/>
      <c r="N627" s="84"/>
      <c r="P627" s="0" t="n">
        <f aca="true">IF(I627="","",SUMIFS(OrderItems_Qty,OrderItems_Type,"PURCHASE",OrderItems_SKU,I627)-SUMIFS(OrderItems_Qty,OrderItems_Type,"SALE",OrderItems_SKU,I627))</f>
        <v>0</v>
      </c>
    </row>
    <row r="628" customFormat="false" ht="15" hidden="false" customHeight="false" outlineLevel="0" collapsed="false">
      <c r="I628" s="82"/>
      <c r="K628" s="83"/>
      <c r="L628" s="84"/>
      <c r="N628" s="84"/>
      <c r="P628" s="0" t="n">
        <f aca="true">IF(I628="","",SUMIFS(OrderItems_Qty,OrderItems_Type,"PURCHASE",OrderItems_SKU,I628)-SUMIFS(OrderItems_Qty,OrderItems_Type,"SALE",OrderItems_SKU,I628))</f>
        <v>0</v>
      </c>
    </row>
    <row r="629" customFormat="false" ht="15" hidden="false" customHeight="false" outlineLevel="0" collapsed="false">
      <c r="I629" s="82"/>
      <c r="K629" s="83"/>
      <c r="L629" s="84"/>
      <c r="N629" s="84"/>
      <c r="P629" s="0" t="n">
        <f aca="true">IF(I629="","",SUMIFS(OrderItems_Qty,OrderItems_Type,"PURCHASE",OrderItems_SKU,I629)-SUMIFS(OrderItems_Qty,OrderItems_Type,"SALE",OrderItems_SKU,I629))</f>
        <v>0</v>
      </c>
    </row>
    <row r="630" customFormat="false" ht="15" hidden="false" customHeight="false" outlineLevel="0" collapsed="false">
      <c r="I630" s="82"/>
      <c r="K630" s="83"/>
      <c r="L630" s="84"/>
      <c r="N630" s="84"/>
      <c r="P630" s="0" t="n">
        <f aca="true">IF(I630="","",SUMIFS(OrderItems_Qty,OrderItems_Type,"PURCHASE",OrderItems_SKU,I630)-SUMIFS(OrderItems_Qty,OrderItems_Type,"SALE",OrderItems_SKU,I630))</f>
        <v>0</v>
      </c>
    </row>
    <row r="631" customFormat="false" ht="15" hidden="false" customHeight="false" outlineLevel="0" collapsed="false">
      <c r="I631" s="82"/>
      <c r="K631" s="83"/>
      <c r="L631" s="84"/>
      <c r="N631" s="84"/>
      <c r="P631" s="0" t="n">
        <f aca="true">IF(I631="","",SUMIFS(OrderItems_Qty,OrderItems_Type,"PURCHASE",OrderItems_SKU,I631)-SUMIFS(OrderItems_Qty,OrderItems_Type,"SALE",OrderItems_SKU,I631))</f>
        <v>0</v>
      </c>
    </row>
    <row r="632" customFormat="false" ht="15" hidden="false" customHeight="false" outlineLevel="0" collapsed="false">
      <c r="I632" s="82"/>
      <c r="K632" s="83"/>
      <c r="L632" s="84"/>
      <c r="N632" s="84"/>
      <c r="P632" s="0" t="n">
        <f aca="true">IF(I632="","",SUMIFS(OrderItems_Qty,OrderItems_Type,"PURCHASE",OrderItems_SKU,I632)-SUMIFS(OrderItems_Qty,OrderItems_Type,"SALE",OrderItems_SKU,I632))</f>
        <v>0</v>
      </c>
    </row>
    <row r="633" customFormat="false" ht="15" hidden="false" customHeight="false" outlineLevel="0" collapsed="false">
      <c r="I633" s="82"/>
      <c r="K633" s="83"/>
      <c r="L633" s="84"/>
      <c r="N633" s="84"/>
      <c r="P633" s="0" t="n">
        <f aca="true">IF(I633="","",SUMIFS(OrderItems_Qty,OrderItems_Type,"PURCHASE",OrderItems_SKU,I633)-SUMIFS(OrderItems_Qty,OrderItems_Type,"SALE",OrderItems_SKU,I633))</f>
        <v>0</v>
      </c>
    </row>
    <row r="634" customFormat="false" ht="15" hidden="false" customHeight="false" outlineLevel="0" collapsed="false">
      <c r="I634" s="82"/>
      <c r="K634" s="83"/>
      <c r="L634" s="84"/>
      <c r="N634" s="84"/>
      <c r="P634" s="0" t="n">
        <f aca="true">IF(I634="","",SUMIFS(OrderItems_Qty,OrderItems_Type,"PURCHASE",OrderItems_SKU,I634)-SUMIFS(OrderItems_Qty,OrderItems_Type,"SALE",OrderItems_SKU,I634))</f>
        <v>0</v>
      </c>
    </row>
    <row r="635" customFormat="false" ht="15" hidden="false" customHeight="false" outlineLevel="0" collapsed="false">
      <c r="I635" s="82"/>
      <c r="K635" s="83"/>
      <c r="L635" s="84"/>
      <c r="N635" s="84"/>
      <c r="P635" s="0" t="n">
        <f aca="true">IF(I635="","",SUMIFS(OrderItems_Qty,OrderItems_Type,"PURCHASE",OrderItems_SKU,I635)-SUMIFS(OrderItems_Qty,OrderItems_Type,"SALE",OrderItems_SKU,I635))</f>
        <v>0</v>
      </c>
    </row>
    <row r="636" customFormat="false" ht="15" hidden="false" customHeight="false" outlineLevel="0" collapsed="false">
      <c r="I636" s="82"/>
      <c r="K636" s="83"/>
      <c r="L636" s="84"/>
      <c r="N636" s="84"/>
      <c r="P636" s="0" t="n">
        <f aca="true">IF(I636="","",SUMIFS(OrderItems_Qty,OrderItems_Type,"PURCHASE",OrderItems_SKU,I636)-SUMIFS(OrderItems_Qty,OrderItems_Type,"SALE",OrderItems_SKU,I636))</f>
        <v>0</v>
      </c>
    </row>
    <row r="637" customFormat="false" ht="15" hidden="false" customHeight="false" outlineLevel="0" collapsed="false">
      <c r="I637" s="82"/>
      <c r="K637" s="83"/>
      <c r="L637" s="84"/>
      <c r="N637" s="84"/>
      <c r="P637" s="0" t="n">
        <f aca="true">IF(I637="","",SUMIFS(OrderItems_Qty,OrderItems_Type,"PURCHASE",OrderItems_SKU,I637)-SUMIFS(OrderItems_Qty,OrderItems_Type,"SALE",OrderItems_SKU,I637))</f>
        <v>0</v>
      </c>
    </row>
    <row r="638" customFormat="false" ht="15" hidden="false" customHeight="false" outlineLevel="0" collapsed="false">
      <c r="I638" s="82"/>
      <c r="K638" s="83"/>
      <c r="L638" s="84"/>
      <c r="N638" s="84"/>
      <c r="P638" s="0" t="n">
        <f aca="true">IF(I638="","",SUMIFS(OrderItems_Qty,OrderItems_Type,"PURCHASE",OrderItems_SKU,I638)-SUMIFS(OrderItems_Qty,OrderItems_Type,"SALE",OrderItems_SKU,I638))</f>
        <v>0</v>
      </c>
    </row>
    <row r="639" customFormat="false" ht="15" hidden="false" customHeight="false" outlineLevel="0" collapsed="false">
      <c r="I639" s="82"/>
      <c r="K639" s="83"/>
      <c r="L639" s="84"/>
      <c r="N639" s="84"/>
      <c r="P639" s="0" t="n">
        <f aca="true">IF(I639="","",SUMIFS(OrderItems_Qty,OrderItems_Type,"PURCHASE",OrderItems_SKU,I639)-SUMIFS(OrderItems_Qty,OrderItems_Type,"SALE",OrderItems_SKU,I639))</f>
        <v>0</v>
      </c>
    </row>
    <row r="640" customFormat="false" ht="15" hidden="false" customHeight="false" outlineLevel="0" collapsed="false">
      <c r="I640" s="82"/>
      <c r="K640" s="83"/>
      <c r="L640" s="84"/>
      <c r="N640" s="84"/>
      <c r="P640" s="0" t="n">
        <f aca="true">IF(I640="","",SUMIFS(OrderItems_Qty,OrderItems_Type,"PURCHASE",OrderItems_SKU,I640)-SUMIFS(OrderItems_Qty,OrderItems_Type,"SALE",OrderItems_SKU,I640))</f>
        <v>0</v>
      </c>
    </row>
    <row r="641" customFormat="false" ht="15" hidden="false" customHeight="false" outlineLevel="0" collapsed="false">
      <c r="I641" s="82"/>
      <c r="K641" s="83"/>
      <c r="L641" s="84"/>
      <c r="N641" s="84"/>
      <c r="P641" s="0" t="n">
        <f aca="true">IF(I641="","",SUMIFS(OrderItems_Qty,OrderItems_Type,"PURCHASE",OrderItems_SKU,I641)-SUMIFS(OrderItems_Qty,OrderItems_Type,"SALE",OrderItems_SKU,I641))</f>
        <v>0</v>
      </c>
    </row>
    <row r="642" customFormat="false" ht="15" hidden="false" customHeight="false" outlineLevel="0" collapsed="false">
      <c r="I642" s="82"/>
      <c r="K642" s="83"/>
      <c r="L642" s="84"/>
      <c r="N642" s="84"/>
      <c r="P642" s="0" t="n">
        <f aca="true">IF(I642="","",SUMIFS(OrderItems_Qty,OrderItems_Type,"PURCHASE",OrderItems_SKU,I642)-SUMIFS(OrderItems_Qty,OrderItems_Type,"SALE",OrderItems_SKU,I642))</f>
        <v>0</v>
      </c>
    </row>
    <row r="643" customFormat="false" ht="15" hidden="false" customHeight="false" outlineLevel="0" collapsed="false">
      <c r="I643" s="82"/>
      <c r="K643" s="83"/>
      <c r="L643" s="84"/>
      <c r="N643" s="84"/>
      <c r="P643" s="0" t="n">
        <f aca="true">IF(I643="","",SUMIFS(OrderItems_Qty,OrderItems_Type,"PURCHASE",OrderItems_SKU,I643)-SUMIFS(OrderItems_Qty,OrderItems_Type,"SALE",OrderItems_SKU,I643))</f>
        <v>0</v>
      </c>
    </row>
    <row r="644" customFormat="false" ht="15" hidden="false" customHeight="false" outlineLevel="0" collapsed="false">
      <c r="I644" s="82"/>
      <c r="K644" s="83"/>
      <c r="L644" s="84"/>
      <c r="N644" s="84"/>
      <c r="P644" s="0" t="n">
        <f aca="true">IF(I644="","",SUMIFS(OrderItems_Qty,OrderItems_Type,"PURCHASE",OrderItems_SKU,I644)-SUMIFS(OrderItems_Qty,OrderItems_Type,"SALE",OrderItems_SKU,I644))</f>
        <v>0</v>
      </c>
    </row>
    <row r="645" customFormat="false" ht="15" hidden="false" customHeight="false" outlineLevel="0" collapsed="false">
      <c r="I645" s="82"/>
      <c r="K645" s="83"/>
      <c r="L645" s="84"/>
      <c r="N645" s="84"/>
      <c r="P645" s="0" t="n">
        <f aca="true">IF(I645="","",SUMIFS(OrderItems_Qty,OrderItems_Type,"PURCHASE",OrderItems_SKU,I645)-SUMIFS(OrderItems_Qty,OrderItems_Type,"SALE",OrderItems_SKU,I645))</f>
        <v>0</v>
      </c>
    </row>
    <row r="646" customFormat="false" ht="15" hidden="false" customHeight="false" outlineLevel="0" collapsed="false">
      <c r="I646" s="82"/>
      <c r="K646" s="83"/>
      <c r="L646" s="84"/>
      <c r="N646" s="84"/>
      <c r="P646" s="0" t="n">
        <f aca="true">IF(I646="","",SUMIFS(OrderItems_Qty,OrderItems_Type,"PURCHASE",OrderItems_SKU,I646)-SUMIFS(OrderItems_Qty,OrderItems_Type,"SALE",OrderItems_SKU,I646))</f>
        <v>0</v>
      </c>
    </row>
    <row r="647" customFormat="false" ht="15" hidden="false" customHeight="false" outlineLevel="0" collapsed="false">
      <c r="I647" s="82"/>
      <c r="K647" s="83"/>
      <c r="L647" s="84"/>
      <c r="N647" s="84"/>
      <c r="P647" s="0" t="n">
        <f aca="true">IF(I647="","",SUMIFS(OrderItems_Qty,OrderItems_Type,"PURCHASE",OrderItems_SKU,I647)-SUMIFS(OrderItems_Qty,OrderItems_Type,"SALE",OrderItems_SKU,I647))</f>
        <v>0</v>
      </c>
    </row>
    <row r="648" customFormat="false" ht="15" hidden="false" customHeight="false" outlineLevel="0" collapsed="false">
      <c r="I648" s="82"/>
      <c r="K648" s="83"/>
      <c r="L648" s="84"/>
      <c r="N648" s="84"/>
      <c r="P648" s="0" t="n">
        <f aca="true">IF(I648="","",SUMIFS(OrderItems_Qty,OrderItems_Type,"PURCHASE",OrderItems_SKU,I648)-SUMIFS(OrderItems_Qty,OrderItems_Type,"SALE",OrderItems_SKU,I648))</f>
        <v>0</v>
      </c>
    </row>
    <row r="649" customFormat="false" ht="15" hidden="false" customHeight="false" outlineLevel="0" collapsed="false">
      <c r="I649" s="82"/>
      <c r="K649" s="83"/>
      <c r="L649" s="84"/>
      <c r="N649" s="84"/>
      <c r="P649" s="0" t="n">
        <f aca="true">IF(I649="","",SUMIFS(OrderItems_Qty,OrderItems_Type,"PURCHASE",OrderItems_SKU,I649)-SUMIFS(OrderItems_Qty,OrderItems_Type,"SALE",OrderItems_SKU,I649))</f>
        <v>0</v>
      </c>
    </row>
    <row r="650" customFormat="false" ht="15" hidden="false" customHeight="false" outlineLevel="0" collapsed="false">
      <c r="I650" s="82"/>
      <c r="K650" s="83"/>
      <c r="L650" s="84"/>
      <c r="N650" s="84"/>
      <c r="P650" s="0" t="n">
        <f aca="true">IF(I650="","",SUMIFS(OrderItems_Qty,OrderItems_Type,"PURCHASE",OrderItems_SKU,I650)-SUMIFS(OrderItems_Qty,OrderItems_Type,"SALE",OrderItems_SKU,I650))</f>
        <v>0</v>
      </c>
    </row>
    <row r="651" customFormat="false" ht="15" hidden="false" customHeight="false" outlineLevel="0" collapsed="false">
      <c r="I651" s="82"/>
      <c r="K651" s="83"/>
      <c r="L651" s="84"/>
      <c r="N651" s="84"/>
      <c r="P651" s="0" t="n">
        <f aca="true">IF(I651="","",SUMIFS(OrderItems_Qty,OrderItems_Type,"PURCHASE",OrderItems_SKU,I651)-SUMIFS(OrderItems_Qty,OrderItems_Type,"SALE",OrderItems_SKU,I651))</f>
        <v>0</v>
      </c>
    </row>
    <row r="652" customFormat="false" ht="15" hidden="false" customHeight="false" outlineLevel="0" collapsed="false">
      <c r="I652" s="82"/>
      <c r="K652" s="83"/>
      <c r="L652" s="84"/>
      <c r="N652" s="84"/>
      <c r="P652" s="0" t="n">
        <f aca="true">IF(I652="","",SUMIFS(OrderItems_Qty,OrderItems_Type,"PURCHASE",OrderItems_SKU,I652)-SUMIFS(OrderItems_Qty,OrderItems_Type,"SALE",OrderItems_SKU,I652))</f>
        <v>0</v>
      </c>
    </row>
    <row r="653" customFormat="false" ht="15" hidden="false" customHeight="false" outlineLevel="0" collapsed="false">
      <c r="I653" s="82"/>
      <c r="K653" s="83"/>
      <c r="L653" s="84"/>
      <c r="N653" s="84"/>
      <c r="P653" s="0" t="n">
        <f aca="true">IF(I653="","",SUMIFS(OrderItems_Qty,OrderItems_Type,"PURCHASE",OrderItems_SKU,I653)-SUMIFS(OrderItems_Qty,OrderItems_Type,"SALE",OrderItems_SKU,I653))</f>
        <v>0</v>
      </c>
    </row>
    <row r="654" customFormat="false" ht="15" hidden="false" customHeight="false" outlineLevel="0" collapsed="false">
      <c r="I654" s="82"/>
      <c r="K654" s="83"/>
      <c r="L654" s="84"/>
      <c r="N654" s="84"/>
      <c r="P654" s="0" t="n">
        <f aca="true">IF(I654="","",SUMIFS(OrderItems_Qty,OrderItems_Type,"PURCHASE",OrderItems_SKU,I654)-SUMIFS(OrderItems_Qty,OrderItems_Type,"SALE",OrderItems_SKU,I654))</f>
        <v>0</v>
      </c>
    </row>
    <row r="655" customFormat="false" ht="15" hidden="false" customHeight="false" outlineLevel="0" collapsed="false">
      <c r="I655" s="82"/>
      <c r="K655" s="83"/>
      <c r="L655" s="84"/>
      <c r="N655" s="84"/>
      <c r="P655" s="0" t="n">
        <f aca="true">IF(I655="","",SUMIFS(OrderItems_Qty,OrderItems_Type,"PURCHASE",OrderItems_SKU,I655)-SUMIFS(OrderItems_Qty,OrderItems_Type,"SALE",OrderItems_SKU,I655))</f>
        <v>0</v>
      </c>
    </row>
    <row r="656" customFormat="false" ht="15" hidden="false" customHeight="false" outlineLevel="0" collapsed="false">
      <c r="I656" s="82"/>
      <c r="K656" s="83"/>
      <c r="L656" s="84"/>
      <c r="N656" s="84"/>
      <c r="P656" s="0" t="n">
        <f aca="true">IF(I656="","",SUMIFS(OrderItems_Qty,OrderItems_Type,"PURCHASE",OrderItems_SKU,I656)-SUMIFS(OrderItems_Qty,OrderItems_Type,"SALE",OrderItems_SKU,I656))</f>
        <v>0</v>
      </c>
    </row>
    <row r="657" customFormat="false" ht="15" hidden="false" customHeight="false" outlineLevel="0" collapsed="false">
      <c r="I657" s="82"/>
      <c r="K657" s="83"/>
      <c r="L657" s="84"/>
      <c r="N657" s="84"/>
      <c r="P657" s="0" t="n">
        <f aca="true">IF(I657="","",SUMIFS(OrderItems_Qty,OrderItems_Type,"PURCHASE",OrderItems_SKU,I657)-SUMIFS(OrderItems_Qty,OrderItems_Type,"SALE",OrderItems_SKU,I657))</f>
        <v>0</v>
      </c>
    </row>
    <row r="658" customFormat="false" ht="15" hidden="false" customHeight="false" outlineLevel="0" collapsed="false">
      <c r="I658" s="82"/>
      <c r="K658" s="83"/>
      <c r="L658" s="84"/>
      <c r="N658" s="84"/>
      <c r="P658" s="0" t="n">
        <f aca="true">IF(I658="","",SUMIFS(OrderItems_Qty,OrderItems_Type,"PURCHASE",OrderItems_SKU,I658)-SUMIFS(OrderItems_Qty,OrderItems_Type,"SALE",OrderItems_SKU,I658))</f>
        <v>0</v>
      </c>
    </row>
    <row r="659" customFormat="false" ht="15" hidden="false" customHeight="false" outlineLevel="0" collapsed="false">
      <c r="I659" s="82"/>
      <c r="K659" s="83"/>
      <c r="L659" s="84"/>
      <c r="N659" s="84"/>
      <c r="P659" s="0" t="n">
        <f aca="true">IF(I659="","",SUMIFS(OrderItems_Qty,OrderItems_Type,"PURCHASE",OrderItems_SKU,I659)-SUMIFS(OrderItems_Qty,OrderItems_Type,"SALE",OrderItems_SKU,I659))</f>
        <v>0</v>
      </c>
    </row>
    <row r="660" customFormat="false" ht="15" hidden="false" customHeight="false" outlineLevel="0" collapsed="false">
      <c r="I660" s="82"/>
      <c r="K660" s="83"/>
      <c r="L660" s="84"/>
      <c r="N660" s="84"/>
      <c r="P660" s="0" t="n">
        <f aca="true">IF(I660="","",SUMIFS(OrderItems_Qty,OrderItems_Type,"PURCHASE",OrderItems_SKU,I660)-SUMIFS(OrderItems_Qty,OrderItems_Type,"SALE",OrderItems_SKU,I660))</f>
        <v>0</v>
      </c>
    </row>
    <row r="661" customFormat="false" ht="15" hidden="false" customHeight="false" outlineLevel="0" collapsed="false">
      <c r="I661" s="82"/>
      <c r="K661" s="83"/>
      <c r="L661" s="84"/>
      <c r="N661" s="84"/>
      <c r="P661" s="0" t="n">
        <f aca="true">IF(I661="","",SUMIFS(OrderItems_Qty,OrderItems_Type,"PURCHASE",OrderItems_SKU,I661)-SUMIFS(OrderItems_Qty,OrderItems_Type,"SALE",OrderItems_SKU,I661))</f>
        <v>0</v>
      </c>
    </row>
    <row r="662" customFormat="false" ht="15" hidden="false" customHeight="false" outlineLevel="0" collapsed="false">
      <c r="I662" s="82"/>
      <c r="K662" s="83"/>
      <c r="L662" s="84"/>
      <c r="N662" s="84"/>
      <c r="P662" s="0" t="n">
        <f aca="true">IF(I662="","",SUMIFS(OrderItems_Qty,OrderItems_Type,"PURCHASE",OrderItems_SKU,I662)-SUMIFS(OrderItems_Qty,OrderItems_Type,"SALE",OrderItems_SKU,I662))</f>
        <v>0</v>
      </c>
    </row>
    <row r="663" customFormat="false" ht="15" hidden="false" customHeight="false" outlineLevel="0" collapsed="false">
      <c r="I663" s="82"/>
      <c r="K663" s="83"/>
      <c r="L663" s="84"/>
      <c r="N663" s="84"/>
      <c r="P663" s="0" t="n">
        <f aca="true">IF(I663="","",SUMIFS(OrderItems_Qty,OrderItems_Type,"PURCHASE",OrderItems_SKU,I663)-SUMIFS(OrderItems_Qty,OrderItems_Type,"SALE",OrderItems_SKU,I663))</f>
        <v>0</v>
      </c>
    </row>
    <row r="664" customFormat="false" ht="15" hidden="false" customHeight="false" outlineLevel="0" collapsed="false">
      <c r="I664" s="82"/>
      <c r="K664" s="83"/>
      <c r="L664" s="84"/>
      <c r="N664" s="84"/>
      <c r="P664" s="0" t="n">
        <f aca="true">IF(I664="","",SUMIFS(OrderItems_Qty,OrderItems_Type,"PURCHASE",OrderItems_SKU,I664)-SUMIFS(OrderItems_Qty,OrderItems_Type,"SALE",OrderItems_SKU,I664))</f>
        <v>0</v>
      </c>
    </row>
    <row r="665" customFormat="false" ht="15" hidden="false" customHeight="false" outlineLevel="0" collapsed="false">
      <c r="I665" s="82"/>
      <c r="K665" s="83"/>
      <c r="L665" s="84"/>
      <c r="N665" s="84"/>
      <c r="P665" s="0" t="n">
        <f aca="true">IF(I665="","",SUMIFS(OrderItems_Qty,OrderItems_Type,"PURCHASE",OrderItems_SKU,I665)-SUMIFS(OrderItems_Qty,OrderItems_Type,"SALE",OrderItems_SKU,I665))</f>
        <v>0</v>
      </c>
    </row>
    <row r="666" customFormat="false" ht="15" hidden="false" customHeight="false" outlineLevel="0" collapsed="false">
      <c r="I666" s="82"/>
      <c r="K666" s="83"/>
      <c r="L666" s="84"/>
      <c r="N666" s="84"/>
      <c r="P666" s="0" t="n">
        <f aca="true">IF(I666="","",SUMIFS(OrderItems_Qty,OrderItems_Type,"PURCHASE",OrderItems_SKU,I666)-SUMIFS(OrderItems_Qty,OrderItems_Type,"SALE",OrderItems_SKU,I666))</f>
        <v>0</v>
      </c>
    </row>
    <row r="667" customFormat="false" ht="15" hidden="false" customHeight="false" outlineLevel="0" collapsed="false">
      <c r="I667" s="82"/>
      <c r="K667" s="83"/>
      <c r="L667" s="84"/>
      <c r="N667" s="84"/>
      <c r="P667" s="0" t="n">
        <f aca="true">IF(I667="","",SUMIFS(OrderItems_Qty,OrderItems_Type,"PURCHASE",OrderItems_SKU,I667)-SUMIFS(OrderItems_Qty,OrderItems_Type,"SALE",OrderItems_SKU,I667))</f>
        <v>0</v>
      </c>
    </row>
    <row r="668" customFormat="false" ht="15" hidden="false" customHeight="false" outlineLevel="0" collapsed="false">
      <c r="I668" s="82"/>
      <c r="K668" s="83"/>
      <c r="L668" s="84"/>
      <c r="N668" s="84"/>
      <c r="P668" s="0" t="n">
        <f aca="true">IF(I668="","",SUMIFS(OrderItems_Qty,OrderItems_Type,"PURCHASE",OrderItems_SKU,I668)-SUMIFS(OrderItems_Qty,OrderItems_Type,"SALE",OrderItems_SKU,I668))</f>
        <v>0</v>
      </c>
    </row>
    <row r="669" customFormat="false" ht="15" hidden="false" customHeight="false" outlineLevel="0" collapsed="false">
      <c r="I669" s="82"/>
      <c r="K669" s="83"/>
      <c r="L669" s="84"/>
      <c r="N669" s="84"/>
      <c r="P669" s="0" t="n">
        <f aca="true">IF(I669="","",SUMIFS(OrderItems_Qty,OrderItems_Type,"PURCHASE",OrderItems_SKU,I669)-SUMIFS(OrderItems_Qty,OrderItems_Type,"SALE",OrderItems_SKU,I669))</f>
        <v>0</v>
      </c>
    </row>
    <row r="670" customFormat="false" ht="15" hidden="false" customHeight="false" outlineLevel="0" collapsed="false">
      <c r="I670" s="82"/>
      <c r="K670" s="83"/>
      <c r="L670" s="84"/>
      <c r="N670" s="84"/>
      <c r="P670" s="0" t="n">
        <f aca="true">IF(I670="","",SUMIFS(OrderItems_Qty,OrderItems_Type,"PURCHASE",OrderItems_SKU,I670)-SUMIFS(OrderItems_Qty,OrderItems_Type,"SALE",OrderItems_SKU,I670))</f>
        <v>0</v>
      </c>
    </row>
    <row r="671" customFormat="false" ht="15" hidden="false" customHeight="false" outlineLevel="0" collapsed="false">
      <c r="I671" s="82"/>
      <c r="K671" s="83"/>
      <c r="L671" s="84"/>
      <c r="N671" s="84"/>
      <c r="P671" s="0" t="n">
        <f aca="true">IF(I671="","",SUMIFS(OrderItems_Qty,OrderItems_Type,"PURCHASE",OrderItems_SKU,I671)-SUMIFS(OrderItems_Qty,OrderItems_Type,"SALE",OrderItems_SKU,I671))</f>
        <v>0</v>
      </c>
    </row>
    <row r="672" customFormat="false" ht="15" hidden="false" customHeight="false" outlineLevel="0" collapsed="false">
      <c r="I672" s="82"/>
      <c r="K672" s="83"/>
      <c r="L672" s="84"/>
      <c r="N672" s="84"/>
      <c r="P672" s="0" t="n">
        <f aca="true">IF(I672="","",SUMIFS(OrderItems_Qty,OrderItems_Type,"PURCHASE",OrderItems_SKU,I672)-SUMIFS(OrderItems_Qty,OrderItems_Type,"SALE",OrderItems_SKU,I672))</f>
        <v>0</v>
      </c>
    </row>
    <row r="673" customFormat="false" ht="15" hidden="false" customHeight="false" outlineLevel="0" collapsed="false">
      <c r="I673" s="82"/>
      <c r="K673" s="83"/>
      <c r="L673" s="84"/>
      <c r="N673" s="84"/>
      <c r="P673" s="0" t="n">
        <f aca="true">IF(I673="","",SUMIFS(OrderItems_Qty,OrderItems_Type,"PURCHASE",OrderItems_SKU,I673)-SUMIFS(OrderItems_Qty,OrderItems_Type,"SALE",OrderItems_SKU,I673))</f>
        <v>0</v>
      </c>
    </row>
    <row r="674" customFormat="false" ht="15" hidden="false" customHeight="false" outlineLevel="0" collapsed="false">
      <c r="I674" s="82"/>
      <c r="K674" s="83"/>
      <c r="L674" s="84"/>
      <c r="N674" s="84"/>
      <c r="P674" s="0" t="n">
        <f aca="true">IF(I674="","",SUMIFS(OrderItems_Qty,OrderItems_Type,"PURCHASE",OrderItems_SKU,I674)-SUMIFS(OrderItems_Qty,OrderItems_Type,"SALE",OrderItems_SKU,I674))</f>
        <v>0</v>
      </c>
    </row>
    <row r="675" customFormat="false" ht="15" hidden="false" customHeight="false" outlineLevel="0" collapsed="false">
      <c r="I675" s="82"/>
      <c r="K675" s="83"/>
      <c r="L675" s="84"/>
      <c r="N675" s="84"/>
      <c r="P675" s="0" t="n">
        <f aca="true">IF(I675="","",SUMIFS(OrderItems_Qty,OrderItems_Type,"PURCHASE",OrderItems_SKU,I675)-SUMIFS(OrderItems_Qty,OrderItems_Type,"SALE",OrderItems_SKU,I675))</f>
        <v>0</v>
      </c>
    </row>
    <row r="676" customFormat="false" ht="15" hidden="false" customHeight="false" outlineLevel="0" collapsed="false">
      <c r="I676" s="82"/>
      <c r="K676" s="83"/>
      <c r="L676" s="84"/>
      <c r="N676" s="84"/>
      <c r="P676" s="0" t="n">
        <f aca="true">IF(I676="","",SUMIFS(OrderItems_Qty,OrderItems_Type,"PURCHASE",OrderItems_SKU,I676)-SUMIFS(OrderItems_Qty,OrderItems_Type,"SALE",OrderItems_SKU,I676))</f>
        <v>0</v>
      </c>
    </row>
    <row r="677" customFormat="false" ht="15" hidden="false" customHeight="false" outlineLevel="0" collapsed="false">
      <c r="I677" s="82"/>
      <c r="K677" s="83"/>
      <c r="L677" s="84"/>
      <c r="N677" s="84"/>
      <c r="P677" s="0" t="n">
        <f aca="true">IF(I677="","",SUMIFS(OrderItems_Qty,OrderItems_Type,"PURCHASE",OrderItems_SKU,I677)-SUMIFS(OrderItems_Qty,OrderItems_Type,"SALE",OrderItems_SKU,I677))</f>
        <v>0</v>
      </c>
    </row>
    <row r="678" customFormat="false" ht="15" hidden="false" customHeight="false" outlineLevel="0" collapsed="false">
      <c r="I678" s="82"/>
      <c r="K678" s="83"/>
      <c r="L678" s="84"/>
      <c r="N678" s="84"/>
      <c r="P678" s="0" t="n">
        <f aca="true">IF(I678="","",SUMIFS(OrderItems_Qty,OrderItems_Type,"PURCHASE",OrderItems_SKU,I678)-SUMIFS(OrderItems_Qty,OrderItems_Type,"SALE",OrderItems_SKU,I678))</f>
        <v>0</v>
      </c>
    </row>
    <row r="679" customFormat="false" ht="15" hidden="false" customHeight="false" outlineLevel="0" collapsed="false">
      <c r="I679" s="82"/>
      <c r="K679" s="83"/>
      <c r="L679" s="84"/>
      <c r="N679" s="84"/>
      <c r="P679" s="0" t="n">
        <f aca="true">IF(I679="","",SUMIFS(OrderItems_Qty,OrderItems_Type,"PURCHASE",OrderItems_SKU,I679)-SUMIFS(OrderItems_Qty,OrderItems_Type,"SALE",OrderItems_SKU,I679))</f>
        <v>0</v>
      </c>
    </row>
    <row r="680" customFormat="false" ht="15" hidden="false" customHeight="false" outlineLevel="0" collapsed="false">
      <c r="I680" s="82"/>
      <c r="K680" s="83"/>
      <c r="L680" s="84"/>
      <c r="N680" s="84"/>
      <c r="P680" s="0" t="n">
        <f aca="true">IF(I680="","",SUMIFS(OrderItems_Qty,OrderItems_Type,"PURCHASE",OrderItems_SKU,I680)-SUMIFS(OrderItems_Qty,OrderItems_Type,"SALE",OrderItems_SKU,I680))</f>
        <v>0</v>
      </c>
    </row>
    <row r="681" customFormat="false" ht="15" hidden="false" customHeight="false" outlineLevel="0" collapsed="false">
      <c r="I681" s="82"/>
      <c r="K681" s="83"/>
      <c r="L681" s="84"/>
      <c r="N681" s="84"/>
      <c r="P681" s="0" t="n">
        <f aca="true">IF(I681="","",SUMIFS(OrderItems_Qty,OrderItems_Type,"PURCHASE",OrderItems_SKU,I681)-SUMIFS(OrderItems_Qty,OrderItems_Type,"SALE",OrderItems_SKU,I681))</f>
        <v>0</v>
      </c>
    </row>
    <row r="682" customFormat="false" ht="15" hidden="false" customHeight="false" outlineLevel="0" collapsed="false">
      <c r="I682" s="82"/>
      <c r="K682" s="83"/>
      <c r="L682" s="84"/>
      <c r="N682" s="84"/>
      <c r="P682" s="0" t="n">
        <f aca="true">IF(I682="","",SUMIFS(OrderItems_Qty,OrderItems_Type,"PURCHASE",OrderItems_SKU,I682)-SUMIFS(OrderItems_Qty,OrderItems_Type,"SALE",OrderItems_SKU,I682))</f>
        <v>0</v>
      </c>
    </row>
    <row r="683" customFormat="false" ht="15" hidden="false" customHeight="false" outlineLevel="0" collapsed="false">
      <c r="I683" s="82"/>
      <c r="K683" s="83"/>
      <c r="L683" s="84"/>
      <c r="N683" s="84"/>
      <c r="P683" s="0" t="n">
        <f aca="true">IF(I683="","",SUMIFS(OrderItems_Qty,OrderItems_Type,"PURCHASE",OrderItems_SKU,I683)-SUMIFS(OrderItems_Qty,OrderItems_Type,"SALE",OrderItems_SKU,I683))</f>
        <v>0</v>
      </c>
    </row>
    <row r="684" customFormat="false" ht="15" hidden="false" customHeight="false" outlineLevel="0" collapsed="false">
      <c r="I684" s="82"/>
      <c r="K684" s="83"/>
      <c r="L684" s="84"/>
      <c r="N684" s="84"/>
      <c r="P684" s="0" t="n">
        <f aca="true">IF(I684="","",SUMIFS(OrderItems_Qty,OrderItems_Type,"PURCHASE",OrderItems_SKU,I684)-SUMIFS(OrderItems_Qty,OrderItems_Type,"SALE",OrderItems_SKU,I684))</f>
        <v>0</v>
      </c>
    </row>
    <row r="685" customFormat="false" ht="15" hidden="false" customHeight="false" outlineLevel="0" collapsed="false">
      <c r="I685" s="82"/>
      <c r="K685" s="83"/>
      <c r="L685" s="84"/>
      <c r="N685" s="84"/>
      <c r="P685" s="0" t="n">
        <f aca="true">IF(I685="","",SUMIFS(OrderItems_Qty,OrderItems_Type,"PURCHASE",OrderItems_SKU,I685)-SUMIFS(OrderItems_Qty,OrderItems_Type,"SALE",OrderItems_SKU,I685))</f>
        <v>0</v>
      </c>
    </row>
    <row r="686" customFormat="false" ht="15" hidden="false" customHeight="false" outlineLevel="0" collapsed="false">
      <c r="I686" s="82"/>
      <c r="K686" s="83"/>
      <c r="L686" s="84"/>
      <c r="N686" s="84"/>
      <c r="P686" s="0" t="n">
        <f aca="true">IF(I686="","",SUMIFS(OrderItems_Qty,OrderItems_Type,"PURCHASE",OrderItems_SKU,I686)-SUMIFS(OrderItems_Qty,OrderItems_Type,"SALE",OrderItems_SKU,I686))</f>
        <v>0</v>
      </c>
    </row>
    <row r="687" customFormat="false" ht="15" hidden="false" customHeight="false" outlineLevel="0" collapsed="false">
      <c r="I687" s="82"/>
      <c r="K687" s="83"/>
      <c r="L687" s="84"/>
      <c r="N687" s="84"/>
      <c r="P687" s="0" t="n">
        <f aca="true">IF(I687="","",SUMIFS(OrderItems_Qty,OrderItems_Type,"PURCHASE",OrderItems_SKU,I687)-SUMIFS(OrderItems_Qty,OrderItems_Type,"SALE",OrderItems_SKU,I687))</f>
        <v>0</v>
      </c>
    </row>
    <row r="688" customFormat="false" ht="15" hidden="false" customHeight="false" outlineLevel="0" collapsed="false">
      <c r="I688" s="82"/>
      <c r="K688" s="83"/>
      <c r="L688" s="84"/>
      <c r="N688" s="84"/>
      <c r="P688" s="0" t="n">
        <f aca="true">IF(I688="","",SUMIFS(OrderItems_Qty,OrderItems_Type,"PURCHASE",OrderItems_SKU,I688)-SUMIFS(OrderItems_Qty,OrderItems_Type,"SALE",OrderItems_SKU,I688))</f>
        <v>0</v>
      </c>
    </row>
    <row r="689" customFormat="false" ht="15" hidden="false" customHeight="false" outlineLevel="0" collapsed="false">
      <c r="I689" s="82"/>
      <c r="K689" s="83"/>
      <c r="L689" s="84"/>
      <c r="N689" s="84"/>
      <c r="P689" s="0" t="n">
        <f aca="true">IF(I689="","",SUMIFS(OrderItems_Qty,OrderItems_Type,"PURCHASE",OrderItems_SKU,I689)-SUMIFS(OrderItems_Qty,OrderItems_Type,"SALE",OrderItems_SKU,I689))</f>
        <v>0</v>
      </c>
    </row>
    <row r="690" customFormat="false" ht="15" hidden="false" customHeight="false" outlineLevel="0" collapsed="false">
      <c r="I690" s="82"/>
      <c r="K690" s="83"/>
      <c r="L690" s="84"/>
      <c r="N690" s="84"/>
      <c r="P690" s="0" t="n">
        <f aca="true">IF(I690="","",SUMIFS(OrderItems_Qty,OrderItems_Type,"PURCHASE",OrderItems_SKU,I690)-SUMIFS(OrderItems_Qty,OrderItems_Type,"SALE",OrderItems_SKU,I690))</f>
        <v>0</v>
      </c>
    </row>
    <row r="691" customFormat="false" ht="15" hidden="false" customHeight="false" outlineLevel="0" collapsed="false">
      <c r="I691" s="82"/>
      <c r="K691" s="83"/>
      <c r="L691" s="84"/>
      <c r="N691" s="84"/>
      <c r="P691" s="0" t="n">
        <f aca="true">IF(I691="","",SUMIFS(OrderItems_Qty,OrderItems_Type,"PURCHASE",OrderItems_SKU,I691)-SUMIFS(OrderItems_Qty,OrderItems_Type,"SALE",OrderItems_SKU,I691))</f>
        <v>0</v>
      </c>
    </row>
    <row r="692" customFormat="false" ht="15" hidden="false" customHeight="false" outlineLevel="0" collapsed="false">
      <c r="I692" s="82"/>
      <c r="K692" s="83"/>
      <c r="L692" s="84"/>
      <c r="N692" s="84"/>
      <c r="P692" s="0" t="n">
        <f aca="true">IF(I692="","",SUMIFS(OrderItems_Qty,OrderItems_Type,"PURCHASE",OrderItems_SKU,I692)-SUMIFS(OrderItems_Qty,OrderItems_Type,"SALE",OrderItems_SKU,I692))</f>
        <v>0</v>
      </c>
    </row>
    <row r="693" customFormat="false" ht="15" hidden="false" customHeight="false" outlineLevel="0" collapsed="false">
      <c r="I693" s="82"/>
      <c r="K693" s="83"/>
      <c r="L693" s="84"/>
      <c r="N693" s="84"/>
      <c r="P693" s="0" t="n">
        <f aca="true">IF(I693="","",SUMIFS(OrderItems_Qty,OrderItems_Type,"PURCHASE",OrderItems_SKU,I693)-SUMIFS(OrderItems_Qty,OrderItems_Type,"SALE",OrderItems_SKU,I693))</f>
        <v>0</v>
      </c>
    </row>
    <row r="694" customFormat="false" ht="15" hidden="false" customHeight="false" outlineLevel="0" collapsed="false">
      <c r="I694" s="82"/>
      <c r="K694" s="83"/>
      <c r="L694" s="84"/>
      <c r="N694" s="84"/>
      <c r="P694" s="0" t="n">
        <f aca="true">IF(I694="","",SUMIFS(OrderItems_Qty,OrderItems_Type,"PURCHASE",OrderItems_SKU,I694)-SUMIFS(OrderItems_Qty,OrderItems_Type,"SALE",OrderItems_SKU,I694))</f>
        <v>0</v>
      </c>
    </row>
    <row r="695" customFormat="false" ht="15" hidden="false" customHeight="false" outlineLevel="0" collapsed="false">
      <c r="I695" s="82"/>
      <c r="K695" s="83"/>
      <c r="L695" s="84"/>
      <c r="N695" s="84"/>
      <c r="P695" s="0" t="n">
        <f aca="true">IF(I695="","",SUMIFS(OrderItems_Qty,OrderItems_Type,"PURCHASE",OrderItems_SKU,I695)-SUMIFS(OrderItems_Qty,OrderItems_Type,"SALE",OrderItems_SKU,I695))</f>
        <v>0</v>
      </c>
    </row>
    <row r="696" customFormat="false" ht="15" hidden="false" customHeight="false" outlineLevel="0" collapsed="false">
      <c r="I696" s="82"/>
      <c r="K696" s="83"/>
      <c r="L696" s="84"/>
      <c r="N696" s="84"/>
      <c r="P696" s="0" t="n">
        <f aca="true">IF(I696="","",SUMIFS(OrderItems_Qty,OrderItems_Type,"PURCHASE",OrderItems_SKU,I696)-SUMIFS(OrderItems_Qty,OrderItems_Type,"SALE",OrderItems_SKU,I696))</f>
        <v>0</v>
      </c>
    </row>
    <row r="697" customFormat="false" ht="15" hidden="false" customHeight="false" outlineLevel="0" collapsed="false">
      <c r="I697" s="82"/>
      <c r="K697" s="83"/>
      <c r="L697" s="84"/>
      <c r="N697" s="84"/>
      <c r="P697" s="0" t="n">
        <f aca="true">IF(I697="","",SUMIFS(OrderItems_Qty,OrderItems_Type,"PURCHASE",OrderItems_SKU,I697)-SUMIFS(OrderItems_Qty,OrderItems_Type,"SALE",OrderItems_SKU,I697))</f>
        <v>0</v>
      </c>
    </row>
    <row r="698" customFormat="false" ht="15" hidden="false" customHeight="false" outlineLevel="0" collapsed="false">
      <c r="I698" s="82"/>
      <c r="K698" s="83"/>
      <c r="L698" s="84"/>
      <c r="N698" s="84"/>
      <c r="P698" s="0" t="n">
        <f aca="true">IF(I698="","",SUMIFS(OrderItems_Qty,OrderItems_Type,"PURCHASE",OrderItems_SKU,I698)-SUMIFS(OrderItems_Qty,OrderItems_Type,"SALE",OrderItems_SKU,I698))</f>
        <v>0</v>
      </c>
    </row>
    <row r="699" customFormat="false" ht="15" hidden="false" customHeight="false" outlineLevel="0" collapsed="false">
      <c r="I699" s="82"/>
      <c r="K699" s="83"/>
      <c r="L699" s="84"/>
      <c r="N699" s="84"/>
      <c r="P699" s="0" t="n">
        <f aca="true">IF(I699="","",SUMIFS(OrderItems_Qty,OrderItems_Type,"PURCHASE",OrderItems_SKU,I699)-SUMIFS(OrderItems_Qty,OrderItems_Type,"SALE",OrderItems_SKU,I699))</f>
        <v>0</v>
      </c>
    </row>
    <row r="700" customFormat="false" ht="15" hidden="false" customHeight="false" outlineLevel="0" collapsed="false">
      <c r="I700" s="82"/>
      <c r="K700" s="83"/>
      <c r="L700" s="84"/>
      <c r="N700" s="84"/>
      <c r="P700" s="0" t="n">
        <f aca="true">IF(I700="","",SUMIFS(OrderItems_Qty,OrderItems_Type,"PURCHASE",OrderItems_SKU,I700)-SUMIFS(OrderItems_Qty,OrderItems_Type,"SALE",OrderItems_SKU,I700))</f>
        <v>0</v>
      </c>
    </row>
    <row r="701" customFormat="false" ht="15" hidden="false" customHeight="false" outlineLevel="0" collapsed="false">
      <c r="I701" s="82"/>
      <c r="K701" s="83"/>
      <c r="L701" s="84"/>
      <c r="N701" s="84"/>
      <c r="P701" s="0" t="n">
        <f aca="true">IF(I701="","",SUMIFS(OrderItems_Qty,OrderItems_Type,"PURCHASE",OrderItems_SKU,I701)-SUMIFS(OrderItems_Qty,OrderItems_Type,"SALE",OrderItems_SKU,I701))</f>
        <v>0</v>
      </c>
    </row>
    <row r="702" customFormat="false" ht="15" hidden="false" customHeight="false" outlineLevel="0" collapsed="false">
      <c r="I702" s="82"/>
      <c r="K702" s="83"/>
      <c r="L702" s="84"/>
      <c r="N702" s="84"/>
      <c r="P702" s="0" t="n">
        <f aca="true">IF(I702="","",SUMIFS(OrderItems_Qty,OrderItems_Type,"PURCHASE",OrderItems_SKU,I702)-SUMIFS(OrderItems_Qty,OrderItems_Type,"SALE",OrderItems_SKU,I702))</f>
        <v>0</v>
      </c>
    </row>
    <row r="703" customFormat="false" ht="15" hidden="false" customHeight="false" outlineLevel="0" collapsed="false">
      <c r="I703" s="82"/>
      <c r="K703" s="83"/>
      <c r="L703" s="84"/>
      <c r="N703" s="84"/>
      <c r="P703" s="0" t="n">
        <f aca="true">IF(I703="","",SUMIFS(OrderItems_Qty,OrderItems_Type,"PURCHASE",OrderItems_SKU,I703)-SUMIFS(OrderItems_Qty,OrderItems_Type,"SALE",OrderItems_SKU,I703))</f>
        <v>0</v>
      </c>
    </row>
    <row r="704" customFormat="false" ht="15" hidden="false" customHeight="false" outlineLevel="0" collapsed="false">
      <c r="I704" s="82"/>
      <c r="K704" s="83"/>
      <c r="L704" s="84"/>
      <c r="N704" s="84"/>
      <c r="P704" s="0" t="n">
        <f aca="true">IF(I704="","",SUMIFS(OrderItems_Qty,OrderItems_Type,"PURCHASE",OrderItems_SKU,I704)-SUMIFS(OrderItems_Qty,OrderItems_Type,"SALE",OrderItems_SKU,I704))</f>
        <v>0</v>
      </c>
    </row>
    <row r="705" customFormat="false" ht="15" hidden="false" customHeight="false" outlineLevel="0" collapsed="false">
      <c r="I705" s="82"/>
      <c r="K705" s="83"/>
      <c r="L705" s="84"/>
      <c r="N705" s="84"/>
      <c r="P705" s="0" t="n">
        <f aca="true">IF(I705="","",SUMIFS(OrderItems_Qty,OrderItems_Type,"PURCHASE",OrderItems_SKU,I705)-SUMIFS(OrderItems_Qty,OrderItems_Type,"SALE",OrderItems_SKU,I705))</f>
        <v>0</v>
      </c>
    </row>
    <row r="706" customFormat="false" ht="15" hidden="false" customHeight="false" outlineLevel="0" collapsed="false">
      <c r="I706" s="82"/>
      <c r="K706" s="83"/>
      <c r="L706" s="84"/>
      <c r="N706" s="84"/>
      <c r="P706" s="0" t="n">
        <f aca="true">IF(I706="","",SUMIFS(OrderItems_Qty,OrderItems_Type,"PURCHASE",OrderItems_SKU,I706)-SUMIFS(OrderItems_Qty,OrderItems_Type,"SALE",OrderItems_SKU,I706))</f>
        <v>0</v>
      </c>
    </row>
    <row r="707" customFormat="false" ht="15" hidden="false" customHeight="false" outlineLevel="0" collapsed="false">
      <c r="I707" s="82"/>
      <c r="K707" s="83"/>
      <c r="L707" s="84"/>
      <c r="N707" s="84"/>
      <c r="P707" s="0" t="n">
        <f aca="true">IF(I707="","",SUMIFS(OrderItems_Qty,OrderItems_Type,"PURCHASE",OrderItems_SKU,I707)-SUMIFS(OrderItems_Qty,OrderItems_Type,"SALE",OrderItems_SKU,I707))</f>
        <v>0</v>
      </c>
    </row>
    <row r="708" customFormat="false" ht="15" hidden="false" customHeight="false" outlineLevel="0" collapsed="false">
      <c r="I708" s="82"/>
      <c r="K708" s="83"/>
      <c r="L708" s="84"/>
      <c r="N708" s="84"/>
      <c r="P708" s="0" t="n">
        <f aca="true">IF(I708="","",SUMIFS(OrderItems_Qty,OrderItems_Type,"PURCHASE",OrderItems_SKU,I708)-SUMIFS(OrderItems_Qty,OrderItems_Type,"SALE",OrderItems_SKU,I708))</f>
        <v>0</v>
      </c>
    </row>
    <row r="709" customFormat="false" ht="15" hidden="false" customHeight="false" outlineLevel="0" collapsed="false">
      <c r="I709" s="82"/>
      <c r="K709" s="83"/>
      <c r="L709" s="84"/>
      <c r="N709" s="84"/>
      <c r="P709" s="0" t="n">
        <f aca="true">IF(I709="","",SUMIFS(OrderItems_Qty,OrderItems_Type,"PURCHASE",OrderItems_SKU,I709)-SUMIFS(OrderItems_Qty,OrderItems_Type,"SALE",OrderItems_SKU,I709))</f>
        <v>0</v>
      </c>
    </row>
    <row r="710" customFormat="false" ht="15" hidden="false" customHeight="false" outlineLevel="0" collapsed="false">
      <c r="I710" s="82"/>
      <c r="K710" s="83"/>
      <c r="L710" s="84"/>
      <c r="N710" s="84"/>
      <c r="P710" s="0" t="n">
        <f aca="true">IF(I710="","",SUMIFS(OrderItems_Qty,OrderItems_Type,"PURCHASE",OrderItems_SKU,I710)-SUMIFS(OrderItems_Qty,OrderItems_Type,"SALE",OrderItems_SKU,I710))</f>
        <v>0</v>
      </c>
    </row>
    <row r="711" customFormat="false" ht="15" hidden="false" customHeight="false" outlineLevel="0" collapsed="false">
      <c r="I711" s="82"/>
      <c r="K711" s="83"/>
      <c r="L711" s="84"/>
      <c r="N711" s="84"/>
      <c r="P711" s="0" t="n">
        <f aca="true">IF(I711="","",SUMIFS(OrderItems_Qty,OrderItems_Type,"PURCHASE",OrderItems_SKU,I711)-SUMIFS(OrderItems_Qty,OrderItems_Type,"SALE",OrderItems_SKU,I711))</f>
        <v>0</v>
      </c>
    </row>
    <row r="712" customFormat="false" ht="15" hidden="false" customHeight="false" outlineLevel="0" collapsed="false">
      <c r="I712" s="82"/>
      <c r="K712" s="83"/>
      <c r="L712" s="84"/>
      <c r="N712" s="84"/>
      <c r="P712" s="0" t="n">
        <f aca="true">IF(I712="","",SUMIFS(OrderItems_Qty,OrderItems_Type,"PURCHASE",OrderItems_SKU,I712)-SUMIFS(OrderItems_Qty,OrderItems_Type,"SALE",OrderItems_SKU,I712))</f>
        <v>0</v>
      </c>
    </row>
    <row r="713" customFormat="false" ht="15" hidden="false" customHeight="false" outlineLevel="0" collapsed="false">
      <c r="I713" s="82"/>
      <c r="K713" s="83"/>
      <c r="L713" s="84"/>
      <c r="N713" s="84"/>
      <c r="P713" s="0" t="n">
        <f aca="true">IF(I713="","",SUMIFS(OrderItems_Qty,OrderItems_Type,"PURCHASE",OrderItems_SKU,I713)-SUMIFS(OrderItems_Qty,OrderItems_Type,"SALE",OrderItems_SKU,I713))</f>
        <v>0</v>
      </c>
    </row>
    <row r="714" customFormat="false" ht="15" hidden="false" customHeight="false" outlineLevel="0" collapsed="false">
      <c r="I714" s="82"/>
      <c r="K714" s="83"/>
      <c r="L714" s="84"/>
      <c r="N714" s="84"/>
      <c r="P714" s="0" t="n">
        <f aca="true">IF(I714="","",SUMIFS(OrderItems_Qty,OrderItems_Type,"PURCHASE",OrderItems_SKU,I714)-SUMIFS(OrderItems_Qty,OrderItems_Type,"SALE",OrderItems_SKU,I714))</f>
        <v>0</v>
      </c>
    </row>
    <row r="715" customFormat="false" ht="15" hidden="false" customHeight="false" outlineLevel="0" collapsed="false">
      <c r="I715" s="82"/>
      <c r="K715" s="83"/>
      <c r="L715" s="84"/>
      <c r="N715" s="84"/>
      <c r="P715" s="0" t="n">
        <f aca="true">IF(I715="","",SUMIFS(OrderItems_Qty,OrderItems_Type,"PURCHASE",OrderItems_SKU,I715)-SUMIFS(OrderItems_Qty,OrderItems_Type,"SALE",OrderItems_SKU,I715))</f>
        <v>0</v>
      </c>
    </row>
    <row r="716" customFormat="false" ht="15" hidden="false" customHeight="false" outlineLevel="0" collapsed="false">
      <c r="I716" s="82"/>
      <c r="K716" s="83"/>
      <c r="L716" s="84"/>
      <c r="N716" s="84"/>
      <c r="P716" s="0" t="n">
        <f aca="true">IF(I716="","",SUMIFS(OrderItems_Qty,OrderItems_Type,"PURCHASE",OrderItems_SKU,I716)-SUMIFS(OrderItems_Qty,OrderItems_Type,"SALE",OrderItems_SKU,I716))</f>
        <v>0</v>
      </c>
    </row>
    <row r="717" customFormat="false" ht="15" hidden="false" customHeight="false" outlineLevel="0" collapsed="false">
      <c r="I717" s="82"/>
      <c r="K717" s="83"/>
      <c r="L717" s="84"/>
      <c r="N717" s="84"/>
      <c r="P717" s="0" t="n">
        <f aca="true">IF(I717="","",SUMIFS(OrderItems_Qty,OrderItems_Type,"PURCHASE",OrderItems_SKU,I717)-SUMIFS(OrderItems_Qty,OrderItems_Type,"SALE",OrderItems_SKU,I717))</f>
        <v>0</v>
      </c>
    </row>
    <row r="718" customFormat="false" ht="15" hidden="false" customHeight="false" outlineLevel="0" collapsed="false">
      <c r="I718" s="82"/>
      <c r="K718" s="83"/>
      <c r="L718" s="84"/>
      <c r="N718" s="84"/>
      <c r="P718" s="0" t="n">
        <f aca="true">IF(I718="","",SUMIFS(OrderItems_Qty,OrderItems_Type,"PURCHASE",OrderItems_SKU,I718)-SUMIFS(OrderItems_Qty,OrderItems_Type,"SALE",OrderItems_SKU,I718))</f>
        <v>0</v>
      </c>
    </row>
    <row r="719" customFormat="false" ht="15" hidden="false" customHeight="false" outlineLevel="0" collapsed="false">
      <c r="I719" s="82"/>
      <c r="K719" s="83"/>
      <c r="L719" s="84"/>
      <c r="N719" s="84"/>
      <c r="P719" s="0" t="n">
        <f aca="true">IF(I719="","",SUMIFS(OrderItems_Qty,OrderItems_Type,"PURCHASE",OrderItems_SKU,I719)-SUMIFS(OrderItems_Qty,OrderItems_Type,"SALE",OrderItems_SKU,I719))</f>
        <v>0</v>
      </c>
    </row>
    <row r="720" customFormat="false" ht="15" hidden="false" customHeight="false" outlineLevel="0" collapsed="false">
      <c r="I720" s="82"/>
      <c r="K720" s="83"/>
      <c r="L720" s="84"/>
      <c r="N720" s="84"/>
      <c r="P720" s="0" t="n">
        <f aca="true">IF(I720="","",SUMIFS(OrderItems_Qty,OrderItems_Type,"PURCHASE",OrderItems_SKU,I720)-SUMIFS(OrderItems_Qty,OrderItems_Type,"SALE",OrderItems_SKU,I720))</f>
        <v>0</v>
      </c>
    </row>
    <row r="721" customFormat="false" ht="15" hidden="false" customHeight="false" outlineLevel="0" collapsed="false">
      <c r="I721" s="82"/>
      <c r="K721" s="83"/>
      <c r="L721" s="84"/>
      <c r="N721" s="84"/>
      <c r="P721" s="0" t="n">
        <f aca="true">IF(I721="","",SUMIFS(OrderItems_Qty,OrderItems_Type,"PURCHASE",OrderItems_SKU,I721)-SUMIFS(OrderItems_Qty,OrderItems_Type,"SALE",OrderItems_SKU,I721))</f>
        <v>0</v>
      </c>
    </row>
    <row r="722" customFormat="false" ht="15" hidden="false" customHeight="false" outlineLevel="0" collapsed="false">
      <c r="I722" s="82"/>
      <c r="K722" s="83"/>
      <c r="L722" s="84"/>
      <c r="N722" s="84"/>
      <c r="P722" s="0" t="n">
        <f aca="true">IF(I722="","",SUMIFS(OrderItems_Qty,OrderItems_Type,"PURCHASE",OrderItems_SKU,I722)-SUMIFS(OrderItems_Qty,OrderItems_Type,"SALE",OrderItems_SKU,I722))</f>
        <v>0</v>
      </c>
    </row>
    <row r="723" customFormat="false" ht="15" hidden="false" customHeight="false" outlineLevel="0" collapsed="false">
      <c r="I723" s="82"/>
      <c r="K723" s="83"/>
      <c r="L723" s="84"/>
      <c r="N723" s="84"/>
      <c r="P723" s="0" t="n">
        <f aca="true">IF(I723="","",SUMIFS(OrderItems_Qty,OrderItems_Type,"PURCHASE",OrderItems_SKU,I723)-SUMIFS(OrderItems_Qty,OrderItems_Type,"SALE",OrderItems_SKU,I723))</f>
        <v>0</v>
      </c>
    </row>
    <row r="724" customFormat="false" ht="15" hidden="false" customHeight="false" outlineLevel="0" collapsed="false">
      <c r="I724" s="82"/>
      <c r="K724" s="83"/>
      <c r="L724" s="84"/>
      <c r="N724" s="84"/>
      <c r="P724" s="0" t="n">
        <f aca="true">IF(I724="","",SUMIFS(OrderItems_Qty,OrderItems_Type,"PURCHASE",OrderItems_SKU,I724)-SUMIFS(OrderItems_Qty,OrderItems_Type,"SALE",OrderItems_SKU,I724))</f>
        <v>0</v>
      </c>
    </row>
    <row r="725" customFormat="false" ht="15" hidden="false" customHeight="false" outlineLevel="0" collapsed="false">
      <c r="I725" s="82"/>
      <c r="K725" s="83"/>
      <c r="L725" s="84"/>
      <c r="N725" s="84"/>
      <c r="P725" s="0" t="n">
        <f aca="true">IF(I725="","",SUMIFS(OrderItems_Qty,OrderItems_Type,"PURCHASE",OrderItems_SKU,I725)-SUMIFS(OrderItems_Qty,OrderItems_Type,"SALE",OrderItems_SKU,I725))</f>
        <v>0</v>
      </c>
    </row>
    <row r="726" customFormat="false" ht="15" hidden="false" customHeight="false" outlineLevel="0" collapsed="false">
      <c r="I726" s="82"/>
      <c r="K726" s="83"/>
      <c r="L726" s="84"/>
      <c r="N726" s="84"/>
      <c r="P726" s="0" t="n">
        <f aca="true">IF(I726="","",SUMIFS(OrderItems_Qty,OrderItems_Type,"PURCHASE",OrderItems_SKU,I726)-SUMIFS(OrderItems_Qty,OrderItems_Type,"SALE",OrderItems_SKU,I726))</f>
        <v>0</v>
      </c>
    </row>
    <row r="727" customFormat="false" ht="15" hidden="false" customHeight="false" outlineLevel="0" collapsed="false">
      <c r="I727" s="82"/>
      <c r="K727" s="83"/>
      <c r="L727" s="84"/>
      <c r="N727" s="84"/>
      <c r="P727" s="0" t="n">
        <f aca="true">IF(I727="","",SUMIFS(OrderItems_Qty,OrderItems_Type,"PURCHASE",OrderItems_SKU,I727)-SUMIFS(OrderItems_Qty,OrderItems_Type,"SALE",OrderItems_SKU,I727))</f>
        <v>0</v>
      </c>
    </row>
    <row r="728" customFormat="false" ht="15" hidden="false" customHeight="false" outlineLevel="0" collapsed="false">
      <c r="I728" s="82"/>
      <c r="K728" s="83"/>
      <c r="L728" s="84"/>
      <c r="N728" s="84"/>
      <c r="P728" s="0" t="n">
        <f aca="true">IF(I728="","",SUMIFS(OrderItems_Qty,OrderItems_Type,"PURCHASE",OrderItems_SKU,I728)-SUMIFS(OrderItems_Qty,OrderItems_Type,"SALE",OrderItems_SKU,I728))</f>
        <v>0</v>
      </c>
    </row>
    <row r="729" customFormat="false" ht="15" hidden="false" customHeight="false" outlineLevel="0" collapsed="false">
      <c r="I729" s="82"/>
      <c r="K729" s="83"/>
      <c r="L729" s="84"/>
      <c r="N729" s="84"/>
      <c r="P729" s="0" t="n">
        <f aca="true">IF(I729="","",SUMIFS(OrderItems_Qty,OrderItems_Type,"PURCHASE",OrderItems_SKU,I729)-SUMIFS(OrderItems_Qty,OrderItems_Type,"SALE",OrderItems_SKU,I729))</f>
        <v>0</v>
      </c>
    </row>
    <row r="730" customFormat="false" ht="15" hidden="false" customHeight="false" outlineLevel="0" collapsed="false">
      <c r="I730" s="82"/>
      <c r="K730" s="83"/>
      <c r="L730" s="84"/>
      <c r="N730" s="84"/>
      <c r="P730" s="0" t="n">
        <f aca="true">IF(I730="","",SUMIFS(OrderItems_Qty,OrderItems_Type,"PURCHASE",OrderItems_SKU,I730)-SUMIFS(OrderItems_Qty,OrderItems_Type,"SALE",OrderItems_SKU,I730))</f>
        <v>0</v>
      </c>
    </row>
    <row r="731" customFormat="false" ht="15" hidden="false" customHeight="false" outlineLevel="0" collapsed="false">
      <c r="I731" s="82"/>
      <c r="K731" s="83"/>
      <c r="L731" s="84"/>
      <c r="N731" s="84"/>
      <c r="P731" s="0" t="n">
        <f aca="true">IF(I731="","",SUMIFS(OrderItems_Qty,OrderItems_Type,"PURCHASE",OrderItems_SKU,I731)-SUMIFS(OrderItems_Qty,OrderItems_Type,"SALE",OrderItems_SKU,I731))</f>
        <v>0</v>
      </c>
    </row>
    <row r="732" customFormat="false" ht="15" hidden="false" customHeight="false" outlineLevel="0" collapsed="false">
      <c r="I732" s="82"/>
      <c r="K732" s="83"/>
      <c r="L732" s="84"/>
      <c r="N732" s="84"/>
      <c r="P732" s="0" t="n">
        <f aca="true">IF(I732="","",SUMIFS(OrderItems_Qty,OrderItems_Type,"PURCHASE",OrderItems_SKU,I732)-SUMIFS(OrderItems_Qty,OrderItems_Type,"SALE",OrderItems_SKU,I732))</f>
        <v>0</v>
      </c>
    </row>
    <row r="733" customFormat="false" ht="15" hidden="false" customHeight="false" outlineLevel="0" collapsed="false">
      <c r="I733" s="82"/>
      <c r="K733" s="83"/>
      <c r="L733" s="84"/>
      <c r="N733" s="84"/>
      <c r="P733" s="0" t="n">
        <f aca="true">IF(I733="","",SUMIFS(OrderItems_Qty,OrderItems_Type,"PURCHASE",OrderItems_SKU,I733)-SUMIFS(OrderItems_Qty,OrderItems_Type,"SALE",OrderItems_SKU,I733))</f>
        <v>0</v>
      </c>
    </row>
    <row r="734" customFormat="false" ht="15" hidden="false" customHeight="false" outlineLevel="0" collapsed="false">
      <c r="I734" s="82"/>
      <c r="K734" s="83"/>
      <c r="L734" s="84"/>
      <c r="N734" s="84"/>
      <c r="P734" s="0" t="n">
        <f aca="true">IF(I734="","",SUMIFS(OrderItems_Qty,OrderItems_Type,"PURCHASE",OrderItems_SKU,I734)-SUMIFS(OrderItems_Qty,OrderItems_Type,"SALE",OrderItems_SKU,I734))</f>
        <v>0</v>
      </c>
    </row>
    <row r="735" customFormat="false" ht="15" hidden="false" customHeight="false" outlineLevel="0" collapsed="false">
      <c r="I735" s="82"/>
      <c r="K735" s="83"/>
      <c r="L735" s="84"/>
      <c r="N735" s="84"/>
      <c r="P735" s="0" t="n">
        <f aca="true">IF(I735="","",SUMIFS(OrderItems_Qty,OrderItems_Type,"PURCHASE",OrderItems_SKU,I735)-SUMIFS(OrderItems_Qty,OrderItems_Type,"SALE",OrderItems_SKU,I735))</f>
        <v>0</v>
      </c>
    </row>
    <row r="736" customFormat="false" ht="15" hidden="false" customHeight="false" outlineLevel="0" collapsed="false">
      <c r="I736" s="82"/>
      <c r="K736" s="83"/>
      <c r="L736" s="84"/>
      <c r="N736" s="84"/>
      <c r="P736" s="0" t="n">
        <f aca="true">IF(I736="","",SUMIFS(OrderItems_Qty,OrderItems_Type,"PURCHASE",OrderItems_SKU,I736)-SUMIFS(OrderItems_Qty,OrderItems_Type,"SALE",OrderItems_SKU,I736))</f>
        <v>0</v>
      </c>
    </row>
    <row r="737" customFormat="false" ht="15" hidden="false" customHeight="false" outlineLevel="0" collapsed="false">
      <c r="I737" s="82"/>
      <c r="K737" s="83"/>
      <c r="L737" s="84"/>
      <c r="N737" s="84"/>
      <c r="P737" s="0" t="n">
        <f aca="true">IF(I737="","",SUMIFS(OrderItems_Qty,OrderItems_Type,"PURCHASE",OrderItems_SKU,I737)-SUMIFS(OrderItems_Qty,OrderItems_Type,"SALE",OrderItems_SKU,I737))</f>
        <v>0</v>
      </c>
    </row>
    <row r="738" customFormat="false" ht="15" hidden="false" customHeight="false" outlineLevel="0" collapsed="false">
      <c r="I738" s="82"/>
      <c r="K738" s="83"/>
      <c r="L738" s="84"/>
      <c r="N738" s="84"/>
      <c r="P738" s="0" t="n">
        <f aca="true">IF(I738="","",SUMIFS(OrderItems_Qty,OrderItems_Type,"PURCHASE",OrderItems_SKU,I738)-SUMIFS(OrderItems_Qty,OrderItems_Type,"SALE",OrderItems_SKU,I738))</f>
        <v>0</v>
      </c>
    </row>
    <row r="739" customFormat="false" ht="15" hidden="false" customHeight="false" outlineLevel="0" collapsed="false">
      <c r="I739" s="82"/>
      <c r="K739" s="83"/>
      <c r="L739" s="84"/>
      <c r="N739" s="84"/>
      <c r="P739" s="0" t="n">
        <f aca="true">IF(I739="","",SUMIFS(OrderItems_Qty,OrderItems_Type,"PURCHASE",OrderItems_SKU,I739)-SUMIFS(OrderItems_Qty,OrderItems_Type,"SALE",OrderItems_SKU,I739))</f>
        <v>0</v>
      </c>
    </row>
    <row r="740" customFormat="false" ht="15" hidden="false" customHeight="false" outlineLevel="0" collapsed="false">
      <c r="I740" s="82"/>
      <c r="K740" s="83"/>
      <c r="L740" s="84"/>
      <c r="N740" s="84"/>
      <c r="P740" s="0" t="n">
        <f aca="true">IF(I740="","",SUMIFS(OrderItems_Qty,OrderItems_Type,"PURCHASE",OrderItems_SKU,I740)-SUMIFS(OrderItems_Qty,OrderItems_Type,"SALE",OrderItems_SKU,I740))</f>
        <v>0</v>
      </c>
    </row>
    <row r="741" customFormat="false" ht="15" hidden="false" customHeight="false" outlineLevel="0" collapsed="false">
      <c r="I741" s="82"/>
      <c r="K741" s="83"/>
      <c r="L741" s="84"/>
      <c r="N741" s="84"/>
      <c r="P741" s="0" t="n">
        <f aca="true">IF(I741="","",SUMIFS(OrderItems_Qty,OrderItems_Type,"PURCHASE",OrderItems_SKU,I741)-SUMIFS(OrderItems_Qty,OrderItems_Type,"SALE",OrderItems_SKU,I741))</f>
        <v>0</v>
      </c>
    </row>
    <row r="742" customFormat="false" ht="15" hidden="false" customHeight="false" outlineLevel="0" collapsed="false">
      <c r="I742" s="82"/>
      <c r="K742" s="83"/>
      <c r="L742" s="84"/>
      <c r="N742" s="84"/>
      <c r="P742" s="0" t="n">
        <f aca="true">IF(I742="","",SUMIFS(OrderItems_Qty,OrderItems_Type,"PURCHASE",OrderItems_SKU,I742)-SUMIFS(OrderItems_Qty,OrderItems_Type,"SALE",OrderItems_SKU,I742))</f>
        <v>0</v>
      </c>
    </row>
    <row r="743" customFormat="false" ht="15" hidden="false" customHeight="false" outlineLevel="0" collapsed="false">
      <c r="I743" s="82"/>
      <c r="K743" s="83"/>
      <c r="L743" s="84"/>
      <c r="N743" s="84"/>
      <c r="P743" s="0" t="n">
        <f aca="true">IF(I743="","",SUMIFS(OrderItems_Qty,OrderItems_Type,"PURCHASE",OrderItems_SKU,I743)-SUMIFS(OrderItems_Qty,OrderItems_Type,"SALE",OrderItems_SKU,I743))</f>
        <v>0</v>
      </c>
    </row>
    <row r="744" customFormat="false" ht="15" hidden="false" customHeight="false" outlineLevel="0" collapsed="false">
      <c r="I744" s="82"/>
      <c r="K744" s="83"/>
      <c r="L744" s="84"/>
      <c r="N744" s="84"/>
      <c r="P744" s="0" t="n">
        <f aca="true">IF(I744="","",SUMIFS(OrderItems_Qty,OrderItems_Type,"PURCHASE",OrderItems_SKU,I744)-SUMIFS(OrderItems_Qty,OrderItems_Type,"SALE",OrderItems_SKU,I744))</f>
        <v>0</v>
      </c>
    </row>
    <row r="745" customFormat="false" ht="15" hidden="false" customHeight="false" outlineLevel="0" collapsed="false">
      <c r="I745" s="82"/>
      <c r="K745" s="83"/>
      <c r="L745" s="84"/>
      <c r="N745" s="84"/>
      <c r="P745" s="0" t="n">
        <f aca="true">IF(I745="","",SUMIFS(OrderItems_Qty,OrderItems_Type,"PURCHASE",OrderItems_SKU,I745)-SUMIFS(OrderItems_Qty,OrderItems_Type,"SALE",OrderItems_SKU,I745))</f>
        <v>0</v>
      </c>
    </row>
    <row r="746" customFormat="false" ht="15" hidden="false" customHeight="false" outlineLevel="0" collapsed="false">
      <c r="I746" s="82"/>
      <c r="K746" s="83"/>
      <c r="L746" s="84"/>
      <c r="N746" s="84"/>
      <c r="P746" s="0" t="n">
        <f aca="true">IF(I746="","",SUMIFS(OrderItems_Qty,OrderItems_Type,"PURCHASE",OrderItems_SKU,I746)-SUMIFS(OrderItems_Qty,OrderItems_Type,"SALE",OrderItems_SKU,I746))</f>
        <v>0</v>
      </c>
    </row>
    <row r="747" customFormat="false" ht="15" hidden="false" customHeight="false" outlineLevel="0" collapsed="false">
      <c r="I747" s="82"/>
      <c r="K747" s="83"/>
      <c r="L747" s="84"/>
      <c r="N747" s="84"/>
      <c r="P747" s="0" t="n">
        <f aca="true">IF(I747="","",SUMIFS(OrderItems_Qty,OrderItems_Type,"PURCHASE",OrderItems_SKU,I747)-SUMIFS(OrderItems_Qty,OrderItems_Type,"SALE",OrderItems_SKU,I747))</f>
        <v>0</v>
      </c>
    </row>
    <row r="748" customFormat="false" ht="15" hidden="false" customHeight="false" outlineLevel="0" collapsed="false">
      <c r="I748" s="82"/>
      <c r="K748" s="83"/>
      <c r="L748" s="84"/>
      <c r="N748" s="84"/>
      <c r="P748" s="0" t="n">
        <f aca="true">IF(I748="","",SUMIFS(OrderItems_Qty,OrderItems_Type,"PURCHASE",OrderItems_SKU,I748)-SUMIFS(OrderItems_Qty,OrderItems_Type,"SALE",OrderItems_SKU,I748))</f>
        <v>0</v>
      </c>
    </row>
    <row r="749" customFormat="false" ht="15" hidden="false" customHeight="false" outlineLevel="0" collapsed="false">
      <c r="I749" s="82"/>
      <c r="K749" s="83"/>
      <c r="L749" s="84"/>
      <c r="N749" s="84"/>
      <c r="P749" s="0" t="n">
        <f aca="true">IF(I749="","",SUMIFS(OrderItems_Qty,OrderItems_Type,"PURCHASE",OrderItems_SKU,I749)-SUMIFS(OrderItems_Qty,OrderItems_Type,"SALE",OrderItems_SKU,I749))</f>
        <v>0</v>
      </c>
    </row>
    <row r="750" customFormat="false" ht="15" hidden="false" customHeight="false" outlineLevel="0" collapsed="false">
      <c r="I750" s="82"/>
      <c r="K750" s="83"/>
      <c r="L750" s="84"/>
      <c r="N750" s="84"/>
      <c r="P750" s="0" t="n">
        <f aca="true">IF(I750="","",SUMIFS(OrderItems_Qty,OrderItems_Type,"PURCHASE",OrderItems_SKU,I750)-SUMIFS(OrderItems_Qty,OrderItems_Type,"SALE",OrderItems_SKU,I750))</f>
        <v>0</v>
      </c>
    </row>
    <row r="751" customFormat="false" ht="15" hidden="false" customHeight="false" outlineLevel="0" collapsed="false">
      <c r="I751" s="82"/>
      <c r="K751" s="83"/>
      <c r="L751" s="84"/>
      <c r="N751" s="84"/>
      <c r="P751" s="0" t="n">
        <f aca="true">IF(I751="","",SUMIFS(OrderItems_Qty,OrderItems_Type,"PURCHASE",OrderItems_SKU,I751)-SUMIFS(OrderItems_Qty,OrderItems_Type,"SALE",OrderItems_SKU,I751))</f>
        <v>0</v>
      </c>
    </row>
    <row r="752" customFormat="false" ht="15" hidden="false" customHeight="false" outlineLevel="0" collapsed="false">
      <c r="I752" s="82"/>
      <c r="K752" s="83"/>
      <c r="L752" s="84"/>
      <c r="N752" s="84"/>
      <c r="P752" s="0" t="n">
        <f aca="true">IF(I752="","",SUMIFS(OrderItems_Qty,OrderItems_Type,"PURCHASE",OrderItems_SKU,I752)-SUMIFS(OrderItems_Qty,OrderItems_Type,"SALE",OrderItems_SKU,I752))</f>
        <v>0</v>
      </c>
    </row>
    <row r="753" customFormat="false" ht="15" hidden="false" customHeight="false" outlineLevel="0" collapsed="false">
      <c r="I753" s="82"/>
      <c r="K753" s="83"/>
      <c r="L753" s="84"/>
      <c r="N753" s="84"/>
      <c r="P753" s="0" t="n">
        <f aca="true">IF(I753="","",SUMIFS(OrderItems_Qty,OrderItems_Type,"PURCHASE",OrderItems_SKU,I753)-SUMIFS(OrderItems_Qty,OrderItems_Type,"SALE",OrderItems_SKU,I753))</f>
        <v>0</v>
      </c>
    </row>
    <row r="754" customFormat="false" ht="15" hidden="false" customHeight="false" outlineLevel="0" collapsed="false">
      <c r="I754" s="82"/>
      <c r="K754" s="83"/>
      <c r="L754" s="84"/>
      <c r="N754" s="84"/>
      <c r="P754" s="0" t="n">
        <f aca="true">IF(I754="","",SUMIFS(OrderItems_Qty,OrderItems_Type,"PURCHASE",OrderItems_SKU,I754)-SUMIFS(OrderItems_Qty,OrderItems_Type,"SALE",OrderItems_SKU,I754))</f>
        <v>0</v>
      </c>
    </row>
    <row r="755" customFormat="false" ht="15" hidden="false" customHeight="false" outlineLevel="0" collapsed="false">
      <c r="I755" s="82"/>
      <c r="K755" s="83"/>
      <c r="L755" s="84"/>
      <c r="N755" s="84"/>
      <c r="P755" s="0" t="n">
        <f aca="true">IF(I755="","",SUMIFS(OrderItems_Qty,OrderItems_Type,"PURCHASE",OrderItems_SKU,I755)-SUMIFS(OrderItems_Qty,OrderItems_Type,"SALE",OrderItems_SKU,I755))</f>
        <v>0</v>
      </c>
    </row>
    <row r="756" customFormat="false" ht="15" hidden="false" customHeight="false" outlineLevel="0" collapsed="false">
      <c r="I756" s="82"/>
      <c r="K756" s="83"/>
      <c r="L756" s="84"/>
      <c r="N756" s="84"/>
      <c r="P756" s="0" t="n">
        <f aca="true">IF(I756="","",SUMIFS(OrderItems_Qty,OrderItems_Type,"PURCHASE",OrderItems_SKU,I756)-SUMIFS(OrderItems_Qty,OrderItems_Type,"SALE",OrderItems_SKU,I756))</f>
        <v>0</v>
      </c>
    </row>
    <row r="757" customFormat="false" ht="15" hidden="false" customHeight="false" outlineLevel="0" collapsed="false">
      <c r="I757" s="82"/>
      <c r="K757" s="83"/>
      <c r="L757" s="84"/>
      <c r="N757" s="84"/>
      <c r="P757" s="0" t="n">
        <f aca="true">IF(I757="","",SUMIFS(OrderItems_Qty,OrderItems_Type,"PURCHASE",OrderItems_SKU,I757)-SUMIFS(OrderItems_Qty,OrderItems_Type,"SALE",OrderItems_SKU,I757))</f>
        <v>0</v>
      </c>
    </row>
    <row r="758" customFormat="false" ht="15" hidden="false" customHeight="false" outlineLevel="0" collapsed="false">
      <c r="I758" s="82"/>
      <c r="K758" s="83"/>
      <c r="L758" s="84"/>
      <c r="N758" s="84"/>
      <c r="P758" s="0" t="n">
        <f aca="true">IF(I758="","",SUMIFS(OrderItems_Qty,OrderItems_Type,"PURCHASE",OrderItems_SKU,I758)-SUMIFS(OrderItems_Qty,OrderItems_Type,"SALE",OrderItems_SKU,I758))</f>
        <v>0</v>
      </c>
    </row>
    <row r="759" customFormat="false" ht="15" hidden="false" customHeight="false" outlineLevel="0" collapsed="false">
      <c r="I759" s="82"/>
      <c r="K759" s="83"/>
      <c r="L759" s="84"/>
      <c r="N759" s="84"/>
      <c r="P759" s="0" t="n">
        <f aca="true">IF(I759="","",SUMIFS(OrderItems_Qty,OrderItems_Type,"PURCHASE",OrderItems_SKU,I759)-SUMIFS(OrderItems_Qty,OrderItems_Type,"SALE",OrderItems_SKU,I759))</f>
        <v>0</v>
      </c>
    </row>
    <row r="760" customFormat="false" ht="15" hidden="false" customHeight="false" outlineLevel="0" collapsed="false">
      <c r="I760" s="82"/>
      <c r="K760" s="83"/>
      <c r="L760" s="84"/>
      <c r="N760" s="84"/>
      <c r="P760" s="0" t="n">
        <f aca="true">IF(I760="","",SUMIFS(OrderItems_Qty,OrderItems_Type,"PURCHASE",OrderItems_SKU,I760)-SUMIFS(OrderItems_Qty,OrderItems_Type,"SALE",OrderItems_SKU,I760))</f>
        <v>0</v>
      </c>
    </row>
    <row r="761" customFormat="false" ht="15" hidden="false" customHeight="false" outlineLevel="0" collapsed="false">
      <c r="I761" s="82"/>
      <c r="K761" s="83"/>
      <c r="L761" s="84"/>
      <c r="N761" s="84"/>
      <c r="P761" s="0" t="n">
        <f aca="true">IF(I761="","",SUMIFS(OrderItems_Qty,OrderItems_Type,"PURCHASE",OrderItems_SKU,I761)-SUMIFS(OrderItems_Qty,OrderItems_Type,"SALE",OrderItems_SKU,I761))</f>
        <v>0</v>
      </c>
    </row>
    <row r="762" customFormat="false" ht="15" hidden="false" customHeight="false" outlineLevel="0" collapsed="false">
      <c r="I762" s="82"/>
      <c r="K762" s="83"/>
      <c r="L762" s="84"/>
      <c r="N762" s="84"/>
      <c r="P762" s="0" t="n">
        <f aca="true">IF(I762="","",SUMIFS(OrderItems_Qty,OrderItems_Type,"PURCHASE",OrderItems_SKU,I762)-SUMIFS(OrderItems_Qty,OrderItems_Type,"SALE",OrderItems_SKU,I762))</f>
        <v>0</v>
      </c>
    </row>
    <row r="763" customFormat="false" ht="15" hidden="false" customHeight="false" outlineLevel="0" collapsed="false">
      <c r="I763" s="82"/>
      <c r="K763" s="83"/>
      <c r="L763" s="84"/>
      <c r="N763" s="84"/>
      <c r="P763" s="0" t="n">
        <f aca="true">IF(I763="","",SUMIFS(OrderItems_Qty,OrderItems_Type,"PURCHASE",OrderItems_SKU,I763)-SUMIFS(OrderItems_Qty,OrderItems_Type,"SALE",OrderItems_SKU,I763))</f>
        <v>0</v>
      </c>
    </row>
    <row r="764" customFormat="false" ht="15" hidden="false" customHeight="false" outlineLevel="0" collapsed="false">
      <c r="I764" s="82"/>
      <c r="K764" s="83"/>
      <c r="L764" s="84"/>
      <c r="N764" s="84"/>
      <c r="P764" s="0" t="n">
        <f aca="true">IF(I764="","",SUMIFS(OrderItems_Qty,OrderItems_Type,"PURCHASE",OrderItems_SKU,I764)-SUMIFS(OrderItems_Qty,OrderItems_Type,"SALE",OrderItems_SKU,I764))</f>
        <v>0</v>
      </c>
    </row>
    <row r="765" customFormat="false" ht="15" hidden="false" customHeight="false" outlineLevel="0" collapsed="false">
      <c r="I765" s="82"/>
      <c r="K765" s="83"/>
      <c r="L765" s="84"/>
      <c r="N765" s="84"/>
      <c r="P765" s="0" t="n">
        <f aca="true">IF(I765="","",SUMIFS(OrderItems_Qty,OrderItems_Type,"PURCHASE",OrderItems_SKU,I765)-SUMIFS(OrderItems_Qty,OrderItems_Type,"SALE",OrderItems_SKU,I765))</f>
        <v>0</v>
      </c>
    </row>
    <row r="766" customFormat="false" ht="15" hidden="false" customHeight="false" outlineLevel="0" collapsed="false">
      <c r="I766" s="82"/>
      <c r="K766" s="83"/>
      <c r="L766" s="84"/>
      <c r="N766" s="84"/>
      <c r="P766" s="0" t="n">
        <f aca="true">IF(I766="","",SUMIFS(OrderItems_Qty,OrderItems_Type,"PURCHASE",OrderItems_SKU,I766)-SUMIFS(OrderItems_Qty,OrderItems_Type,"SALE",OrderItems_SKU,I766))</f>
        <v>0</v>
      </c>
    </row>
    <row r="767" customFormat="false" ht="15" hidden="false" customHeight="false" outlineLevel="0" collapsed="false">
      <c r="I767" s="82"/>
      <c r="K767" s="83"/>
      <c r="L767" s="84"/>
      <c r="N767" s="84"/>
      <c r="P767" s="0" t="n">
        <f aca="true">IF(I767="","",SUMIFS(OrderItems_Qty,OrderItems_Type,"PURCHASE",OrderItems_SKU,I767)-SUMIFS(OrderItems_Qty,OrderItems_Type,"SALE",OrderItems_SKU,I767))</f>
        <v>0</v>
      </c>
    </row>
    <row r="768" customFormat="false" ht="15" hidden="false" customHeight="false" outlineLevel="0" collapsed="false">
      <c r="I768" s="82"/>
      <c r="K768" s="83"/>
      <c r="L768" s="84"/>
      <c r="N768" s="84"/>
      <c r="P768" s="0" t="n">
        <f aca="true">IF(I768="","",SUMIFS(OrderItems_Qty,OrderItems_Type,"PURCHASE",OrderItems_SKU,I768)-SUMIFS(OrderItems_Qty,OrderItems_Type,"SALE",OrderItems_SKU,I768))</f>
        <v>0</v>
      </c>
    </row>
    <row r="769" customFormat="false" ht="15" hidden="false" customHeight="false" outlineLevel="0" collapsed="false">
      <c r="I769" s="82"/>
      <c r="K769" s="83"/>
      <c r="L769" s="84"/>
      <c r="N769" s="84"/>
      <c r="P769" s="0" t="n">
        <f aca="true">IF(I769="","",SUMIFS(OrderItems_Qty,OrderItems_Type,"PURCHASE",OrderItems_SKU,I769)-SUMIFS(OrderItems_Qty,OrderItems_Type,"SALE",OrderItems_SKU,I769))</f>
        <v>0</v>
      </c>
    </row>
    <row r="770" customFormat="false" ht="15" hidden="false" customHeight="false" outlineLevel="0" collapsed="false">
      <c r="I770" s="82"/>
      <c r="K770" s="83"/>
      <c r="L770" s="84"/>
      <c r="N770" s="84"/>
      <c r="P770" s="0" t="n">
        <f aca="true">IF(I770="","",SUMIFS(OrderItems_Qty,OrderItems_Type,"PURCHASE",OrderItems_SKU,I770)-SUMIFS(OrderItems_Qty,OrderItems_Type,"SALE",OrderItems_SKU,I770))</f>
        <v>0</v>
      </c>
    </row>
    <row r="771" customFormat="false" ht="15" hidden="false" customHeight="false" outlineLevel="0" collapsed="false">
      <c r="I771" s="82"/>
      <c r="K771" s="83"/>
      <c r="L771" s="84"/>
      <c r="N771" s="84"/>
      <c r="P771" s="0" t="n">
        <f aca="true">IF(I771="","",SUMIFS(OrderItems_Qty,OrderItems_Type,"PURCHASE",OrderItems_SKU,I771)-SUMIFS(OrderItems_Qty,OrderItems_Type,"SALE",OrderItems_SKU,I771))</f>
        <v>0</v>
      </c>
    </row>
    <row r="772" customFormat="false" ht="15" hidden="false" customHeight="false" outlineLevel="0" collapsed="false">
      <c r="I772" s="82"/>
      <c r="K772" s="83"/>
      <c r="L772" s="84"/>
      <c r="N772" s="84"/>
      <c r="P772" s="0" t="n">
        <f aca="true">IF(I772="","",SUMIFS(OrderItems_Qty,OrderItems_Type,"PURCHASE",OrderItems_SKU,I772)-SUMIFS(OrderItems_Qty,OrderItems_Type,"SALE",OrderItems_SKU,I772))</f>
        <v>0</v>
      </c>
    </row>
    <row r="773" customFormat="false" ht="15" hidden="false" customHeight="false" outlineLevel="0" collapsed="false">
      <c r="I773" s="82"/>
      <c r="K773" s="83"/>
      <c r="L773" s="84"/>
      <c r="N773" s="84"/>
      <c r="P773" s="0" t="n">
        <f aca="true">IF(I773="","",SUMIFS(OrderItems_Qty,OrderItems_Type,"PURCHASE",OrderItems_SKU,I773)-SUMIFS(OrderItems_Qty,OrderItems_Type,"SALE",OrderItems_SKU,I773))</f>
        <v>0</v>
      </c>
    </row>
    <row r="774" customFormat="false" ht="15" hidden="false" customHeight="false" outlineLevel="0" collapsed="false">
      <c r="I774" s="82"/>
      <c r="K774" s="83"/>
      <c r="L774" s="84"/>
      <c r="N774" s="84"/>
      <c r="P774" s="0" t="n">
        <f aca="true">IF(I774="","",SUMIFS(OrderItems_Qty,OrderItems_Type,"PURCHASE",OrderItems_SKU,I774)-SUMIFS(OrderItems_Qty,OrderItems_Type,"SALE",OrderItems_SKU,I774))</f>
        <v>0</v>
      </c>
    </row>
    <row r="775" customFormat="false" ht="15" hidden="false" customHeight="false" outlineLevel="0" collapsed="false">
      <c r="I775" s="82"/>
      <c r="K775" s="83"/>
      <c r="L775" s="84"/>
      <c r="N775" s="84"/>
      <c r="P775" s="0" t="n">
        <f aca="true">IF(I775="","",SUMIFS(OrderItems_Qty,OrderItems_Type,"PURCHASE",OrderItems_SKU,I775)-SUMIFS(OrderItems_Qty,OrderItems_Type,"SALE",OrderItems_SKU,I775))</f>
        <v>0</v>
      </c>
    </row>
    <row r="776" customFormat="false" ht="15" hidden="false" customHeight="false" outlineLevel="0" collapsed="false">
      <c r="I776" s="82"/>
      <c r="K776" s="83"/>
      <c r="L776" s="84"/>
      <c r="N776" s="84"/>
      <c r="P776" s="0" t="n">
        <f aca="true">IF(I776="","",SUMIFS(OrderItems_Qty,OrderItems_Type,"PURCHASE",OrderItems_SKU,I776)-SUMIFS(OrderItems_Qty,OrderItems_Type,"SALE",OrderItems_SKU,I776))</f>
        <v>0</v>
      </c>
    </row>
    <row r="777" customFormat="false" ht="15" hidden="false" customHeight="false" outlineLevel="0" collapsed="false">
      <c r="I777" s="82"/>
      <c r="K777" s="83"/>
      <c r="L777" s="84"/>
      <c r="N777" s="84"/>
      <c r="P777" s="0" t="n">
        <f aca="true">IF(I777="","",SUMIFS(OrderItems_Qty,OrderItems_Type,"PURCHASE",OrderItems_SKU,I777)-SUMIFS(OrderItems_Qty,OrderItems_Type,"SALE",OrderItems_SKU,I777))</f>
        <v>0</v>
      </c>
    </row>
    <row r="778" customFormat="false" ht="15" hidden="false" customHeight="false" outlineLevel="0" collapsed="false">
      <c r="I778" s="82"/>
      <c r="K778" s="83"/>
      <c r="L778" s="84"/>
      <c r="N778" s="84"/>
      <c r="P778" s="0" t="n">
        <f aca="true">IF(I778="","",SUMIFS(OrderItems_Qty,OrderItems_Type,"PURCHASE",OrderItems_SKU,I778)-SUMIFS(OrderItems_Qty,OrderItems_Type,"SALE",OrderItems_SKU,I778))</f>
        <v>0</v>
      </c>
    </row>
    <row r="779" customFormat="false" ht="15" hidden="false" customHeight="false" outlineLevel="0" collapsed="false">
      <c r="I779" s="82"/>
      <c r="K779" s="83"/>
      <c r="L779" s="84"/>
      <c r="N779" s="84"/>
      <c r="P779" s="0" t="n">
        <f aca="true">IF(I779="","",SUMIFS(OrderItems_Qty,OrderItems_Type,"PURCHASE",OrderItems_SKU,I779)-SUMIFS(OrderItems_Qty,OrderItems_Type,"SALE",OrderItems_SKU,I779))</f>
        <v>0</v>
      </c>
    </row>
    <row r="780" customFormat="false" ht="15" hidden="false" customHeight="false" outlineLevel="0" collapsed="false">
      <c r="I780" s="82"/>
      <c r="K780" s="83"/>
      <c r="L780" s="84"/>
      <c r="N780" s="84"/>
      <c r="P780" s="0" t="n">
        <f aca="true">IF(I780="","",SUMIFS(OrderItems_Qty,OrderItems_Type,"PURCHASE",OrderItems_SKU,I780)-SUMIFS(OrderItems_Qty,OrderItems_Type,"SALE",OrderItems_SKU,I780))</f>
        <v>0</v>
      </c>
    </row>
    <row r="781" customFormat="false" ht="15" hidden="false" customHeight="false" outlineLevel="0" collapsed="false">
      <c r="I781" s="82"/>
      <c r="K781" s="83"/>
      <c r="L781" s="84"/>
      <c r="N781" s="84"/>
      <c r="P781" s="0" t="n">
        <f aca="true">IF(I781="","",SUMIFS(OrderItems_Qty,OrderItems_Type,"PURCHASE",OrderItems_SKU,I781)-SUMIFS(OrderItems_Qty,OrderItems_Type,"SALE",OrderItems_SKU,I781))</f>
        <v>0</v>
      </c>
    </row>
    <row r="782" customFormat="false" ht="15" hidden="false" customHeight="false" outlineLevel="0" collapsed="false">
      <c r="I782" s="82"/>
      <c r="K782" s="83"/>
      <c r="L782" s="84"/>
      <c r="N782" s="84"/>
      <c r="P782" s="0" t="n">
        <f aca="true">IF(I782="","",SUMIFS(OrderItems_Qty,OrderItems_Type,"PURCHASE",OrderItems_SKU,I782)-SUMIFS(OrderItems_Qty,OrderItems_Type,"SALE",OrderItems_SKU,I782))</f>
        <v>0</v>
      </c>
    </row>
    <row r="783" customFormat="false" ht="15" hidden="false" customHeight="false" outlineLevel="0" collapsed="false">
      <c r="I783" s="82"/>
      <c r="K783" s="83"/>
      <c r="L783" s="84"/>
      <c r="N783" s="84"/>
      <c r="P783" s="0" t="n">
        <f aca="true">IF(I783="","",SUMIFS(OrderItems_Qty,OrderItems_Type,"PURCHASE",OrderItems_SKU,I783)-SUMIFS(OrderItems_Qty,OrderItems_Type,"SALE",OrderItems_SKU,I783))</f>
        <v>0</v>
      </c>
    </row>
    <row r="784" customFormat="false" ht="15" hidden="false" customHeight="false" outlineLevel="0" collapsed="false">
      <c r="I784" s="82"/>
      <c r="K784" s="83"/>
      <c r="L784" s="84"/>
      <c r="N784" s="84"/>
      <c r="P784" s="0" t="n">
        <f aca="true">IF(I784="","",SUMIFS(OrderItems_Qty,OrderItems_Type,"PURCHASE",OrderItems_SKU,I784)-SUMIFS(OrderItems_Qty,OrderItems_Type,"SALE",OrderItems_SKU,I784))</f>
        <v>0</v>
      </c>
    </row>
    <row r="785" customFormat="false" ht="15" hidden="false" customHeight="false" outlineLevel="0" collapsed="false">
      <c r="I785" s="82"/>
      <c r="K785" s="83"/>
      <c r="L785" s="84"/>
      <c r="N785" s="84"/>
      <c r="P785" s="0" t="n">
        <f aca="true">IF(I785="","",SUMIFS(OrderItems_Qty,OrderItems_Type,"PURCHASE",OrderItems_SKU,I785)-SUMIFS(OrderItems_Qty,OrderItems_Type,"SALE",OrderItems_SKU,I785))</f>
        <v>0</v>
      </c>
    </row>
    <row r="786" customFormat="false" ht="15" hidden="false" customHeight="false" outlineLevel="0" collapsed="false">
      <c r="I786" s="82"/>
      <c r="K786" s="83"/>
      <c r="L786" s="84"/>
      <c r="N786" s="84"/>
      <c r="P786" s="0" t="n">
        <f aca="true">IF(I786="","",SUMIFS(OrderItems_Qty,OrderItems_Type,"PURCHASE",OrderItems_SKU,I786)-SUMIFS(OrderItems_Qty,OrderItems_Type,"SALE",OrderItems_SKU,I786))</f>
        <v>0</v>
      </c>
    </row>
    <row r="787" customFormat="false" ht="15" hidden="false" customHeight="false" outlineLevel="0" collapsed="false">
      <c r="I787" s="82"/>
      <c r="K787" s="83"/>
      <c r="L787" s="84"/>
      <c r="N787" s="84"/>
      <c r="P787" s="0" t="n">
        <f aca="true">IF(I787="","",SUMIFS(OrderItems_Qty,OrderItems_Type,"PURCHASE",OrderItems_SKU,I787)-SUMIFS(OrderItems_Qty,OrderItems_Type,"SALE",OrderItems_SKU,I787))</f>
        <v>0</v>
      </c>
    </row>
    <row r="788" customFormat="false" ht="15" hidden="false" customHeight="false" outlineLevel="0" collapsed="false">
      <c r="I788" s="82"/>
      <c r="K788" s="83"/>
      <c r="L788" s="84"/>
      <c r="N788" s="84"/>
      <c r="P788" s="0" t="n">
        <f aca="true">IF(I788="","",SUMIFS(OrderItems_Qty,OrderItems_Type,"PURCHASE",OrderItems_SKU,I788)-SUMIFS(OrderItems_Qty,OrderItems_Type,"SALE",OrderItems_SKU,I788))</f>
        <v>0</v>
      </c>
    </row>
    <row r="789" customFormat="false" ht="15" hidden="false" customHeight="false" outlineLevel="0" collapsed="false">
      <c r="I789" s="82"/>
      <c r="K789" s="83"/>
      <c r="L789" s="84"/>
      <c r="N789" s="84"/>
      <c r="P789" s="0" t="n">
        <f aca="true">IF(I789="","",SUMIFS(OrderItems_Qty,OrderItems_Type,"PURCHASE",OrderItems_SKU,I789)-SUMIFS(OrderItems_Qty,OrderItems_Type,"SALE",OrderItems_SKU,I789))</f>
        <v>0</v>
      </c>
    </row>
    <row r="790" customFormat="false" ht="15" hidden="false" customHeight="false" outlineLevel="0" collapsed="false">
      <c r="I790" s="82"/>
      <c r="K790" s="83"/>
      <c r="L790" s="84"/>
      <c r="N790" s="84"/>
      <c r="P790" s="0" t="n">
        <f aca="true">IF(I790="","",SUMIFS(OrderItems_Qty,OrderItems_Type,"PURCHASE",OrderItems_SKU,I790)-SUMIFS(OrderItems_Qty,OrderItems_Type,"SALE",OrderItems_SKU,I790))</f>
        <v>0</v>
      </c>
    </row>
    <row r="791" customFormat="false" ht="15" hidden="false" customHeight="false" outlineLevel="0" collapsed="false">
      <c r="I791" s="82"/>
      <c r="K791" s="83"/>
      <c r="L791" s="84"/>
      <c r="N791" s="84"/>
      <c r="P791" s="0" t="n">
        <f aca="true">IF(I791="","",SUMIFS(OrderItems_Qty,OrderItems_Type,"PURCHASE",OrderItems_SKU,I791)-SUMIFS(OrderItems_Qty,OrderItems_Type,"SALE",OrderItems_SKU,I791))</f>
        <v>0</v>
      </c>
    </row>
    <row r="792" customFormat="false" ht="15" hidden="false" customHeight="false" outlineLevel="0" collapsed="false">
      <c r="I792" s="82"/>
      <c r="K792" s="83"/>
      <c r="L792" s="84"/>
      <c r="N792" s="84"/>
      <c r="P792" s="0" t="n">
        <f aca="true">IF(I792="","",SUMIFS(OrderItems_Qty,OrderItems_Type,"PURCHASE",OrderItems_SKU,I792)-SUMIFS(OrderItems_Qty,OrderItems_Type,"SALE",OrderItems_SKU,I792))</f>
        <v>0</v>
      </c>
    </row>
    <row r="793" customFormat="false" ht="15" hidden="false" customHeight="false" outlineLevel="0" collapsed="false">
      <c r="I793" s="82"/>
      <c r="K793" s="83"/>
      <c r="L793" s="84"/>
      <c r="N793" s="84"/>
      <c r="P793" s="0" t="n">
        <f aca="true">IF(I793="","",SUMIFS(OrderItems_Qty,OrderItems_Type,"PURCHASE",OrderItems_SKU,I793)-SUMIFS(OrderItems_Qty,OrderItems_Type,"SALE",OrderItems_SKU,I793))</f>
        <v>0</v>
      </c>
    </row>
    <row r="794" customFormat="false" ht="15" hidden="false" customHeight="false" outlineLevel="0" collapsed="false">
      <c r="I794" s="82"/>
      <c r="K794" s="83"/>
      <c r="L794" s="84"/>
      <c r="N794" s="84"/>
      <c r="P794" s="0" t="n">
        <f aca="true">IF(I794="","",SUMIFS(OrderItems_Qty,OrderItems_Type,"PURCHASE",OrderItems_SKU,I794)-SUMIFS(OrderItems_Qty,OrderItems_Type,"SALE",OrderItems_SKU,I794))</f>
        <v>0</v>
      </c>
    </row>
    <row r="795" customFormat="false" ht="15" hidden="false" customHeight="false" outlineLevel="0" collapsed="false">
      <c r="I795" s="82"/>
      <c r="K795" s="83"/>
      <c r="L795" s="84"/>
      <c r="N795" s="84"/>
      <c r="P795" s="0" t="n">
        <f aca="true">IF(I795="","",SUMIFS(OrderItems_Qty,OrderItems_Type,"PURCHASE",OrderItems_SKU,I795)-SUMIFS(OrderItems_Qty,OrderItems_Type,"SALE",OrderItems_SKU,I795))</f>
        <v>0</v>
      </c>
    </row>
    <row r="796" customFormat="false" ht="15" hidden="false" customHeight="false" outlineLevel="0" collapsed="false">
      <c r="I796" s="82"/>
      <c r="K796" s="83"/>
      <c r="L796" s="84"/>
      <c r="N796" s="84"/>
      <c r="P796" s="0" t="n">
        <f aca="true">IF(I796="","",SUMIFS(OrderItems_Qty,OrderItems_Type,"PURCHASE",OrderItems_SKU,I796)-SUMIFS(OrderItems_Qty,OrderItems_Type,"SALE",OrderItems_SKU,I796))</f>
        <v>0</v>
      </c>
    </row>
    <row r="797" customFormat="false" ht="15" hidden="false" customHeight="false" outlineLevel="0" collapsed="false">
      <c r="I797" s="82"/>
      <c r="K797" s="83"/>
      <c r="L797" s="84"/>
      <c r="N797" s="84"/>
      <c r="P797" s="0" t="n">
        <f aca="true">IF(I797="","",SUMIFS(OrderItems_Qty,OrderItems_Type,"PURCHASE",OrderItems_SKU,I797)-SUMIFS(OrderItems_Qty,OrderItems_Type,"SALE",OrderItems_SKU,I797))</f>
        <v>0</v>
      </c>
    </row>
    <row r="798" customFormat="false" ht="15" hidden="false" customHeight="false" outlineLevel="0" collapsed="false">
      <c r="I798" s="82"/>
      <c r="K798" s="83"/>
      <c r="L798" s="84"/>
      <c r="N798" s="84"/>
      <c r="P798" s="0" t="n">
        <f aca="true">IF(I798="","",SUMIFS(OrderItems_Qty,OrderItems_Type,"PURCHASE",OrderItems_SKU,I798)-SUMIFS(OrderItems_Qty,OrderItems_Type,"SALE",OrderItems_SKU,I798))</f>
        <v>0</v>
      </c>
    </row>
    <row r="799" customFormat="false" ht="15" hidden="false" customHeight="false" outlineLevel="0" collapsed="false">
      <c r="I799" s="82"/>
      <c r="K799" s="83"/>
      <c r="L799" s="84"/>
      <c r="N799" s="84"/>
      <c r="P799" s="0" t="n">
        <f aca="true">IF(I799="","",SUMIFS(OrderItems_Qty,OrderItems_Type,"PURCHASE",OrderItems_SKU,I799)-SUMIFS(OrderItems_Qty,OrderItems_Type,"SALE",OrderItems_SKU,I799))</f>
        <v>0</v>
      </c>
    </row>
    <row r="800" customFormat="false" ht="15" hidden="false" customHeight="false" outlineLevel="0" collapsed="false">
      <c r="I800" s="82"/>
      <c r="K800" s="83"/>
      <c r="L800" s="84"/>
      <c r="N800" s="84"/>
      <c r="P800" s="0" t="n">
        <f aca="true">IF(I800="","",SUMIFS(OrderItems_Qty,OrderItems_Type,"PURCHASE",OrderItems_SKU,I800)-SUMIFS(OrderItems_Qty,OrderItems_Type,"SALE",OrderItems_SKU,I800))</f>
        <v>0</v>
      </c>
    </row>
    <row r="801" customFormat="false" ht="15" hidden="false" customHeight="false" outlineLevel="0" collapsed="false">
      <c r="I801" s="82"/>
      <c r="K801" s="83"/>
      <c r="L801" s="84"/>
      <c r="N801" s="84"/>
      <c r="P801" s="0" t="n">
        <f aca="true">IF(I801="","",SUMIFS(OrderItems_Qty,OrderItems_Type,"PURCHASE",OrderItems_SKU,I801)-SUMIFS(OrderItems_Qty,OrderItems_Type,"SALE",OrderItems_SKU,I801))</f>
        <v>0</v>
      </c>
    </row>
    <row r="802" customFormat="false" ht="15" hidden="false" customHeight="false" outlineLevel="0" collapsed="false">
      <c r="I802" s="82"/>
      <c r="K802" s="83"/>
      <c r="L802" s="84"/>
      <c r="N802" s="84"/>
      <c r="P802" s="0" t="n">
        <f aca="true">IF(I802="","",SUMIFS(OrderItems_Qty,OrderItems_Type,"PURCHASE",OrderItems_SKU,I802)-SUMIFS(OrderItems_Qty,OrderItems_Type,"SALE",OrderItems_SKU,I802))</f>
        <v>0</v>
      </c>
    </row>
    <row r="803" customFormat="false" ht="15" hidden="false" customHeight="false" outlineLevel="0" collapsed="false">
      <c r="I803" s="82"/>
      <c r="K803" s="83"/>
      <c r="L803" s="84"/>
      <c r="N803" s="84"/>
      <c r="P803" s="0" t="n">
        <f aca="true">IF(I803="","",SUMIFS(OrderItems_Qty,OrderItems_Type,"PURCHASE",OrderItems_SKU,I803)-SUMIFS(OrderItems_Qty,OrderItems_Type,"SALE",OrderItems_SKU,I803))</f>
        <v>0</v>
      </c>
    </row>
    <row r="804" customFormat="false" ht="15" hidden="false" customHeight="false" outlineLevel="0" collapsed="false">
      <c r="I804" s="82"/>
      <c r="K804" s="83"/>
      <c r="L804" s="84"/>
      <c r="N804" s="84"/>
      <c r="P804" s="0" t="n">
        <f aca="true">IF(I804="","",SUMIFS(OrderItems_Qty,OrderItems_Type,"PURCHASE",OrderItems_SKU,I804)-SUMIFS(OrderItems_Qty,OrderItems_Type,"SALE",OrderItems_SKU,I804))</f>
        <v>0</v>
      </c>
    </row>
    <row r="805" customFormat="false" ht="15" hidden="false" customHeight="false" outlineLevel="0" collapsed="false">
      <c r="I805" s="82"/>
      <c r="K805" s="83"/>
      <c r="L805" s="84"/>
      <c r="N805" s="84"/>
      <c r="P805" s="0" t="n">
        <f aca="true">IF(I805="","",SUMIFS(OrderItems_Qty,OrderItems_Type,"PURCHASE",OrderItems_SKU,I805)-SUMIFS(OrderItems_Qty,OrderItems_Type,"SALE",OrderItems_SKU,I805))</f>
        <v>0</v>
      </c>
    </row>
    <row r="806" customFormat="false" ht="15" hidden="false" customHeight="false" outlineLevel="0" collapsed="false">
      <c r="I806" s="82"/>
      <c r="K806" s="83"/>
      <c r="L806" s="84"/>
      <c r="N806" s="84"/>
      <c r="P806" s="0" t="n">
        <f aca="true">IF(I806="","",SUMIFS(OrderItems_Qty,OrderItems_Type,"PURCHASE",OrderItems_SKU,I806)-SUMIFS(OrderItems_Qty,OrderItems_Type,"SALE",OrderItems_SKU,I806))</f>
        <v>0</v>
      </c>
    </row>
    <row r="807" customFormat="false" ht="15" hidden="false" customHeight="false" outlineLevel="0" collapsed="false">
      <c r="I807" s="82"/>
      <c r="K807" s="83"/>
      <c r="L807" s="84"/>
      <c r="N807" s="84"/>
      <c r="P807" s="0" t="n">
        <f aca="true">IF(I807="","",SUMIFS(OrderItems_Qty,OrderItems_Type,"PURCHASE",OrderItems_SKU,I807)-SUMIFS(OrderItems_Qty,OrderItems_Type,"SALE",OrderItems_SKU,I807))</f>
        <v>0</v>
      </c>
    </row>
    <row r="808" customFormat="false" ht="15" hidden="false" customHeight="false" outlineLevel="0" collapsed="false">
      <c r="I808" s="82"/>
      <c r="K808" s="83"/>
      <c r="L808" s="84"/>
      <c r="N808" s="84"/>
      <c r="P808" s="0" t="n">
        <f aca="true">IF(I808="","",SUMIFS(OrderItems_Qty,OrderItems_Type,"PURCHASE",OrderItems_SKU,I808)-SUMIFS(OrderItems_Qty,OrderItems_Type,"SALE",OrderItems_SKU,I808))</f>
        <v>0</v>
      </c>
    </row>
    <row r="809" customFormat="false" ht="15" hidden="false" customHeight="false" outlineLevel="0" collapsed="false">
      <c r="I809" s="82"/>
      <c r="K809" s="83"/>
      <c r="L809" s="84"/>
      <c r="N809" s="84"/>
      <c r="P809" s="0" t="n">
        <f aca="true">IF(I809="","",SUMIFS(OrderItems_Qty,OrderItems_Type,"PURCHASE",OrderItems_SKU,I809)-SUMIFS(OrderItems_Qty,OrderItems_Type,"SALE",OrderItems_SKU,I809))</f>
        <v>0</v>
      </c>
    </row>
    <row r="810" customFormat="false" ht="15" hidden="false" customHeight="false" outlineLevel="0" collapsed="false">
      <c r="I810" s="82"/>
      <c r="K810" s="83"/>
      <c r="L810" s="84"/>
      <c r="N810" s="84"/>
      <c r="P810" s="0" t="n">
        <f aca="true">IF(I810="","",SUMIFS(OrderItems_Qty,OrderItems_Type,"PURCHASE",OrderItems_SKU,I810)-SUMIFS(OrderItems_Qty,OrderItems_Type,"SALE",OrderItems_SKU,I810))</f>
        <v>0</v>
      </c>
    </row>
    <row r="811" customFormat="false" ht="15" hidden="false" customHeight="false" outlineLevel="0" collapsed="false">
      <c r="I811" s="82"/>
      <c r="K811" s="83"/>
      <c r="L811" s="84"/>
      <c r="N811" s="84"/>
      <c r="P811" s="0" t="n">
        <f aca="true">IF(I811="","",SUMIFS(OrderItems_Qty,OrderItems_Type,"PURCHASE",OrderItems_SKU,I811)-SUMIFS(OrderItems_Qty,OrderItems_Type,"SALE",OrderItems_SKU,I811))</f>
        <v>0</v>
      </c>
    </row>
    <row r="812" customFormat="false" ht="15" hidden="false" customHeight="false" outlineLevel="0" collapsed="false">
      <c r="I812" s="82"/>
      <c r="K812" s="83"/>
      <c r="L812" s="84"/>
      <c r="N812" s="84"/>
      <c r="P812" s="0" t="n">
        <f aca="true">IF(I812="","",SUMIFS(OrderItems_Qty,OrderItems_Type,"PURCHASE",OrderItems_SKU,I812)-SUMIFS(OrderItems_Qty,OrderItems_Type,"SALE",OrderItems_SKU,I812))</f>
        <v>0</v>
      </c>
    </row>
    <row r="813" customFormat="false" ht="15" hidden="false" customHeight="false" outlineLevel="0" collapsed="false">
      <c r="I813" s="82"/>
      <c r="K813" s="83"/>
      <c r="L813" s="84"/>
      <c r="N813" s="84"/>
      <c r="P813" s="0" t="n">
        <f aca="true">IF(I813="","",SUMIFS(OrderItems_Qty,OrderItems_Type,"PURCHASE",OrderItems_SKU,I813)-SUMIFS(OrderItems_Qty,OrderItems_Type,"SALE",OrderItems_SKU,I813))</f>
        <v>0</v>
      </c>
    </row>
    <row r="814" customFormat="false" ht="15" hidden="false" customHeight="false" outlineLevel="0" collapsed="false">
      <c r="I814" s="82"/>
      <c r="K814" s="83"/>
      <c r="L814" s="84"/>
      <c r="N814" s="84"/>
      <c r="P814" s="0" t="n">
        <f aca="true">IF(I814="","",SUMIFS(OrderItems_Qty,OrderItems_Type,"PURCHASE",OrderItems_SKU,I814)-SUMIFS(OrderItems_Qty,OrderItems_Type,"SALE",OrderItems_SKU,I814))</f>
        <v>0</v>
      </c>
    </row>
    <row r="815" customFormat="false" ht="15" hidden="false" customHeight="false" outlineLevel="0" collapsed="false">
      <c r="I815" s="82"/>
      <c r="K815" s="83"/>
      <c r="L815" s="84"/>
      <c r="N815" s="84"/>
      <c r="P815" s="0" t="n">
        <f aca="true">IF(I815="","",SUMIFS(OrderItems_Qty,OrderItems_Type,"PURCHASE",OrderItems_SKU,I815)-SUMIFS(OrderItems_Qty,OrderItems_Type,"SALE",OrderItems_SKU,I815))</f>
        <v>0</v>
      </c>
    </row>
    <row r="816" customFormat="false" ht="15" hidden="false" customHeight="false" outlineLevel="0" collapsed="false">
      <c r="I816" s="82"/>
      <c r="K816" s="83"/>
      <c r="L816" s="84"/>
      <c r="N816" s="84"/>
      <c r="P816" s="0" t="n">
        <f aca="true">IF(I816="","",SUMIFS(OrderItems_Qty,OrderItems_Type,"PURCHASE",OrderItems_SKU,I816)-SUMIFS(OrderItems_Qty,OrderItems_Type,"SALE",OrderItems_SKU,I816))</f>
        <v>0</v>
      </c>
    </row>
    <row r="817" customFormat="false" ht="15" hidden="false" customHeight="false" outlineLevel="0" collapsed="false">
      <c r="I817" s="82"/>
      <c r="K817" s="83"/>
      <c r="L817" s="84"/>
      <c r="N817" s="84"/>
      <c r="P817" s="0" t="n">
        <f aca="true">IF(I817="","",SUMIFS(OrderItems_Qty,OrderItems_Type,"PURCHASE",OrderItems_SKU,I817)-SUMIFS(OrderItems_Qty,OrderItems_Type,"SALE",OrderItems_SKU,I817))</f>
        <v>0</v>
      </c>
    </row>
    <row r="818" customFormat="false" ht="15" hidden="false" customHeight="false" outlineLevel="0" collapsed="false">
      <c r="I818" s="82"/>
      <c r="K818" s="83"/>
      <c r="L818" s="84"/>
      <c r="N818" s="84"/>
      <c r="P818" s="0" t="n">
        <f aca="true">IF(I818="","",SUMIFS(OrderItems_Qty,OrderItems_Type,"PURCHASE",OrderItems_SKU,I818)-SUMIFS(OrderItems_Qty,OrderItems_Type,"SALE",OrderItems_SKU,I818))</f>
        <v>0</v>
      </c>
    </row>
    <row r="819" customFormat="false" ht="15" hidden="false" customHeight="false" outlineLevel="0" collapsed="false">
      <c r="I819" s="82"/>
      <c r="K819" s="83"/>
      <c r="L819" s="84"/>
      <c r="N819" s="84"/>
      <c r="P819" s="0" t="n">
        <f aca="true">IF(I819="","",SUMIFS(OrderItems_Qty,OrderItems_Type,"PURCHASE",OrderItems_SKU,I819)-SUMIFS(OrderItems_Qty,OrderItems_Type,"SALE",OrderItems_SKU,I819))</f>
        <v>0</v>
      </c>
    </row>
    <row r="820" customFormat="false" ht="15" hidden="false" customHeight="false" outlineLevel="0" collapsed="false">
      <c r="I820" s="82"/>
      <c r="K820" s="83"/>
      <c r="L820" s="84"/>
      <c r="N820" s="84"/>
      <c r="P820" s="0" t="n">
        <f aca="true">IF(I820="","",SUMIFS(OrderItems_Qty,OrderItems_Type,"PURCHASE",OrderItems_SKU,I820)-SUMIFS(OrderItems_Qty,OrderItems_Type,"SALE",OrderItems_SKU,I820))</f>
        <v>0</v>
      </c>
    </row>
    <row r="821" customFormat="false" ht="15" hidden="false" customHeight="false" outlineLevel="0" collapsed="false">
      <c r="I821" s="82"/>
      <c r="K821" s="83"/>
      <c r="L821" s="84"/>
      <c r="N821" s="84"/>
      <c r="P821" s="0" t="n">
        <f aca="true">IF(I821="","",SUMIFS(OrderItems_Qty,OrderItems_Type,"PURCHASE",OrderItems_SKU,I821)-SUMIFS(OrderItems_Qty,OrderItems_Type,"SALE",OrderItems_SKU,I821))</f>
        <v>0</v>
      </c>
    </row>
    <row r="822" customFormat="false" ht="15" hidden="false" customHeight="false" outlineLevel="0" collapsed="false">
      <c r="I822" s="82"/>
      <c r="K822" s="83"/>
      <c r="L822" s="84"/>
      <c r="N822" s="84"/>
      <c r="P822" s="0" t="n">
        <f aca="true">IF(I822="","",SUMIFS(OrderItems_Qty,OrderItems_Type,"PURCHASE",OrderItems_SKU,I822)-SUMIFS(OrderItems_Qty,OrderItems_Type,"SALE",OrderItems_SKU,I822))</f>
        <v>0</v>
      </c>
    </row>
    <row r="823" customFormat="false" ht="15" hidden="false" customHeight="false" outlineLevel="0" collapsed="false">
      <c r="I823" s="82"/>
      <c r="K823" s="83"/>
      <c r="L823" s="84"/>
      <c r="N823" s="84"/>
      <c r="P823" s="0" t="n">
        <f aca="true">IF(I823="","",SUMIFS(OrderItems_Qty,OrderItems_Type,"PURCHASE",OrderItems_SKU,I823)-SUMIFS(OrderItems_Qty,OrderItems_Type,"SALE",OrderItems_SKU,I823))</f>
        <v>0</v>
      </c>
    </row>
    <row r="824" customFormat="false" ht="15" hidden="false" customHeight="false" outlineLevel="0" collapsed="false">
      <c r="I824" s="82"/>
      <c r="K824" s="83"/>
      <c r="L824" s="84"/>
      <c r="N824" s="84"/>
      <c r="P824" s="0" t="n">
        <f aca="true">IF(I824="","",SUMIFS(OrderItems_Qty,OrderItems_Type,"PURCHASE",OrderItems_SKU,I824)-SUMIFS(OrderItems_Qty,OrderItems_Type,"SALE",OrderItems_SKU,I824))</f>
        <v>0</v>
      </c>
    </row>
    <row r="825" customFormat="false" ht="15" hidden="false" customHeight="false" outlineLevel="0" collapsed="false">
      <c r="I825" s="82"/>
      <c r="K825" s="83"/>
      <c r="L825" s="84"/>
      <c r="N825" s="84"/>
      <c r="P825" s="0" t="n">
        <f aca="true">IF(I825="","",SUMIFS(OrderItems_Qty,OrderItems_Type,"PURCHASE",OrderItems_SKU,I825)-SUMIFS(OrderItems_Qty,OrderItems_Type,"SALE",OrderItems_SKU,I825))</f>
        <v>0</v>
      </c>
    </row>
    <row r="826" customFormat="false" ht="15" hidden="false" customHeight="false" outlineLevel="0" collapsed="false">
      <c r="I826" s="82"/>
      <c r="K826" s="83"/>
      <c r="L826" s="84"/>
      <c r="N826" s="84"/>
      <c r="P826" s="0" t="n">
        <f aca="true">IF(I826="","",SUMIFS(OrderItems_Qty,OrderItems_Type,"PURCHASE",OrderItems_SKU,I826)-SUMIFS(OrderItems_Qty,OrderItems_Type,"SALE",OrderItems_SKU,I826))</f>
        <v>0</v>
      </c>
    </row>
    <row r="827" customFormat="false" ht="15" hidden="false" customHeight="false" outlineLevel="0" collapsed="false">
      <c r="I827" s="82"/>
      <c r="K827" s="83"/>
      <c r="L827" s="84"/>
      <c r="N827" s="84"/>
      <c r="P827" s="0" t="n">
        <f aca="true">IF(I827="","",SUMIFS(OrderItems_Qty,OrderItems_Type,"PURCHASE",OrderItems_SKU,I827)-SUMIFS(OrderItems_Qty,OrderItems_Type,"SALE",OrderItems_SKU,I827))</f>
        <v>0</v>
      </c>
    </row>
    <row r="828" customFormat="false" ht="15" hidden="false" customHeight="false" outlineLevel="0" collapsed="false">
      <c r="I828" s="82"/>
      <c r="K828" s="83"/>
      <c r="L828" s="84"/>
      <c r="N828" s="84"/>
      <c r="P828" s="0" t="n">
        <f aca="true">IF(I828="","",SUMIFS(OrderItems_Qty,OrderItems_Type,"PURCHASE",OrderItems_SKU,I828)-SUMIFS(OrderItems_Qty,OrderItems_Type,"SALE",OrderItems_SKU,I828))</f>
        <v>0</v>
      </c>
    </row>
    <row r="829" customFormat="false" ht="15" hidden="false" customHeight="false" outlineLevel="0" collapsed="false">
      <c r="I829" s="82"/>
      <c r="K829" s="83"/>
      <c r="L829" s="84"/>
      <c r="N829" s="84"/>
      <c r="P829" s="0" t="n">
        <f aca="true">IF(I829="","",SUMIFS(OrderItems_Qty,OrderItems_Type,"PURCHASE",OrderItems_SKU,I829)-SUMIFS(OrderItems_Qty,OrderItems_Type,"SALE",OrderItems_SKU,I829))</f>
        <v>0</v>
      </c>
    </row>
    <row r="830" customFormat="false" ht="15" hidden="false" customHeight="false" outlineLevel="0" collapsed="false">
      <c r="I830" s="82"/>
      <c r="K830" s="83"/>
      <c r="L830" s="84"/>
      <c r="N830" s="84"/>
      <c r="P830" s="0" t="n">
        <f aca="true">IF(I830="","",SUMIFS(OrderItems_Qty,OrderItems_Type,"PURCHASE",OrderItems_SKU,I830)-SUMIFS(OrderItems_Qty,OrderItems_Type,"SALE",OrderItems_SKU,I830))</f>
        <v>0</v>
      </c>
    </row>
    <row r="831" customFormat="false" ht="15" hidden="false" customHeight="false" outlineLevel="0" collapsed="false">
      <c r="I831" s="82"/>
      <c r="K831" s="83"/>
      <c r="L831" s="84"/>
      <c r="N831" s="84"/>
      <c r="P831" s="0" t="n">
        <f aca="true">IF(I831="","",SUMIFS(OrderItems_Qty,OrderItems_Type,"PURCHASE",OrderItems_SKU,I831)-SUMIFS(OrderItems_Qty,OrderItems_Type,"SALE",OrderItems_SKU,I831))</f>
        <v>0</v>
      </c>
    </row>
    <row r="832" customFormat="false" ht="15" hidden="false" customHeight="false" outlineLevel="0" collapsed="false">
      <c r="I832" s="82"/>
      <c r="K832" s="83"/>
      <c r="L832" s="84"/>
      <c r="N832" s="84"/>
      <c r="P832" s="0" t="n">
        <f aca="true">IF(I832="","",SUMIFS(OrderItems_Qty,OrderItems_Type,"PURCHASE",OrderItems_SKU,I832)-SUMIFS(OrderItems_Qty,OrderItems_Type,"SALE",OrderItems_SKU,I832))</f>
        <v>0</v>
      </c>
    </row>
    <row r="833" customFormat="false" ht="15" hidden="false" customHeight="false" outlineLevel="0" collapsed="false">
      <c r="I833" s="82"/>
      <c r="K833" s="83"/>
      <c r="L833" s="84"/>
      <c r="N833" s="84"/>
      <c r="P833" s="0" t="n">
        <f aca="true">IF(I833="","",SUMIFS(OrderItems_Qty,OrderItems_Type,"PURCHASE",OrderItems_SKU,I833)-SUMIFS(OrderItems_Qty,OrderItems_Type,"SALE",OrderItems_SKU,I833))</f>
        <v>0</v>
      </c>
    </row>
    <row r="834" customFormat="false" ht="15" hidden="false" customHeight="false" outlineLevel="0" collapsed="false">
      <c r="I834" s="82"/>
      <c r="K834" s="83"/>
      <c r="L834" s="84"/>
      <c r="N834" s="84"/>
      <c r="P834" s="0" t="n">
        <f aca="true">IF(I834="","",SUMIFS(OrderItems_Qty,OrderItems_Type,"PURCHASE",OrderItems_SKU,I834)-SUMIFS(OrderItems_Qty,OrderItems_Type,"SALE",OrderItems_SKU,I834))</f>
        <v>0</v>
      </c>
    </row>
    <row r="835" customFormat="false" ht="15" hidden="false" customHeight="false" outlineLevel="0" collapsed="false">
      <c r="I835" s="82"/>
      <c r="K835" s="83"/>
      <c r="L835" s="84"/>
      <c r="N835" s="84"/>
      <c r="P835" s="0" t="n">
        <f aca="true">IF(I835="","",SUMIFS(OrderItems_Qty,OrderItems_Type,"PURCHASE",OrderItems_SKU,I835)-SUMIFS(OrderItems_Qty,OrderItems_Type,"SALE",OrderItems_SKU,I835))</f>
        <v>0</v>
      </c>
    </row>
    <row r="836" customFormat="false" ht="15" hidden="false" customHeight="false" outlineLevel="0" collapsed="false">
      <c r="I836" s="82"/>
      <c r="K836" s="83"/>
      <c r="L836" s="84"/>
      <c r="N836" s="84"/>
      <c r="P836" s="0" t="n">
        <f aca="true">IF(I836="","",SUMIFS(OrderItems_Qty,OrderItems_Type,"PURCHASE",OrderItems_SKU,I836)-SUMIFS(OrderItems_Qty,OrderItems_Type,"SALE",OrderItems_SKU,I836))</f>
        <v>0</v>
      </c>
    </row>
    <row r="837" customFormat="false" ht="15" hidden="false" customHeight="false" outlineLevel="0" collapsed="false">
      <c r="I837" s="82"/>
      <c r="K837" s="83"/>
      <c r="L837" s="84"/>
      <c r="N837" s="84"/>
      <c r="P837" s="0" t="n">
        <f aca="true">IF(I837="","",SUMIFS(OrderItems_Qty,OrderItems_Type,"PURCHASE",OrderItems_SKU,I837)-SUMIFS(OrderItems_Qty,OrderItems_Type,"SALE",OrderItems_SKU,I837))</f>
        <v>0</v>
      </c>
    </row>
    <row r="838" customFormat="false" ht="15" hidden="false" customHeight="false" outlineLevel="0" collapsed="false">
      <c r="I838" s="82"/>
      <c r="K838" s="83"/>
      <c r="L838" s="84"/>
      <c r="N838" s="84"/>
      <c r="P838" s="0" t="n">
        <f aca="true">IF(I838="","",SUMIFS(OrderItems_Qty,OrderItems_Type,"PURCHASE",OrderItems_SKU,I838)-SUMIFS(OrderItems_Qty,OrderItems_Type,"SALE",OrderItems_SKU,I838))</f>
        <v>0</v>
      </c>
    </row>
    <row r="839" customFormat="false" ht="15" hidden="false" customHeight="false" outlineLevel="0" collapsed="false">
      <c r="I839" s="82"/>
      <c r="K839" s="83"/>
      <c r="L839" s="84"/>
      <c r="N839" s="84"/>
      <c r="P839" s="0" t="n">
        <f aca="true">IF(I839="","",SUMIFS(OrderItems_Qty,OrderItems_Type,"PURCHASE",OrderItems_SKU,I839)-SUMIFS(OrderItems_Qty,OrderItems_Type,"SALE",OrderItems_SKU,I839))</f>
        <v>0</v>
      </c>
    </row>
    <row r="840" customFormat="false" ht="15" hidden="false" customHeight="false" outlineLevel="0" collapsed="false">
      <c r="I840" s="82"/>
      <c r="K840" s="83"/>
      <c r="L840" s="84"/>
      <c r="N840" s="84"/>
      <c r="P840" s="0" t="n">
        <f aca="true">IF(I840="","",SUMIFS(OrderItems_Qty,OrderItems_Type,"PURCHASE",OrderItems_SKU,I840)-SUMIFS(OrderItems_Qty,OrderItems_Type,"SALE",OrderItems_SKU,I840))</f>
        <v>0</v>
      </c>
    </row>
    <row r="841" customFormat="false" ht="15" hidden="false" customHeight="false" outlineLevel="0" collapsed="false">
      <c r="I841" s="82"/>
      <c r="K841" s="83"/>
      <c r="L841" s="84"/>
      <c r="N841" s="84"/>
      <c r="P841" s="0" t="n">
        <f aca="true">IF(I841="","",SUMIFS(OrderItems_Qty,OrderItems_Type,"PURCHASE",OrderItems_SKU,I841)-SUMIFS(OrderItems_Qty,OrderItems_Type,"SALE",OrderItems_SKU,I841))</f>
        <v>0</v>
      </c>
    </row>
    <row r="842" customFormat="false" ht="15" hidden="false" customHeight="false" outlineLevel="0" collapsed="false">
      <c r="I842" s="82"/>
      <c r="K842" s="83"/>
      <c r="L842" s="84"/>
      <c r="N842" s="84"/>
      <c r="P842" s="0" t="n">
        <f aca="true">IF(I842="","",SUMIFS(OrderItems_Qty,OrderItems_Type,"PURCHASE",OrderItems_SKU,I842)-SUMIFS(OrderItems_Qty,OrderItems_Type,"SALE",OrderItems_SKU,I842))</f>
        <v>0</v>
      </c>
    </row>
    <row r="843" customFormat="false" ht="15" hidden="false" customHeight="false" outlineLevel="0" collapsed="false">
      <c r="I843" s="82"/>
      <c r="K843" s="83"/>
      <c r="L843" s="84"/>
      <c r="N843" s="84"/>
      <c r="P843" s="0" t="n">
        <f aca="true">IF(I843="","",SUMIFS(OrderItems_Qty,OrderItems_Type,"PURCHASE",OrderItems_SKU,I843)-SUMIFS(OrderItems_Qty,OrderItems_Type,"SALE",OrderItems_SKU,I843))</f>
        <v>0</v>
      </c>
    </row>
    <row r="844" customFormat="false" ht="15" hidden="false" customHeight="false" outlineLevel="0" collapsed="false">
      <c r="I844" s="82"/>
      <c r="K844" s="83"/>
      <c r="L844" s="84"/>
      <c r="N844" s="84"/>
      <c r="P844" s="0" t="n">
        <f aca="true">IF(I844="","",SUMIFS(OrderItems_Qty,OrderItems_Type,"PURCHASE",OrderItems_SKU,I844)-SUMIFS(OrderItems_Qty,OrderItems_Type,"SALE",OrderItems_SKU,I844))</f>
        <v>0</v>
      </c>
    </row>
    <row r="845" customFormat="false" ht="15" hidden="false" customHeight="false" outlineLevel="0" collapsed="false">
      <c r="I845" s="82"/>
      <c r="K845" s="83"/>
      <c r="L845" s="84"/>
      <c r="N845" s="84"/>
      <c r="P845" s="0" t="n">
        <f aca="true">IF(I845="","",SUMIFS(OrderItems_Qty,OrderItems_Type,"PURCHASE",OrderItems_SKU,I845)-SUMIFS(OrderItems_Qty,OrderItems_Type,"SALE",OrderItems_SKU,I845))</f>
        <v>0</v>
      </c>
    </row>
    <row r="846" customFormat="false" ht="15" hidden="false" customHeight="false" outlineLevel="0" collapsed="false">
      <c r="I846" s="82"/>
      <c r="K846" s="83"/>
      <c r="L846" s="84"/>
      <c r="N846" s="84"/>
      <c r="P846" s="0" t="n">
        <f aca="true">IF(I846="","",SUMIFS(OrderItems_Qty,OrderItems_Type,"PURCHASE",OrderItems_SKU,I846)-SUMIFS(OrderItems_Qty,OrderItems_Type,"SALE",OrderItems_SKU,I846))</f>
        <v>0</v>
      </c>
    </row>
    <row r="847" customFormat="false" ht="15" hidden="false" customHeight="false" outlineLevel="0" collapsed="false">
      <c r="I847" s="82"/>
      <c r="K847" s="83"/>
      <c r="L847" s="84"/>
      <c r="N847" s="84"/>
      <c r="P847" s="0" t="n">
        <f aca="true">IF(I847="","",SUMIFS(OrderItems_Qty,OrderItems_Type,"PURCHASE",OrderItems_SKU,I847)-SUMIFS(OrderItems_Qty,OrderItems_Type,"SALE",OrderItems_SKU,I847))</f>
        <v>0</v>
      </c>
    </row>
    <row r="848" customFormat="false" ht="15" hidden="false" customHeight="false" outlineLevel="0" collapsed="false">
      <c r="I848" s="82"/>
      <c r="K848" s="83"/>
      <c r="L848" s="84"/>
      <c r="N848" s="84"/>
      <c r="P848" s="0" t="n">
        <f aca="true">IF(I848="","",SUMIFS(OrderItems_Qty,OrderItems_Type,"PURCHASE",OrderItems_SKU,I848)-SUMIFS(OrderItems_Qty,OrderItems_Type,"SALE",OrderItems_SKU,I848))</f>
        <v>0</v>
      </c>
    </row>
    <row r="849" customFormat="false" ht="15" hidden="false" customHeight="false" outlineLevel="0" collapsed="false">
      <c r="I849" s="82"/>
      <c r="K849" s="83"/>
      <c r="L849" s="84"/>
      <c r="N849" s="84"/>
      <c r="P849" s="0" t="n">
        <f aca="true">IF(I849="","",SUMIFS(OrderItems_Qty,OrderItems_Type,"PURCHASE",OrderItems_SKU,I849)-SUMIFS(OrderItems_Qty,OrderItems_Type,"SALE",OrderItems_SKU,I849))</f>
        <v>0</v>
      </c>
    </row>
    <row r="850" customFormat="false" ht="15" hidden="false" customHeight="false" outlineLevel="0" collapsed="false">
      <c r="I850" s="82"/>
      <c r="K850" s="83"/>
      <c r="L850" s="84"/>
      <c r="N850" s="84"/>
      <c r="P850" s="0" t="n">
        <f aca="true">IF(I850="","",SUMIFS(OrderItems_Qty,OrderItems_Type,"PURCHASE",OrderItems_SKU,I850)-SUMIFS(OrderItems_Qty,OrderItems_Type,"SALE",OrderItems_SKU,I850))</f>
        <v>0</v>
      </c>
    </row>
    <row r="851" customFormat="false" ht="15" hidden="false" customHeight="false" outlineLevel="0" collapsed="false">
      <c r="I851" s="82"/>
      <c r="K851" s="83"/>
      <c r="L851" s="84"/>
      <c r="N851" s="84"/>
      <c r="P851" s="0" t="n">
        <f aca="true">IF(I851="","",SUMIFS(OrderItems_Qty,OrderItems_Type,"PURCHASE",OrderItems_SKU,I851)-SUMIFS(OrderItems_Qty,OrderItems_Type,"SALE",OrderItems_SKU,I851))</f>
        <v>0</v>
      </c>
    </row>
    <row r="852" customFormat="false" ht="15" hidden="false" customHeight="false" outlineLevel="0" collapsed="false">
      <c r="I852" s="82"/>
      <c r="K852" s="83"/>
      <c r="L852" s="84"/>
      <c r="N852" s="84"/>
      <c r="P852" s="0" t="n">
        <f aca="true">IF(I852="","",SUMIFS(OrderItems_Qty,OrderItems_Type,"PURCHASE",OrderItems_SKU,I852)-SUMIFS(OrderItems_Qty,OrderItems_Type,"SALE",OrderItems_SKU,I852))</f>
        <v>0</v>
      </c>
    </row>
    <row r="853" customFormat="false" ht="15" hidden="false" customHeight="false" outlineLevel="0" collapsed="false">
      <c r="I853" s="82"/>
      <c r="K853" s="83"/>
      <c r="L853" s="84"/>
      <c r="N853" s="84"/>
      <c r="P853" s="0" t="n">
        <f aca="true">IF(I853="","",SUMIFS(OrderItems_Qty,OrderItems_Type,"PURCHASE",OrderItems_SKU,I853)-SUMIFS(OrderItems_Qty,OrderItems_Type,"SALE",OrderItems_SKU,I853))</f>
        <v>0</v>
      </c>
    </row>
    <row r="854" customFormat="false" ht="15" hidden="false" customHeight="false" outlineLevel="0" collapsed="false">
      <c r="I854" s="82"/>
      <c r="K854" s="83"/>
      <c r="L854" s="84"/>
      <c r="N854" s="84"/>
      <c r="P854" s="0" t="n">
        <f aca="true">IF(I854="","",SUMIFS(OrderItems_Qty,OrderItems_Type,"PURCHASE",OrderItems_SKU,I854)-SUMIFS(OrderItems_Qty,OrderItems_Type,"SALE",OrderItems_SKU,I854))</f>
        <v>0</v>
      </c>
    </row>
    <row r="855" customFormat="false" ht="15" hidden="false" customHeight="false" outlineLevel="0" collapsed="false">
      <c r="I855" s="82"/>
      <c r="K855" s="83"/>
      <c r="L855" s="84"/>
      <c r="N855" s="84"/>
      <c r="P855" s="0" t="n">
        <f aca="true">IF(I855="","",SUMIFS(OrderItems_Qty,OrderItems_Type,"PURCHASE",OrderItems_SKU,I855)-SUMIFS(OrderItems_Qty,OrderItems_Type,"SALE",OrderItems_SKU,I855))</f>
        <v>0</v>
      </c>
    </row>
    <row r="856" customFormat="false" ht="15" hidden="false" customHeight="false" outlineLevel="0" collapsed="false">
      <c r="I856" s="82"/>
      <c r="K856" s="83"/>
      <c r="L856" s="84"/>
      <c r="N856" s="84"/>
      <c r="P856" s="0" t="n">
        <f aca="true">IF(I856="","",SUMIFS(OrderItems_Qty,OrderItems_Type,"PURCHASE",OrderItems_SKU,I856)-SUMIFS(OrderItems_Qty,OrderItems_Type,"SALE",OrderItems_SKU,I856))</f>
        <v>0</v>
      </c>
    </row>
    <row r="857" customFormat="false" ht="15" hidden="false" customHeight="false" outlineLevel="0" collapsed="false">
      <c r="I857" s="82"/>
      <c r="K857" s="83"/>
      <c r="L857" s="84"/>
      <c r="N857" s="84"/>
      <c r="P857" s="0" t="n">
        <f aca="true">IF(I857="","",SUMIFS(OrderItems_Qty,OrderItems_Type,"PURCHASE",OrderItems_SKU,I857)-SUMIFS(OrderItems_Qty,OrderItems_Type,"SALE",OrderItems_SKU,I857))</f>
        <v>0</v>
      </c>
    </row>
    <row r="858" customFormat="false" ht="15" hidden="false" customHeight="false" outlineLevel="0" collapsed="false">
      <c r="I858" s="82"/>
      <c r="K858" s="83"/>
      <c r="L858" s="84"/>
      <c r="N858" s="84"/>
      <c r="P858" s="0" t="n">
        <f aca="true">IF(I858="","",SUMIFS(OrderItems_Qty,OrderItems_Type,"PURCHASE",OrderItems_SKU,I858)-SUMIFS(OrderItems_Qty,OrderItems_Type,"SALE",OrderItems_SKU,I858))</f>
        <v>0</v>
      </c>
    </row>
    <row r="859" customFormat="false" ht="15" hidden="false" customHeight="false" outlineLevel="0" collapsed="false">
      <c r="I859" s="82"/>
      <c r="K859" s="83"/>
      <c r="L859" s="84"/>
      <c r="N859" s="84"/>
      <c r="P859" s="0" t="n">
        <f aca="true">IF(I859="","",SUMIFS(OrderItems_Qty,OrderItems_Type,"PURCHASE",OrderItems_SKU,I859)-SUMIFS(OrderItems_Qty,OrderItems_Type,"SALE",OrderItems_SKU,I859))</f>
        <v>0</v>
      </c>
    </row>
    <row r="860" customFormat="false" ht="15" hidden="false" customHeight="false" outlineLevel="0" collapsed="false">
      <c r="I860" s="82"/>
      <c r="K860" s="83"/>
      <c r="L860" s="84"/>
      <c r="N860" s="84"/>
      <c r="P860" s="0" t="n">
        <f aca="true">IF(I860="","",SUMIFS(OrderItems_Qty,OrderItems_Type,"PURCHASE",OrderItems_SKU,I860)-SUMIFS(OrderItems_Qty,OrderItems_Type,"SALE",OrderItems_SKU,I860))</f>
        <v>0</v>
      </c>
    </row>
    <row r="861" customFormat="false" ht="15" hidden="false" customHeight="false" outlineLevel="0" collapsed="false">
      <c r="I861" s="82"/>
      <c r="K861" s="83"/>
      <c r="L861" s="84"/>
      <c r="N861" s="84"/>
      <c r="P861" s="0" t="n">
        <f aca="true">IF(I861="","",SUMIFS(OrderItems_Qty,OrderItems_Type,"PURCHASE",OrderItems_SKU,I861)-SUMIFS(OrderItems_Qty,OrderItems_Type,"SALE",OrderItems_SKU,I861))</f>
        <v>0</v>
      </c>
    </row>
    <row r="862" customFormat="false" ht="15" hidden="false" customHeight="false" outlineLevel="0" collapsed="false">
      <c r="I862" s="82"/>
      <c r="K862" s="83"/>
      <c r="L862" s="84"/>
      <c r="N862" s="84"/>
      <c r="P862" s="0" t="n">
        <f aca="true">IF(I862="","",SUMIFS(OrderItems_Qty,OrderItems_Type,"PURCHASE",OrderItems_SKU,I862)-SUMIFS(OrderItems_Qty,OrderItems_Type,"SALE",OrderItems_SKU,I862))</f>
        <v>0</v>
      </c>
    </row>
    <row r="863" customFormat="false" ht="15" hidden="false" customHeight="false" outlineLevel="0" collapsed="false">
      <c r="I863" s="82"/>
      <c r="K863" s="83"/>
      <c r="L863" s="84"/>
      <c r="N863" s="84"/>
      <c r="P863" s="0" t="n">
        <f aca="true">IF(I863="","",SUMIFS(OrderItems_Qty,OrderItems_Type,"PURCHASE",OrderItems_SKU,I863)-SUMIFS(OrderItems_Qty,OrderItems_Type,"SALE",OrderItems_SKU,I863))</f>
        <v>0</v>
      </c>
    </row>
    <row r="864" customFormat="false" ht="15" hidden="false" customHeight="false" outlineLevel="0" collapsed="false">
      <c r="I864" s="82"/>
      <c r="K864" s="83"/>
      <c r="L864" s="84"/>
      <c r="N864" s="84"/>
      <c r="P864" s="0" t="n">
        <f aca="true">IF(I864="","",SUMIFS(OrderItems_Qty,OrderItems_Type,"PURCHASE",OrderItems_SKU,I864)-SUMIFS(OrderItems_Qty,OrderItems_Type,"SALE",OrderItems_SKU,I864))</f>
        <v>0</v>
      </c>
    </row>
    <row r="865" customFormat="false" ht="15" hidden="false" customHeight="false" outlineLevel="0" collapsed="false">
      <c r="I865" s="82"/>
      <c r="K865" s="83"/>
      <c r="L865" s="84"/>
      <c r="N865" s="84"/>
      <c r="P865" s="0" t="n">
        <f aca="true">IF(I865="","",SUMIFS(OrderItems_Qty,OrderItems_Type,"PURCHASE",OrderItems_SKU,I865)-SUMIFS(OrderItems_Qty,OrderItems_Type,"SALE",OrderItems_SKU,I865))</f>
        <v>0</v>
      </c>
    </row>
    <row r="866" customFormat="false" ht="15" hidden="false" customHeight="false" outlineLevel="0" collapsed="false">
      <c r="I866" s="82"/>
      <c r="K866" s="83"/>
      <c r="L866" s="84"/>
      <c r="N866" s="84"/>
      <c r="P866" s="0" t="n">
        <f aca="true">IF(I866="","",SUMIFS(OrderItems_Qty,OrderItems_Type,"PURCHASE",OrderItems_SKU,I866)-SUMIFS(OrderItems_Qty,OrderItems_Type,"SALE",OrderItems_SKU,I866))</f>
        <v>0</v>
      </c>
    </row>
    <row r="867" customFormat="false" ht="15" hidden="false" customHeight="false" outlineLevel="0" collapsed="false">
      <c r="I867" s="82"/>
      <c r="K867" s="83"/>
      <c r="L867" s="84"/>
      <c r="N867" s="84"/>
      <c r="P867" s="0" t="n">
        <f aca="true">IF(I867="","",SUMIFS(OrderItems_Qty,OrderItems_Type,"PURCHASE",OrderItems_SKU,I867)-SUMIFS(OrderItems_Qty,OrderItems_Type,"SALE",OrderItems_SKU,I867))</f>
        <v>0</v>
      </c>
    </row>
    <row r="868" customFormat="false" ht="15" hidden="false" customHeight="false" outlineLevel="0" collapsed="false">
      <c r="I868" s="82"/>
      <c r="K868" s="83"/>
      <c r="L868" s="84"/>
      <c r="N868" s="84"/>
      <c r="P868" s="0" t="n">
        <f aca="true">IF(I868="","",SUMIFS(OrderItems_Qty,OrderItems_Type,"PURCHASE",OrderItems_SKU,I868)-SUMIFS(OrderItems_Qty,OrderItems_Type,"SALE",OrderItems_SKU,I868))</f>
        <v>0</v>
      </c>
    </row>
    <row r="869" customFormat="false" ht="15" hidden="false" customHeight="false" outlineLevel="0" collapsed="false">
      <c r="I869" s="82"/>
      <c r="K869" s="83"/>
      <c r="L869" s="84"/>
      <c r="N869" s="84"/>
      <c r="P869" s="0" t="n">
        <f aca="true">IF(I869="","",SUMIFS(OrderItems_Qty,OrderItems_Type,"PURCHASE",OrderItems_SKU,I869)-SUMIFS(OrderItems_Qty,OrderItems_Type,"SALE",OrderItems_SKU,I869))</f>
        <v>0</v>
      </c>
    </row>
    <row r="870" customFormat="false" ht="15" hidden="false" customHeight="false" outlineLevel="0" collapsed="false">
      <c r="I870" s="82"/>
      <c r="K870" s="83"/>
      <c r="L870" s="84"/>
      <c r="N870" s="84"/>
      <c r="P870" s="0" t="n">
        <f aca="true">IF(I870="","",SUMIFS(OrderItems_Qty,OrderItems_Type,"PURCHASE",OrderItems_SKU,I870)-SUMIFS(OrderItems_Qty,OrderItems_Type,"SALE",OrderItems_SKU,I870))</f>
        <v>0</v>
      </c>
    </row>
    <row r="871" customFormat="false" ht="15" hidden="false" customHeight="false" outlineLevel="0" collapsed="false">
      <c r="I871" s="82"/>
      <c r="K871" s="83"/>
      <c r="L871" s="84"/>
      <c r="N871" s="84"/>
      <c r="P871" s="0" t="n">
        <f aca="true">IF(I871="","",SUMIFS(OrderItems_Qty,OrderItems_Type,"PURCHASE",OrderItems_SKU,I871)-SUMIFS(OrderItems_Qty,OrderItems_Type,"SALE",OrderItems_SKU,I871))</f>
        <v>0</v>
      </c>
    </row>
    <row r="872" customFormat="false" ht="15" hidden="false" customHeight="false" outlineLevel="0" collapsed="false">
      <c r="I872" s="82"/>
      <c r="K872" s="83"/>
      <c r="L872" s="84"/>
      <c r="N872" s="84"/>
      <c r="P872" s="0" t="n">
        <f aca="true">IF(I872="","",SUMIFS(OrderItems_Qty,OrderItems_Type,"PURCHASE",OrderItems_SKU,I872)-SUMIFS(OrderItems_Qty,OrderItems_Type,"SALE",OrderItems_SKU,I872))</f>
        <v>0</v>
      </c>
    </row>
    <row r="873" customFormat="false" ht="15" hidden="false" customHeight="false" outlineLevel="0" collapsed="false">
      <c r="I873" s="82"/>
      <c r="K873" s="83"/>
      <c r="L873" s="84"/>
      <c r="N873" s="84"/>
      <c r="P873" s="0" t="n">
        <f aca="true">IF(I873="","",SUMIFS(OrderItems_Qty,OrderItems_Type,"PURCHASE",OrderItems_SKU,I873)-SUMIFS(OrderItems_Qty,OrderItems_Type,"SALE",OrderItems_SKU,I873))</f>
        <v>0</v>
      </c>
    </row>
    <row r="874" customFormat="false" ht="15" hidden="false" customHeight="false" outlineLevel="0" collapsed="false">
      <c r="I874" s="82"/>
      <c r="K874" s="83"/>
      <c r="L874" s="84"/>
      <c r="N874" s="84"/>
      <c r="P874" s="0" t="n">
        <f aca="true">IF(I874="","",SUMIFS(OrderItems_Qty,OrderItems_Type,"PURCHASE",OrderItems_SKU,I874)-SUMIFS(OrderItems_Qty,OrderItems_Type,"SALE",OrderItems_SKU,I874))</f>
        <v>0</v>
      </c>
    </row>
    <row r="875" customFormat="false" ht="15" hidden="false" customHeight="false" outlineLevel="0" collapsed="false">
      <c r="I875" s="82"/>
      <c r="K875" s="83"/>
      <c r="L875" s="84"/>
      <c r="N875" s="84"/>
      <c r="P875" s="0" t="n">
        <f aca="true">IF(I875="","",SUMIFS(OrderItems_Qty,OrderItems_Type,"PURCHASE",OrderItems_SKU,I875)-SUMIFS(OrderItems_Qty,OrderItems_Type,"SALE",OrderItems_SKU,I875))</f>
        <v>0</v>
      </c>
    </row>
    <row r="876" customFormat="false" ht="15" hidden="false" customHeight="false" outlineLevel="0" collapsed="false">
      <c r="I876" s="82"/>
      <c r="K876" s="83"/>
      <c r="L876" s="84"/>
      <c r="N876" s="84"/>
      <c r="P876" s="0" t="n">
        <f aca="true">IF(I876="","",SUMIFS(OrderItems_Qty,OrderItems_Type,"PURCHASE",OrderItems_SKU,I876)-SUMIFS(OrderItems_Qty,OrderItems_Type,"SALE",OrderItems_SKU,I876))</f>
        <v>0</v>
      </c>
    </row>
    <row r="877" customFormat="false" ht="15" hidden="false" customHeight="false" outlineLevel="0" collapsed="false">
      <c r="I877" s="82"/>
      <c r="K877" s="83"/>
      <c r="L877" s="84"/>
      <c r="N877" s="84"/>
      <c r="P877" s="0" t="n">
        <f aca="true">IF(I877="","",SUMIFS(OrderItems_Qty,OrderItems_Type,"PURCHASE",OrderItems_SKU,I877)-SUMIFS(OrderItems_Qty,OrderItems_Type,"SALE",OrderItems_SKU,I877))</f>
        <v>0</v>
      </c>
    </row>
    <row r="878" customFormat="false" ht="15" hidden="false" customHeight="false" outlineLevel="0" collapsed="false">
      <c r="I878" s="82"/>
      <c r="K878" s="83"/>
      <c r="L878" s="84"/>
      <c r="N878" s="84"/>
      <c r="P878" s="0" t="n">
        <f aca="true">IF(I878="","",SUMIFS(OrderItems_Qty,OrderItems_Type,"PURCHASE",OrderItems_SKU,I878)-SUMIFS(OrderItems_Qty,OrderItems_Type,"SALE",OrderItems_SKU,I878))</f>
        <v>0</v>
      </c>
    </row>
    <row r="879" customFormat="false" ht="15" hidden="false" customHeight="false" outlineLevel="0" collapsed="false">
      <c r="I879" s="82"/>
      <c r="K879" s="83"/>
      <c r="L879" s="84"/>
      <c r="N879" s="84"/>
      <c r="P879" s="0" t="n">
        <f aca="true">IF(I879="","",SUMIFS(OrderItems_Qty,OrderItems_Type,"PURCHASE",OrderItems_SKU,I879)-SUMIFS(OrderItems_Qty,OrderItems_Type,"SALE",OrderItems_SKU,I879))</f>
        <v>0</v>
      </c>
    </row>
    <row r="880" customFormat="false" ht="15" hidden="false" customHeight="false" outlineLevel="0" collapsed="false">
      <c r="I880" s="82"/>
      <c r="K880" s="83"/>
      <c r="L880" s="84"/>
      <c r="N880" s="84"/>
      <c r="P880" s="0" t="n">
        <f aca="true">IF(I880="","",SUMIFS(OrderItems_Qty,OrderItems_Type,"PURCHASE",OrderItems_SKU,I880)-SUMIFS(OrderItems_Qty,OrderItems_Type,"SALE",OrderItems_SKU,I880))</f>
        <v>0</v>
      </c>
    </row>
    <row r="881" customFormat="false" ht="15" hidden="false" customHeight="false" outlineLevel="0" collapsed="false">
      <c r="I881" s="82"/>
      <c r="K881" s="83"/>
      <c r="L881" s="84"/>
      <c r="N881" s="84"/>
      <c r="P881" s="0" t="n">
        <f aca="true">IF(I881="","",SUMIFS(OrderItems_Qty,OrderItems_Type,"PURCHASE",OrderItems_SKU,I881)-SUMIFS(OrderItems_Qty,OrderItems_Type,"SALE",OrderItems_SKU,I881))</f>
        <v>0</v>
      </c>
    </row>
    <row r="882" customFormat="false" ht="15" hidden="false" customHeight="false" outlineLevel="0" collapsed="false">
      <c r="I882" s="82"/>
      <c r="K882" s="83"/>
      <c r="L882" s="84"/>
      <c r="N882" s="84"/>
      <c r="P882" s="0" t="n">
        <f aca="true">IF(I882="","",SUMIFS(OrderItems_Qty,OrderItems_Type,"PURCHASE",OrderItems_SKU,I882)-SUMIFS(OrderItems_Qty,OrderItems_Type,"SALE",OrderItems_SKU,I882))</f>
        <v>0</v>
      </c>
    </row>
    <row r="883" customFormat="false" ht="15" hidden="false" customHeight="false" outlineLevel="0" collapsed="false">
      <c r="I883" s="82"/>
      <c r="K883" s="83"/>
      <c r="L883" s="84"/>
      <c r="N883" s="84"/>
      <c r="P883" s="0" t="n">
        <f aca="true">IF(I883="","",SUMIFS(OrderItems_Qty,OrderItems_Type,"PURCHASE",OrderItems_SKU,I883)-SUMIFS(OrderItems_Qty,OrderItems_Type,"SALE",OrderItems_SKU,I883))</f>
        <v>0</v>
      </c>
    </row>
    <row r="884" customFormat="false" ht="15" hidden="false" customHeight="false" outlineLevel="0" collapsed="false">
      <c r="I884" s="82"/>
      <c r="K884" s="83"/>
      <c r="L884" s="84"/>
      <c r="N884" s="84"/>
      <c r="P884" s="0" t="n">
        <f aca="true">IF(I884="","",SUMIFS(OrderItems_Qty,OrderItems_Type,"PURCHASE",OrderItems_SKU,I884)-SUMIFS(OrderItems_Qty,OrderItems_Type,"SALE",OrderItems_SKU,I884))</f>
        <v>0</v>
      </c>
    </row>
    <row r="885" customFormat="false" ht="15" hidden="false" customHeight="false" outlineLevel="0" collapsed="false">
      <c r="I885" s="82"/>
      <c r="K885" s="83"/>
      <c r="L885" s="84"/>
      <c r="N885" s="84"/>
      <c r="P885" s="0" t="n">
        <f aca="true">IF(I885="","",SUMIFS(OrderItems_Qty,OrderItems_Type,"PURCHASE",OrderItems_SKU,I885)-SUMIFS(OrderItems_Qty,OrderItems_Type,"SALE",OrderItems_SKU,I885))</f>
        <v>0</v>
      </c>
    </row>
    <row r="886" customFormat="false" ht="15" hidden="false" customHeight="false" outlineLevel="0" collapsed="false">
      <c r="I886" s="82"/>
      <c r="K886" s="83"/>
      <c r="L886" s="84"/>
      <c r="N886" s="84"/>
      <c r="P886" s="0" t="n">
        <f aca="true">IF(I886="","",SUMIFS(OrderItems_Qty,OrderItems_Type,"PURCHASE",OrderItems_SKU,I886)-SUMIFS(OrderItems_Qty,OrderItems_Type,"SALE",OrderItems_SKU,I886))</f>
        <v>0</v>
      </c>
    </row>
    <row r="887" customFormat="false" ht="15" hidden="false" customHeight="false" outlineLevel="0" collapsed="false">
      <c r="I887" s="82"/>
      <c r="K887" s="83"/>
      <c r="L887" s="84"/>
      <c r="N887" s="84"/>
      <c r="P887" s="0" t="n">
        <f aca="true">IF(I887="","",SUMIFS(OrderItems_Qty,OrderItems_Type,"PURCHASE",OrderItems_SKU,I887)-SUMIFS(OrderItems_Qty,OrderItems_Type,"SALE",OrderItems_SKU,I887))</f>
        <v>0</v>
      </c>
    </row>
    <row r="888" customFormat="false" ht="15" hidden="false" customHeight="false" outlineLevel="0" collapsed="false">
      <c r="I888" s="82"/>
      <c r="K888" s="83"/>
      <c r="L888" s="84"/>
      <c r="N888" s="84"/>
      <c r="P888" s="0" t="n">
        <f aca="true">IF(I888="","",SUMIFS(OrderItems_Qty,OrderItems_Type,"PURCHASE",OrderItems_SKU,I888)-SUMIFS(OrderItems_Qty,OrderItems_Type,"SALE",OrderItems_SKU,I888))</f>
        <v>0</v>
      </c>
    </row>
    <row r="889" customFormat="false" ht="15" hidden="false" customHeight="false" outlineLevel="0" collapsed="false">
      <c r="I889" s="82"/>
      <c r="K889" s="83"/>
      <c r="L889" s="84"/>
      <c r="N889" s="84"/>
      <c r="P889" s="0" t="n">
        <f aca="true">IF(I889="","",SUMIFS(OrderItems_Qty,OrderItems_Type,"PURCHASE",OrderItems_SKU,I889)-SUMIFS(OrderItems_Qty,OrderItems_Type,"SALE",OrderItems_SKU,I889))</f>
        <v>0</v>
      </c>
    </row>
    <row r="890" customFormat="false" ht="15" hidden="false" customHeight="false" outlineLevel="0" collapsed="false">
      <c r="I890" s="82"/>
      <c r="K890" s="83"/>
      <c r="L890" s="84"/>
      <c r="N890" s="84"/>
      <c r="P890" s="0" t="n">
        <f aca="true">IF(I890="","",SUMIFS(OrderItems_Qty,OrderItems_Type,"PURCHASE",OrderItems_SKU,I890)-SUMIFS(OrderItems_Qty,OrderItems_Type,"SALE",OrderItems_SKU,I890))</f>
        <v>0</v>
      </c>
    </row>
    <row r="891" customFormat="false" ht="15" hidden="false" customHeight="false" outlineLevel="0" collapsed="false">
      <c r="I891" s="82"/>
      <c r="K891" s="83"/>
      <c r="L891" s="84"/>
      <c r="N891" s="84"/>
      <c r="P891" s="0" t="n">
        <f aca="true">IF(I891="","",SUMIFS(OrderItems_Qty,OrderItems_Type,"PURCHASE",OrderItems_SKU,I891)-SUMIFS(OrderItems_Qty,OrderItems_Type,"SALE",OrderItems_SKU,I891))</f>
        <v>0</v>
      </c>
    </row>
    <row r="892" customFormat="false" ht="15" hidden="false" customHeight="false" outlineLevel="0" collapsed="false">
      <c r="I892" s="82"/>
      <c r="K892" s="83"/>
      <c r="L892" s="84"/>
      <c r="N892" s="84"/>
      <c r="P892" s="0" t="n">
        <f aca="true">IF(I892="","",SUMIFS(OrderItems_Qty,OrderItems_Type,"PURCHASE",OrderItems_SKU,I892)-SUMIFS(OrderItems_Qty,OrderItems_Type,"SALE",OrderItems_SKU,I892))</f>
        <v>0</v>
      </c>
    </row>
    <row r="893" customFormat="false" ht="15" hidden="false" customHeight="false" outlineLevel="0" collapsed="false">
      <c r="I893" s="82"/>
      <c r="K893" s="83"/>
      <c r="L893" s="84"/>
      <c r="N893" s="84"/>
      <c r="P893" s="0" t="n">
        <f aca="true">IF(I893="","",SUMIFS(OrderItems_Qty,OrderItems_Type,"PURCHASE",OrderItems_SKU,I893)-SUMIFS(OrderItems_Qty,OrderItems_Type,"SALE",OrderItems_SKU,I893))</f>
        <v>0</v>
      </c>
    </row>
    <row r="894" customFormat="false" ht="15" hidden="false" customHeight="false" outlineLevel="0" collapsed="false">
      <c r="I894" s="82"/>
      <c r="K894" s="83"/>
      <c r="L894" s="84"/>
      <c r="N894" s="84"/>
      <c r="P894" s="0" t="n">
        <f aca="true">IF(I894="","",SUMIFS(OrderItems_Qty,OrderItems_Type,"PURCHASE",OrderItems_SKU,I894)-SUMIFS(OrderItems_Qty,OrderItems_Type,"SALE",OrderItems_SKU,I894))</f>
        <v>0</v>
      </c>
    </row>
    <row r="895" customFormat="false" ht="15" hidden="false" customHeight="false" outlineLevel="0" collapsed="false">
      <c r="I895" s="82"/>
      <c r="K895" s="83"/>
      <c r="L895" s="84"/>
      <c r="N895" s="84"/>
      <c r="P895" s="0" t="n">
        <f aca="true">IF(I895="","",SUMIFS(OrderItems_Qty,OrderItems_Type,"PURCHASE",OrderItems_SKU,I895)-SUMIFS(OrderItems_Qty,OrderItems_Type,"SALE",OrderItems_SKU,I895))</f>
        <v>0</v>
      </c>
    </row>
    <row r="896" customFormat="false" ht="15" hidden="false" customHeight="false" outlineLevel="0" collapsed="false">
      <c r="I896" s="82"/>
      <c r="K896" s="83"/>
      <c r="L896" s="84"/>
      <c r="N896" s="84"/>
      <c r="P896" s="0" t="n">
        <f aca="true">IF(I896="","",SUMIFS(OrderItems_Qty,OrderItems_Type,"PURCHASE",OrderItems_SKU,I896)-SUMIFS(OrderItems_Qty,OrderItems_Type,"SALE",OrderItems_SKU,I896))</f>
        <v>0</v>
      </c>
    </row>
    <row r="897" customFormat="false" ht="15" hidden="false" customHeight="false" outlineLevel="0" collapsed="false">
      <c r="I897" s="82"/>
      <c r="K897" s="83"/>
      <c r="L897" s="84"/>
      <c r="N897" s="84"/>
      <c r="P897" s="0" t="n">
        <f aca="true">IF(I897="","",SUMIFS(OrderItems_Qty,OrderItems_Type,"PURCHASE",OrderItems_SKU,I897)-SUMIFS(OrderItems_Qty,OrderItems_Type,"SALE",OrderItems_SKU,I897))</f>
        <v>0</v>
      </c>
    </row>
    <row r="898" customFormat="false" ht="15" hidden="false" customHeight="false" outlineLevel="0" collapsed="false">
      <c r="I898" s="82"/>
      <c r="K898" s="83"/>
      <c r="L898" s="84"/>
      <c r="N898" s="84"/>
      <c r="P898" s="0" t="n">
        <f aca="true">IF(I898="","",SUMIFS(OrderItems_Qty,OrderItems_Type,"PURCHASE",OrderItems_SKU,I898)-SUMIFS(OrderItems_Qty,OrderItems_Type,"SALE",OrderItems_SKU,I898))</f>
        <v>0</v>
      </c>
    </row>
    <row r="899" customFormat="false" ht="15" hidden="false" customHeight="false" outlineLevel="0" collapsed="false">
      <c r="I899" s="82"/>
      <c r="K899" s="83"/>
      <c r="L899" s="84"/>
      <c r="N899" s="84"/>
      <c r="P899" s="0" t="n">
        <f aca="true">IF(I899="","",SUMIFS(OrderItems_Qty,OrderItems_Type,"PURCHASE",OrderItems_SKU,I899)-SUMIFS(OrderItems_Qty,OrderItems_Type,"SALE",OrderItems_SKU,I899))</f>
        <v>0</v>
      </c>
    </row>
    <row r="900" customFormat="false" ht="15" hidden="false" customHeight="false" outlineLevel="0" collapsed="false">
      <c r="I900" s="82"/>
      <c r="K900" s="83"/>
      <c r="L900" s="84"/>
      <c r="N900" s="84"/>
      <c r="P900" s="0" t="n">
        <f aca="true">IF(I900="","",SUMIFS(OrderItems_Qty,OrderItems_Type,"PURCHASE",OrderItems_SKU,I900)-SUMIFS(OrderItems_Qty,OrderItems_Type,"SALE",OrderItems_SKU,I900))</f>
        <v>0</v>
      </c>
    </row>
    <row r="901" customFormat="false" ht="15" hidden="false" customHeight="false" outlineLevel="0" collapsed="false">
      <c r="I901" s="82"/>
      <c r="K901" s="83"/>
      <c r="L901" s="84"/>
      <c r="N901" s="84"/>
      <c r="P901" s="0" t="n">
        <f aca="true">IF(I901="","",SUMIFS(OrderItems_Qty,OrderItems_Type,"PURCHASE",OrderItems_SKU,I901)-SUMIFS(OrderItems_Qty,OrderItems_Type,"SALE",OrderItems_SKU,I901))</f>
        <v>0</v>
      </c>
    </row>
    <row r="902" customFormat="false" ht="15" hidden="false" customHeight="false" outlineLevel="0" collapsed="false">
      <c r="I902" s="82"/>
      <c r="K902" s="83"/>
      <c r="L902" s="84"/>
      <c r="N902" s="84"/>
      <c r="P902" s="0" t="n">
        <f aca="true">IF(I902="","",SUMIFS(OrderItems_Qty,OrderItems_Type,"PURCHASE",OrderItems_SKU,I902)-SUMIFS(OrderItems_Qty,OrderItems_Type,"SALE",OrderItems_SKU,I902))</f>
        <v>0</v>
      </c>
    </row>
    <row r="903" customFormat="false" ht="15" hidden="false" customHeight="false" outlineLevel="0" collapsed="false">
      <c r="I903" s="82"/>
      <c r="K903" s="83"/>
      <c r="L903" s="84"/>
      <c r="N903" s="84"/>
      <c r="P903" s="0" t="n">
        <f aca="true">IF(I903="","",SUMIFS(OrderItems_Qty,OrderItems_Type,"PURCHASE",OrderItems_SKU,I903)-SUMIFS(OrderItems_Qty,OrderItems_Type,"SALE",OrderItems_SKU,I903))</f>
        <v>0</v>
      </c>
    </row>
    <row r="904" customFormat="false" ht="15" hidden="false" customHeight="false" outlineLevel="0" collapsed="false">
      <c r="I904" s="82"/>
      <c r="K904" s="83"/>
      <c r="L904" s="84"/>
      <c r="N904" s="84"/>
      <c r="P904" s="0" t="n">
        <f aca="true">IF(I904="","",SUMIFS(OrderItems_Qty,OrderItems_Type,"PURCHASE",OrderItems_SKU,I904)-SUMIFS(OrderItems_Qty,OrderItems_Type,"SALE",OrderItems_SKU,I904))</f>
        <v>0</v>
      </c>
    </row>
    <row r="905" customFormat="false" ht="15" hidden="false" customHeight="false" outlineLevel="0" collapsed="false">
      <c r="I905" s="82"/>
      <c r="K905" s="83"/>
      <c r="L905" s="84"/>
      <c r="N905" s="84"/>
      <c r="P905" s="0" t="n">
        <f aca="true">IF(I905="","",SUMIFS(OrderItems_Qty,OrderItems_Type,"PURCHASE",OrderItems_SKU,I905)-SUMIFS(OrderItems_Qty,OrderItems_Type,"SALE",OrderItems_SKU,I905))</f>
        <v>0</v>
      </c>
    </row>
    <row r="906" customFormat="false" ht="15" hidden="false" customHeight="false" outlineLevel="0" collapsed="false">
      <c r="I906" s="82"/>
      <c r="K906" s="83"/>
      <c r="L906" s="84"/>
      <c r="N906" s="84"/>
      <c r="P906" s="0" t="n">
        <f aca="true">IF(I906="","",SUMIFS(OrderItems_Qty,OrderItems_Type,"PURCHASE",OrderItems_SKU,I906)-SUMIFS(OrderItems_Qty,OrderItems_Type,"SALE",OrderItems_SKU,I906))</f>
        <v>0</v>
      </c>
    </row>
    <row r="907" customFormat="false" ht="15" hidden="false" customHeight="false" outlineLevel="0" collapsed="false">
      <c r="I907" s="82"/>
      <c r="K907" s="83"/>
      <c r="L907" s="84"/>
      <c r="N907" s="84"/>
      <c r="P907" s="0" t="n">
        <f aca="true">IF(I907="","",SUMIFS(OrderItems_Qty,OrderItems_Type,"PURCHASE",OrderItems_SKU,I907)-SUMIFS(OrderItems_Qty,OrderItems_Type,"SALE",OrderItems_SKU,I907))</f>
        <v>0</v>
      </c>
    </row>
    <row r="908" customFormat="false" ht="15" hidden="false" customHeight="false" outlineLevel="0" collapsed="false">
      <c r="I908" s="82"/>
      <c r="K908" s="83"/>
      <c r="L908" s="84"/>
      <c r="N908" s="84"/>
      <c r="P908" s="0" t="n">
        <f aca="true">IF(I908="","",SUMIFS(OrderItems_Qty,OrderItems_Type,"PURCHASE",OrderItems_SKU,I908)-SUMIFS(OrderItems_Qty,OrderItems_Type,"SALE",OrderItems_SKU,I908))</f>
        <v>0</v>
      </c>
    </row>
    <row r="909" customFormat="false" ht="15" hidden="false" customHeight="false" outlineLevel="0" collapsed="false">
      <c r="I909" s="82"/>
      <c r="K909" s="83"/>
      <c r="L909" s="84"/>
      <c r="N909" s="84"/>
      <c r="P909" s="0" t="n">
        <f aca="true">IF(I909="","",SUMIFS(OrderItems_Qty,OrderItems_Type,"PURCHASE",OrderItems_SKU,I909)-SUMIFS(OrderItems_Qty,OrderItems_Type,"SALE",OrderItems_SKU,I909))</f>
        <v>0</v>
      </c>
    </row>
    <row r="910" customFormat="false" ht="15" hidden="false" customHeight="false" outlineLevel="0" collapsed="false">
      <c r="I910" s="82"/>
      <c r="K910" s="83"/>
      <c r="L910" s="84"/>
      <c r="N910" s="84"/>
      <c r="P910" s="0" t="n">
        <f aca="true">IF(I910="","",SUMIFS(OrderItems_Qty,OrderItems_Type,"PURCHASE",OrderItems_SKU,I910)-SUMIFS(OrderItems_Qty,OrderItems_Type,"SALE",OrderItems_SKU,I910))</f>
        <v>0</v>
      </c>
    </row>
    <row r="911" customFormat="false" ht="15" hidden="false" customHeight="false" outlineLevel="0" collapsed="false">
      <c r="I911" s="82"/>
      <c r="K911" s="83"/>
      <c r="L911" s="84"/>
      <c r="N911" s="84"/>
      <c r="P911" s="0" t="n">
        <f aca="true">IF(I911="","",SUMIFS(OrderItems_Qty,OrderItems_Type,"PURCHASE",OrderItems_SKU,I911)-SUMIFS(OrderItems_Qty,OrderItems_Type,"SALE",OrderItems_SKU,I911))</f>
        <v>0</v>
      </c>
    </row>
    <row r="912" customFormat="false" ht="15" hidden="false" customHeight="false" outlineLevel="0" collapsed="false">
      <c r="I912" s="82"/>
      <c r="K912" s="83"/>
      <c r="L912" s="84"/>
      <c r="N912" s="84"/>
      <c r="P912" s="0" t="n">
        <f aca="true">IF(I912="","",SUMIFS(OrderItems_Qty,OrderItems_Type,"PURCHASE",OrderItems_SKU,I912)-SUMIFS(OrderItems_Qty,OrderItems_Type,"SALE",OrderItems_SKU,I912))</f>
        <v>0</v>
      </c>
    </row>
    <row r="913" customFormat="false" ht="15" hidden="false" customHeight="false" outlineLevel="0" collapsed="false">
      <c r="I913" s="82"/>
      <c r="K913" s="83"/>
      <c r="L913" s="84"/>
      <c r="N913" s="84"/>
      <c r="P913" s="0" t="n">
        <f aca="true">IF(I913="","",SUMIFS(OrderItems_Qty,OrderItems_Type,"PURCHASE",OrderItems_SKU,I913)-SUMIFS(OrderItems_Qty,OrderItems_Type,"SALE",OrderItems_SKU,I913))</f>
        <v>0</v>
      </c>
    </row>
    <row r="914" customFormat="false" ht="15" hidden="false" customHeight="false" outlineLevel="0" collapsed="false">
      <c r="I914" s="82"/>
      <c r="K914" s="83"/>
      <c r="L914" s="84"/>
      <c r="N914" s="84"/>
      <c r="P914" s="0" t="n">
        <f aca="true">IF(I914="","",SUMIFS(OrderItems_Qty,OrderItems_Type,"PURCHASE",OrderItems_SKU,I914)-SUMIFS(OrderItems_Qty,OrderItems_Type,"SALE",OrderItems_SKU,I914))</f>
        <v>0</v>
      </c>
    </row>
    <row r="915" customFormat="false" ht="15" hidden="false" customHeight="false" outlineLevel="0" collapsed="false">
      <c r="I915" s="82"/>
      <c r="K915" s="83"/>
      <c r="L915" s="84"/>
      <c r="N915" s="84"/>
      <c r="P915" s="0" t="n">
        <f aca="true">IF(I915="","",SUMIFS(OrderItems_Qty,OrderItems_Type,"PURCHASE",OrderItems_SKU,I915)-SUMIFS(OrderItems_Qty,OrderItems_Type,"SALE",OrderItems_SKU,I915))</f>
        <v>0</v>
      </c>
    </row>
    <row r="916" customFormat="false" ht="15" hidden="false" customHeight="false" outlineLevel="0" collapsed="false">
      <c r="I916" s="82"/>
      <c r="K916" s="83"/>
      <c r="L916" s="84"/>
      <c r="N916" s="84"/>
      <c r="P916" s="0" t="n">
        <f aca="true">IF(I916="","",SUMIFS(OrderItems_Qty,OrderItems_Type,"PURCHASE",OrderItems_SKU,I916)-SUMIFS(OrderItems_Qty,OrderItems_Type,"SALE",OrderItems_SKU,I916))</f>
        <v>0</v>
      </c>
    </row>
    <row r="917" customFormat="false" ht="15" hidden="false" customHeight="false" outlineLevel="0" collapsed="false">
      <c r="I917" s="82"/>
      <c r="K917" s="83"/>
      <c r="L917" s="84"/>
      <c r="N917" s="84"/>
      <c r="P917" s="0" t="n">
        <f aca="true">IF(I917="","",SUMIFS(OrderItems_Qty,OrderItems_Type,"PURCHASE",OrderItems_SKU,I917)-SUMIFS(OrderItems_Qty,OrderItems_Type,"SALE",OrderItems_SKU,I917))</f>
        <v>0</v>
      </c>
    </row>
    <row r="918" customFormat="false" ht="15" hidden="false" customHeight="false" outlineLevel="0" collapsed="false">
      <c r="I918" s="82"/>
      <c r="K918" s="83"/>
      <c r="L918" s="84"/>
      <c r="N918" s="84"/>
      <c r="P918" s="0" t="n">
        <f aca="true">IF(I918="","",SUMIFS(OrderItems_Qty,OrderItems_Type,"PURCHASE",OrderItems_SKU,I918)-SUMIFS(OrderItems_Qty,OrderItems_Type,"SALE",OrderItems_SKU,I918))</f>
        <v>0</v>
      </c>
    </row>
    <row r="919" customFormat="false" ht="15" hidden="false" customHeight="false" outlineLevel="0" collapsed="false">
      <c r="I919" s="82"/>
      <c r="K919" s="83"/>
      <c r="L919" s="84"/>
      <c r="N919" s="84"/>
      <c r="P919" s="0" t="n">
        <f aca="true">IF(I919="","",SUMIFS(OrderItems_Qty,OrderItems_Type,"PURCHASE",OrderItems_SKU,I919)-SUMIFS(OrderItems_Qty,OrderItems_Type,"SALE",OrderItems_SKU,I919))</f>
        <v>0</v>
      </c>
    </row>
    <row r="920" customFormat="false" ht="15" hidden="false" customHeight="false" outlineLevel="0" collapsed="false">
      <c r="I920" s="82"/>
      <c r="K920" s="83"/>
      <c r="L920" s="84"/>
      <c r="N920" s="84"/>
      <c r="P920" s="0" t="n">
        <f aca="true">IF(I920="","",SUMIFS(OrderItems_Qty,OrderItems_Type,"PURCHASE",OrderItems_SKU,I920)-SUMIFS(OrderItems_Qty,OrderItems_Type,"SALE",OrderItems_SKU,I920))</f>
        <v>0</v>
      </c>
    </row>
    <row r="921" customFormat="false" ht="15" hidden="false" customHeight="false" outlineLevel="0" collapsed="false">
      <c r="I921" s="82"/>
      <c r="K921" s="83"/>
      <c r="L921" s="84"/>
      <c r="N921" s="84"/>
      <c r="P921" s="0" t="n">
        <f aca="true">IF(I921="","",SUMIFS(OrderItems_Qty,OrderItems_Type,"PURCHASE",OrderItems_SKU,I921)-SUMIFS(OrderItems_Qty,OrderItems_Type,"SALE",OrderItems_SKU,I921))</f>
        <v>0</v>
      </c>
    </row>
    <row r="922" customFormat="false" ht="15" hidden="false" customHeight="false" outlineLevel="0" collapsed="false">
      <c r="I922" s="82"/>
      <c r="K922" s="83"/>
      <c r="L922" s="84"/>
      <c r="N922" s="84"/>
      <c r="P922" s="0" t="n">
        <f aca="true">IF(I922="","",SUMIFS(OrderItems_Qty,OrderItems_Type,"PURCHASE",OrderItems_SKU,I922)-SUMIFS(OrderItems_Qty,OrderItems_Type,"SALE",OrderItems_SKU,I922))</f>
        <v>0</v>
      </c>
    </row>
    <row r="923" customFormat="false" ht="15" hidden="false" customHeight="false" outlineLevel="0" collapsed="false">
      <c r="I923" s="82"/>
      <c r="K923" s="83"/>
      <c r="L923" s="84"/>
      <c r="N923" s="84"/>
      <c r="P923" s="0" t="n">
        <f aca="true">IF(I923="","",SUMIFS(OrderItems_Qty,OrderItems_Type,"PURCHASE",OrderItems_SKU,I923)-SUMIFS(OrderItems_Qty,OrderItems_Type,"SALE",OrderItems_SKU,I923))</f>
        <v>0</v>
      </c>
    </row>
    <row r="924" customFormat="false" ht="15" hidden="false" customHeight="false" outlineLevel="0" collapsed="false">
      <c r="I924" s="82"/>
      <c r="K924" s="83"/>
      <c r="L924" s="84"/>
      <c r="N924" s="84"/>
      <c r="P924" s="0" t="n">
        <f aca="true">IF(I924="","",SUMIFS(OrderItems_Qty,OrderItems_Type,"PURCHASE",OrderItems_SKU,I924)-SUMIFS(OrderItems_Qty,OrderItems_Type,"SALE",OrderItems_SKU,I924))</f>
        <v>0</v>
      </c>
    </row>
    <row r="925" customFormat="false" ht="15" hidden="false" customHeight="false" outlineLevel="0" collapsed="false">
      <c r="I925" s="82"/>
      <c r="K925" s="83"/>
      <c r="L925" s="84"/>
      <c r="N925" s="84"/>
      <c r="P925" s="0" t="n">
        <f aca="true">IF(I925="","",SUMIFS(OrderItems_Qty,OrderItems_Type,"PURCHASE",OrderItems_SKU,I925)-SUMIFS(OrderItems_Qty,OrderItems_Type,"SALE",OrderItems_SKU,I925))</f>
        <v>0</v>
      </c>
    </row>
    <row r="926" customFormat="false" ht="15" hidden="false" customHeight="false" outlineLevel="0" collapsed="false">
      <c r="I926" s="82"/>
      <c r="K926" s="83"/>
      <c r="L926" s="84"/>
      <c r="N926" s="84"/>
      <c r="P926" s="0" t="n">
        <f aca="true">IF(I926="","",SUMIFS(OrderItems_Qty,OrderItems_Type,"PURCHASE",OrderItems_SKU,I926)-SUMIFS(OrderItems_Qty,OrderItems_Type,"SALE",OrderItems_SKU,I926))</f>
        <v>0</v>
      </c>
    </row>
    <row r="927" customFormat="false" ht="15" hidden="false" customHeight="false" outlineLevel="0" collapsed="false">
      <c r="I927" s="82"/>
      <c r="K927" s="83"/>
      <c r="L927" s="84"/>
      <c r="N927" s="84"/>
      <c r="P927" s="0" t="n">
        <f aca="true">IF(I927="","",SUMIFS(OrderItems_Qty,OrderItems_Type,"PURCHASE",OrderItems_SKU,I927)-SUMIFS(OrderItems_Qty,OrderItems_Type,"SALE",OrderItems_SKU,I927))</f>
        <v>0</v>
      </c>
    </row>
    <row r="928" customFormat="false" ht="15" hidden="false" customHeight="false" outlineLevel="0" collapsed="false">
      <c r="I928" s="82"/>
      <c r="K928" s="83"/>
      <c r="L928" s="84"/>
      <c r="N928" s="84"/>
      <c r="P928" s="0" t="n">
        <f aca="true">IF(I928="","",SUMIFS(OrderItems_Qty,OrderItems_Type,"PURCHASE",OrderItems_SKU,I928)-SUMIFS(OrderItems_Qty,OrderItems_Type,"SALE",OrderItems_SKU,I928))</f>
        <v>0</v>
      </c>
    </row>
    <row r="929" customFormat="false" ht="15" hidden="false" customHeight="false" outlineLevel="0" collapsed="false">
      <c r="I929" s="82"/>
      <c r="K929" s="83"/>
      <c r="L929" s="84"/>
      <c r="N929" s="84"/>
      <c r="P929" s="0" t="n">
        <f aca="true">IF(I929="","",SUMIFS(OrderItems_Qty,OrderItems_Type,"PURCHASE",OrderItems_SKU,I929)-SUMIFS(OrderItems_Qty,OrderItems_Type,"SALE",OrderItems_SKU,I929))</f>
        <v>0</v>
      </c>
    </row>
    <row r="930" customFormat="false" ht="15" hidden="false" customHeight="false" outlineLevel="0" collapsed="false">
      <c r="I930" s="82"/>
      <c r="K930" s="83"/>
      <c r="L930" s="84"/>
      <c r="N930" s="84"/>
      <c r="P930" s="0" t="n">
        <f aca="true">IF(I930="","",SUMIFS(OrderItems_Qty,OrderItems_Type,"PURCHASE",OrderItems_SKU,I930)-SUMIFS(OrderItems_Qty,OrderItems_Type,"SALE",OrderItems_SKU,I930))</f>
        <v>0</v>
      </c>
    </row>
    <row r="931" customFormat="false" ht="15" hidden="false" customHeight="false" outlineLevel="0" collapsed="false">
      <c r="I931" s="82"/>
      <c r="K931" s="83"/>
      <c r="L931" s="84"/>
      <c r="N931" s="84"/>
      <c r="P931" s="0" t="n">
        <f aca="true">IF(I931="","",SUMIFS(OrderItems_Qty,OrderItems_Type,"PURCHASE",OrderItems_SKU,I931)-SUMIFS(OrderItems_Qty,OrderItems_Type,"SALE",OrderItems_SKU,I931))</f>
        <v>0</v>
      </c>
    </row>
    <row r="932" customFormat="false" ht="15" hidden="false" customHeight="false" outlineLevel="0" collapsed="false">
      <c r="I932" s="82"/>
      <c r="K932" s="83"/>
      <c r="L932" s="84"/>
      <c r="N932" s="84"/>
      <c r="P932" s="0" t="n">
        <f aca="true">IF(I932="","",SUMIFS(OrderItems_Qty,OrderItems_Type,"PURCHASE",OrderItems_SKU,I932)-SUMIFS(OrderItems_Qty,OrderItems_Type,"SALE",OrderItems_SKU,I932))</f>
        <v>0</v>
      </c>
    </row>
    <row r="933" customFormat="false" ht="15" hidden="false" customHeight="false" outlineLevel="0" collapsed="false">
      <c r="I933" s="82"/>
      <c r="K933" s="83"/>
      <c r="L933" s="84"/>
      <c r="N933" s="84"/>
      <c r="P933" s="0" t="n">
        <f aca="true">IF(I933="","",SUMIFS(OrderItems_Qty,OrderItems_Type,"PURCHASE",OrderItems_SKU,I933)-SUMIFS(OrderItems_Qty,OrderItems_Type,"SALE",OrderItems_SKU,I933))</f>
        <v>0</v>
      </c>
    </row>
    <row r="934" customFormat="false" ht="15" hidden="false" customHeight="false" outlineLevel="0" collapsed="false">
      <c r="I934" s="82"/>
      <c r="K934" s="83"/>
      <c r="L934" s="84"/>
      <c r="N934" s="84"/>
      <c r="P934" s="0" t="n">
        <f aca="true">IF(I934="","",SUMIFS(OrderItems_Qty,OrderItems_Type,"PURCHASE",OrderItems_SKU,I934)-SUMIFS(OrderItems_Qty,OrderItems_Type,"SALE",OrderItems_SKU,I934))</f>
        <v>0</v>
      </c>
    </row>
    <row r="935" customFormat="false" ht="15" hidden="false" customHeight="false" outlineLevel="0" collapsed="false">
      <c r="I935" s="82"/>
      <c r="K935" s="83"/>
      <c r="L935" s="84"/>
      <c r="N935" s="84"/>
      <c r="P935" s="0" t="n">
        <f aca="true">IF(I935="","",SUMIFS(OrderItems_Qty,OrderItems_Type,"PURCHASE",OrderItems_SKU,I935)-SUMIFS(OrderItems_Qty,OrderItems_Type,"SALE",OrderItems_SKU,I935))</f>
        <v>0</v>
      </c>
    </row>
    <row r="936" customFormat="false" ht="15" hidden="false" customHeight="false" outlineLevel="0" collapsed="false">
      <c r="I936" s="82"/>
      <c r="K936" s="83"/>
      <c r="L936" s="84"/>
      <c r="N936" s="84"/>
      <c r="P936" s="0" t="n">
        <f aca="true">IF(I936="","",SUMIFS(OrderItems_Qty,OrderItems_Type,"PURCHASE",OrderItems_SKU,I936)-SUMIFS(OrderItems_Qty,OrderItems_Type,"SALE",OrderItems_SKU,I936))</f>
        <v>0</v>
      </c>
    </row>
    <row r="937" customFormat="false" ht="15" hidden="false" customHeight="false" outlineLevel="0" collapsed="false">
      <c r="I937" s="82"/>
      <c r="K937" s="83"/>
      <c r="L937" s="84"/>
      <c r="N937" s="84"/>
      <c r="P937" s="0" t="n">
        <f aca="true">IF(I937="","",SUMIFS(OrderItems_Qty,OrderItems_Type,"PURCHASE",OrderItems_SKU,I937)-SUMIFS(OrderItems_Qty,OrderItems_Type,"SALE",OrderItems_SKU,I937))</f>
        <v>0</v>
      </c>
    </row>
    <row r="938" customFormat="false" ht="15" hidden="false" customHeight="false" outlineLevel="0" collapsed="false">
      <c r="I938" s="82"/>
      <c r="K938" s="83"/>
      <c r="L938" s="84"/>
      <c r="N938" s="84"/>
      <c r="P938" s="0" t="n">
        <f aca="true">IF(I938="","",SUMIFS(OrderItems_Qty,OrderItems_Type,"PURCHASE",OrderItems_SKU,I938)-SUMIFS(OrderItems_Qty,OrderItems_Type,"SALE",OrderItems_SKU,I938))</f>
        <v>0</v>
      </c>
    </row>
    <row r="939" customFormat="false" ht="15" hidden="false" customHeight="false" outlineLevel="0" collapsed="false">
      <c r="I939" s="82"/>
      <c r="K939" s="83"/>
      <c r="L939" s="84"/>
      <c r="N939" s="84"/>
      <c r="P939" s="0" t="n">
        <f aca="true">IF(I939="","",SUMIFS(OrderItems_Qty,OrderItems_Type,"PURCHASE",OrderItems_SKU,I939)-SUMIFS(OrderItems_Qty,OrderItems_Type,"SALE",OrderItems_SKU,I939))</f>
        <v>0</v>
      </c>
    </row>
    <row r="940" customFormat="false" ht="15" hidden="false" customHeight="false" outlineLevel="0" collapsed="false">
      <c r="I940" s="82"/>
      <c r="K940" s="83"/>
      <c r="L940" s="84"/>
      <c r="N940" s="84"/>
      <c r="P940" s="0" t="n">
        <f aca="true">IF(I940="","",SUMIFS(OrderItems_Qty,OrderItems_Type,"PURCHASE",OrderItems_SKU,I940)-SUMIFS(OrderItems_Qty,OrderItems_Type,"SALE",OrderItems_SKU,I940))</f>
        <v>0</v>
      </c>
    </row>
    <row r="941" customFormat="false" ht="15" hidden="false" customHeight="false" outlineLevel="0" collapsed="false">
      <c r="I941" s="82"/>
      <c r="K941" s="83"/>
      <c r="L941" s="84"/>
      <c r="N941" s="84"/>
      <c r="P941" s="0" t="n">
        <f aca="true">IF(I941="","",SUMIFS(OrderItems_Qty,OrderItems_Type,"PURCHASE",OrderItems_SKU,I941)-SUMIFS(OrderItems_Qty,OrderItems_Type,"SALE",OrderItems_SKU,I941))</f>
        <v>0</v>
      </c>
    </row>
    <row r="942" customFormat="false" ht="15" hidden="false" customHeight="false" outlineLevel="0" collapsed="false">
      <c r="I942" s="82"/>
      <c r="K942" s="83"/>
      <c r="L942" s="84"/>
      <c r="N942" s="84"/>
      <c r="P942" s="0" t="n">
        <f aca="true">IF(I942="","",SUMIFS(OrderItems_Qty,OrderItems_Type,"PURCHASE",OrderItems_SKU,I942)-SUMIFS(OrderItems_Qty,OrderItems_Type,"SALE",OrderItems_SKU,I942))</f>
        <v>0</v>
      </c>
    </row>
    <row r="943" customFormat="false" ht="15" hidden="false" customHeight="false" outlineLevel="0" collapsed="false">
      <c r="I943" s="82"/>
      <c r="K943" s="83"/>
      <c r="L943" s="84"/>
      <c r="N943" s="84"/>
      <c r="P943" s="0" t="n">
        <f aca="true">IF(I943="","",SUMIFS(OrderItems_Qty,OrderItems_Type,"PURCHASE",OrderItems_SKU,I943)-SUMIFS(OrderItems_Qty,OrderItems_Type,"SALE",OrderItems_SKU,I943))</f>
        <v>0</v>
      </c>
    </row>
    <row r="944" customFormat="false" ht="15" hidden="false" customHeight="false" outlineLevel="0" collapsed="false">
      <c r="I944" s="82"/>
      <c r="K944" s="83"/>
      <c r="L944" s="84"/>
      <c r="N944" s="84"/>
      <c r="P944" s="0" t="n">
        <f aca="true">IF(I944="","",SUMIFS(OrderItems_Qty,OrderItems_Type,"PURCHASE",OrderItems_SKU,I944)-SUMIFS(OrderItems_Qty,OrderItems_Type,"SALE",OrderItems_SKU,I944))</f>
        <v>0</v>
      </c>
    </row>
    <row r="945" customFormat="false" ht="15" hidden="false" customHeight="false" outlineLevel="0" collapsed="false">
      <c r="I945" s="82"/>
      <c r="K945" s="83"/>
      <c r="L945" s="84"/>
      <c r="N945" s="84"/>
      <c r="P945" s="0" t="n">
        <f aca="true">IF(I945="","",SUMIFS(OrderItems_Qty,OrderItems_Type,"PURCHASE",OrderItems_SKU,I945)-SUMIFS(OrderItems_Qty,OrderItems_Type,"SALE",OrderItems_SKU,I945))</f>
        <v>0</v>
      </c>
    </row>
    <row r="946" customFormat="false" ht="15" hidden="false" customHeight="false" outlineLevel="0" collapsed="false">
      <c r="I946" s="82"/>
      <c r="K946" s="83"/>
      <c r="L946" s="84"/>
      <c r="N946" s="84"/>
      <c r="P946" s="0" t="n">
        <f aca="true">IF(I946="","",SUMIFS(OrderItems_Qty,OrderItems_Type,"PURCHASE",OrderItems_SKU,I946)-SUMIFS(OrderItems_Qty,OrderItems_Type,"SALE",OrderItems_SKU,I946))</f>
        <v>0</v>
      </c>
    </row>
    <row r="947" customFormat="false" ht="15" hidden="false" customHeight="false" outlineLevel="0" collapsed="false">
      <c r="I947" s="82"/>
      <c r="K947" s="83"/>
      <c r="L947" s="84"/>
      <c r="N947" s="84"/>
      <c r="P947" s="0" t="n">
        <f aca="true">IF(I947="","",SUMIFS(OrderItems_Qty,OrderItems_Type,"PURCHASE",OrderItems_SKU,I947)-SUMIFS(OrderItems_Qty,OrderItems_Type,"SALE",OrderItems_SKU,I947))</f>
        <v>0</v>
      </c>
    </row>
    <row r="948" customFormat="false" ht="15" hidden="false" customHeight="false" outlineLevel="0" collapsed="false">
      <c r="I948" s="82"/>
      <c r="K948" s="83"/>
      <c r="L948" s="84"/>
      <c r="N948" s="84"/>
      <c r="P948" s="0" t="n">
        <f aca="true">IF(I948="","",SUMIFS(OrderItems_Qty,OrderItems_Type,"PURCHASE",OrderItems_SKU,I948)-SUMIFS(OrderItems_Qty,OrderItems_Type,"SALE",OrderItems_SKU,I948))</f>
        <v>0</v>
      </c>
    </row>
    <row r="949" customFormat="false" ht="15" hidden="false" customHeight="false" outlineLevel="0" collapsed="false">
      <c r="I949" s="82"/>
      <c r="K949" s="83"/>
      <c r="L949" s="84"/>
      <c r="N949" s="84"/>
      <c r="P949" s="0" t="n">
        <f aca="true">IF(I949="","",SUMIFS(OrderItems_Qty,OrderItems_Type,"PURCHASE",OrderItems_SKU,I949)-SUMIFS(OrderItems_Qty,OrderItems_Type,"SALE",OrderItems_SKU,I949))</f>
        <v>0</v>
      </c>
    </row>
    <row r="950" customFormat="false" ht="15" hidden="false" customHeight="false" outlineLevel="0" collapsed="false">
      <c r="I950" s="82"/>
      <c r="K950" s="83"/>
      <c r="L950" s="84"/>
      <c r="N950" s="84"/>
      <c r="P950" s="0" t="n">
        <f aca="true">IF(I950="","",SUMIFS(OrderItems_Qty,OrderItems_Type,"PURCHASE",OrderItems_SKU,I950)-SUMIFS(OrderItems_Qty,OrderItems_Type,"SALE",OrderItems_SKU,I950))</f>
        <v>0</v>
      </c>
    </row>
    <row r="951" customFormat="false" ht="15" hidden="false" customHeight="false" outlineLevel="0" collapsed="false">
      <c r="I951" s="82"/>
      <c r="K951" s="83"/>
      <c r="L951" s="84"/>
      <c r="N951" s="84"/>
      <c r="P951" s="0" t="n">
        <f aca="true">IF(I951="","",SUMIFS(OrderItems_Qty,OrderItems_Type,"PURCHASE",OrderItems_SKU,I951)-SUMIFS(OrderItems_Qty,OrderItems_Type,"SALE",OrderItems_SKU,I951))</f>
        <v>0</v>
      </c>
    </row>
    <row r="952" customFormat="false" ht="15" hidden="false" customHeight="false" outlineLevel="0" collapsed="false">
      <c r="I952" s="82"/>
      <c r="K952" s="83"/>
      <c r="L952" s="84"/>
      <c r="N952" s="84"/>
      <c r="P952" s="0" t="n">
        <f aca="true">IF(I952="","",SUMIFS(OrderItems_Qty,OrderItems_Type,"PURCHASE",OrderItems_SKU,I952)-SUMIFS(OrderItems_Qty,OrderItems_Type,"SALE",OrderItems_SKU,I952))</f>
        <v>0</v>
      </c>
    </row>
    <row r="953" customFormat="false" ht="15" hidden="false" customHeight="false" outlineLevel="0" collapsed="false">
      <c r="I953" s="82"/>
      <c r="K953" s="83"/>
      <c r="L953" s="84"/>
      <c r="N953" s="85"/>
      <c r="P953" s="0" t="n">
        <f aca="true">IF(I953="","",SUMIFS(OrderItems_Qty,OrderItems_Type,"PURCHASE",OrderItems_SKU,I953)-SUMIFS(OrderItems_Qty,OrderItems_Type,"SALE",OrderItems_SKU,I953))</f>
        <v>0</v>
      </c>
    </row>
    <row r="954" customFormat="false" ht="15" hidden="false" customHeight="false" outlineLevel="0" collapsed="false">
      <c r="I954" s="82"/>
      <c r="K954" s="83"/>
      <c r="L954" s="84"/>
      <c r="N954" s="85"/>
      <c r="P954" s="0" t="n">
        <f aca="true">IF(I954="","",SUMIFS(OrderItems_Qty,OrderItems_Type,"PURCHASE",OrderItems_SKU,I954)-SUMIFS(OrderItems_Qty,OrderItems_Type,"SALE",OrderItems_SKU,I954))</f>
        <v>0</v>
      </c>
    </row>
    <row r="955" customFormat="false" ht="15" hidden="false" customHeight="false" outlineLevel="0" collapsed="false">
      <c r="I955" s="82"/>
      <c r="K955" s="83"/>
      <c r="L955" s="84"/>
      <c r="N955" s="85"/>
      <c r="P955" s="0" t="n">
        <f aca="true">IF(I955="","",SUMIFS(OrderItems_Qty,OrderItems_Type,"PURCHASE",OrderItems_SKU,I955)-SUMIFS(OrderItems_Qty,OrderItems_Type,"SALE",OrderItems_SKU,I955))</f>
        <v>0</v>
      </c>
    </row>
    <row r="956" customFormat="false" ht="15" hidden="false" customHeight="false" outlineLevel="0" collapsed="false">
      <c r="I956" s="82"/>
      <c r="K956" s="83"/>
      <c r="L956" s="84"/>
      <c r="N956" s="85"/>
      <c r="P956" s="0" t="n">
        <f aca="true">IF(I956="","",SUMIFS(OrderItems_Qty,OrderItems_Type,"PURCHASE",OrderItems_SKU,I956)-SUMIFS(OrderItems_Qty,OrderItems_Type,"SALE",OrderItems_SKU,I956))</f>
        <v>0</v>
      </c>
    </row>
    <row r="957" customFormat="false" ht="15" hidden="false" customHeight="false" outlineLevel="0" collapsed="false">
      <c r="I957" s="82"/>
      <c r="K957" s="83"/>
      <c r="L957" s="84"/>
      <c r="N957" s="85"/>
      <c r="P957" s="0" t="n">
        <f aca="true">IF(I957="","",SUMIFS(OrderItems_Qty,OrderItems_Type,"PURCHASE",OrderItems_SKU,I957)-SUMIFS(OrderItems_Qty,OrderItems_Type,"SALE",OrderItems_SKU,I957))</f>
        <v>0</v>
      </c>
    </row>
    <row r="958" customFormat="false" ht="15" hidden="false" customHeight="false" outlineLevel="0" collapsed="false">
      <c r="I958" s="82"/>
      <c r="K958" s="83"/>
      <c r="L958" s="84"/>
      <c r="N958" s="85"/>
      <c r="P958" s="0" t="n">
        <f aca="true">IF(I958="","",SUMIFS(OrderItems_Qty,OrderItems_Type,"PURCHASE",OrderItems_SKU,I958)-SUMIFS(OrderItems_Qty,OrderItems_Type,"SALE",OrderItems_SKU,I958))</f>
        <v>0</v>
      </c>
    </row>
    <row r="959" customFormat="false" ht="15" hidden="false" customHeight="false" outlineLevel="0" collapsed="false">
      <c r="I959" s="82"/>
      <c r="K959" s="83"/>
      <c r="L959" s="84"/>
      <c r="N959" s="85"/>
      <c r="P959" s="0" t="n">
        <f aca="true">IF(I959="","",SUMIFS(OrderItems_Qty,OrderItems_Type,"PURCHASE",OrderItems_SKU,I959)-SUMIFS(OrderItems_Qty,OrderItems_Type,"SALE",OrderItems_SKU,I959))</f>
        <v>0</v>
      </c>
    </row>
    <row r="960" customFormat="false" ht="15" hidden="false" customHeight="false" outlineLevel="0" collapsed="false">
      <c r="I960" s="82"/>
      <c r="K960" s="83"/>
      <c r="L960" s="85"/>
      <c r="N960" s="85"/>
      <c r="P960" s="0" t="n">
        <f aca="true">IF(I960="","",SUMIFS(OrderItems_Qty,OrderItems_Type,"PURCHASE",OrderItems_SKU,I960)-SUMIFS(OrderItems_Qty,OrderItems_Type,"SALE",OrderItems_SKU,I960))</f>
        <v>0</v>
      </c>
    </row>
    <row r="961" customFormat="false" ht="15" hidden="false" customHeight="false" outlineLevel="0" collapsed="false">
      <c r="I961" s="82"/>
      <c r="K961" s="83"/>
      <c r="L961" s="85"/>
      <c r="N961" s="85"/>
      <c r="P961" s="0" t="n">
        <f aca="true">IF(I961="","",SUMIFS(OrderItems_Qty,OrderItems_Type,"PURCHASE",OrderItems_SKU,I961)-SUMIFS(OrderItems_Qty,OrderItems_Type,"SALE",OrderItems_SKU,I961))</f>
        <v>0</v>
      </c>
    </row>
    <row r="962" customFormat="false" ht="15" hidden="false" customHeight="false" outlineLevel="0" collapsed="false">
      <c r="I962" s="82"/>
      <c r="K962" s="83"/>
      <c r="L962" s="85"/>
      <c r="N962" s="85"/>
      <c r="P962" s="0" t="n">
        <f aca="true">IF(I962="","",SUMIFS(OrderItems_Qty,OrderItems_Type,"PURCHASE",OrderItems_SKU,I962)-SUMIFS(OrderItems_Qty,OrderItems_Type,"SALE",OrderItems_SKU,I962))</f>
        <v>0</v>
      </c>
    </row>
    <row r="963" customFormat="false" ht="15" hidden="false" customHeight="false" outlineLevel="0" collapsed="false">
      <c r="I963" s="82"/>
      <c r="K963" s="83"/>
      <c r="L963" s="85"/>
      <c r="N963" s="85"/>
      <c r="P963" s="0" t="n">
        <f aca="true">IF(I963="","",SUMIFS(OrderItems_Qty,OrderItems_Type,"PURCHASE",OrderItems_SKU,I963)-SUMIFS(OrderItems_Qty,OrderItems_Type,"SALE",OrderItems_SKU,I963))</f>
        <v>0</v>
      </c>
    </row>
    <row r="964" customFormat="false" ht="15" hidden="false" customHeight="false" outlineLevel="0" collapsed="false">
      <c r="I964" s="82"/>
      <c r="K964" s="83"/>
      <c r="L964" s="85"/>
      <c r="N964" s="85"/>
      <c r="P964" s="0" t="n">
        <f aca="true">IF(I964="","",SUMIFS(OrderItems_Qty,OrderItems_Type,"PURCHASE",OrderItems_SKU,I964)-SUMIFS(OrderItems_Qty,OrderItems_Type,"SALE",OrderItems_SKU,I964))</f>
        <v>0</v>
      </c>
    </row>
    <row r="965" customFormat="false" ht="15" hidden="false" customHeight="false" outlineLevel="0" collapsed="false">
      <c r="I965" s="82"/>
      <c r="K965" s="83"/>
      <c r="L965" s="85"/>
      <c r="N965" s="85"/>
      <c r="P965" s="0" t="n">
        <f aca="true">IF(I965="","",SUMIFS(OrderItems_Qty,OrderItems_Type,"PURCHASE",OrderItems_SKU,I965)-SUMIFS(OrderItems_Qty,OrderItems_Type,"SALE",OrderItems_SKU,I965))</f>
        <v>0</v>
      </c>
    </row>
    <row r="966" customFormat="false" ht="15" hidden="false" customHeight="false" outlineLevel="0" collapsed="false">
      <c r="I966" s="82"/>
      <c r="K966" s="83"/>
      <c r="L966" s="85"/>
      <c r="N966" s="85"/>
      <c r="P966" s="0" t="n">
        <f aca="true">IF(I966="","",SUMIFS(OrderItems_Qty,OrderItems_Type,"PURCHASE",OrderItems_SKU,I966)-SUMIFS(OrderItems_Qty,OrderItems_Type,"SALE",OrderItems_SKU,I966))</f>
        <v>0</v>
      </c>
    </row>
    <row r="967" customFormat="false" ht="15" hidden="false" customHeight="false" outlineLevel="0" collapsed="false">
      <c r="I967" s="82"/>
      <c r="K967" s="83"/>
      <c r="L967" s="85"/>
      <c r="N967" s="85"/>
      <c r="P967" s="0" t="n">
        <f aca="true">IF(I967="","",SUMIFS(OrderItems_Qty,OrderItems_Type,"PURCHASE",OrderItems_SKU,I967)-SUMIFS(OrderItems_Qty,OrderItems_Type,"SALE",OrderItems_SKU,I967))</f>
        <v>0</v>
      </c>
    </row>
    <row r="968" customFormat="false" ht="15" hidden="false" customHeight="false" outlineLevel="0" collapsed="false">
      <c r="I968" s="82"/>
      <c r="K968" s="83"/>
      <c r="L968" s="85"/>
      <c r="N968" s="85"/>
      <c r="P968" s="0" t="n">
        <f aca="true">IF(I968="","",SUMIFS(OrderItems_Qty,OrderItems_Type,"PURCHASE",OrderItems_SKU,I968)-SUMIFS(OrderItems_Qty,OrderItems_Type,"SALE",OrderItems_SKU,I968))</f>
        <v>0</v>
      </c>
    </row>
    <row r="969" customFormat="false" ht="15" hidden="false" customHeight="false" outlineLevel="0" collapsed="false">
      <c r="I969" s="82"/>
      <c r="K969" s="83"/>
      <c r="L969" s="85"/>
      <c r="N969" s="85"/>
      <c r="P969" s="0" t="n">
        <f aca="true">IF(I969="","",SUMIFS(OrderItems_Qty,OrderItems_Type,"PURCHASE",OrderItems_SKU,I969)-SUMIFS(OrderItems_Qty,OrderItems_Type,"SALE",OrderItems_SKU,I969))</f>
        <v>0</v>
      </c>
    </row>
    <row r="970" customFormat="false" ht="15" hidden="false" customHeight="false" outlineLevel="0" collapsed="false">
      <c r="I970" s="82"/>
      <c r="K970" s="83"/>
      <c r="L970" s="85"/>
      <c r="N970" s="85"/>
      <c r="P970" s="0" t="n">
        <f aca="true">IF(I970="","",SUMIFS(OrderItems_Qty,OrderItems_Type,"PURCHASE",OrderItems_SKU,I970)-SUMIFS(OrderItems_Qty,OrderItems_Type,"SALE",OrderItems_SKU,I970))</f>
        <v>0</v>
      </c>
    </row>
    <row r="971" customFormat="false" ht="15" hidden="false" customHeight="false" outlineLevel="0" collapsed="false">
      <c r="I971" s="82"/>
      <c r="K971" s="83"/>
      <c r="L971" s="85"/>
      <c r="N971" s="85"/>
      <c r="P971" s="0" t="n">
        <f aca="true">IF(I971="","",SUMIFS(OrderItems_Qty,OrderItems_Type,"PURCHASE",OrderItems_SKU,I971)-SUMIFS(OrderItems_Qty,OrderItems_Type,"SALE",OrderItems_SKU,I971))</f>
        <v>0</v>
      </c>
    </row>
    <row r="972" customFormat="false" ht="15" hidden="false" customHeight="false" outlineLevel="0" collapsed="false">
      <c r="I972" s="82"/>
      <c r="K972" s="83"/>
      <c r="L972" s="85"/>
      <c r="N972" s="85"/>
      <c r="P972" s="0" t="n">
        <f aca="true">IF(I972="","",SUMIFS(OrderItems_Qty,OrderItems_Type,"PURCHASE",OrderItems_SKU,I972)-SUMIFS(OrderItems_Qty,OrderItems_Type,"SALE",OrderItems_SKU,I972))</f>
        <v>0</v>
      </c>
    </row>
    <row r="973" customFormat="false" ht="15" hidden="false" customHeight="false" outlineLevel="0" collapsed="false">
      <c r="I973" s="82"/>
      <c r="K973" s="83"/>
      <c r="L973" s="85"/>
      <c r="N973" s="85"/>
      <c r="P973" s="0" t="n">
        <f aca="true">IF(I973="","",SUMIFS(OrderItems_Qty,OrderItems_Type,"PURCHASE",OrderItems_SKU,I973)-SUMIFS(OrderItems_Qty,OrderItems_Type,"SALE",OrderItems_SKU,I973))</f>
        <v>0</v>
      </c>
    </row>
    <row r="974" customFormat="false" ht="15" hidden="false" customHeight="false" outlineLevel="0" collapsed="false">
      <c r="I974" s="82"/>
      <c r="K974" s="83"/>
      <c r="L974" s="85"/>
      <c r="N974" s="85"/>
      <c r="P974" s="0" t="n">
        <f aca="true">IF(I974="","",SUMIFS(OrderItems_Qty,OrderItems_Type,"PURCHASE",OrderItems_SKU,I974)-SUMIFS(OrderItems_Qty,OrderItems_Type,"SALE",OrderItems_SKU,I974))</f>
        <v>0</v>
      </c>
    </row>
    <row r="975" customFormat="false" ht="15" hidden="false" customHeight="false" outlineLevel="0" collapsed="false">
      <c r="I975" s="82"/>
      <c r="K975" s="83"/>
      <c r="L975" s="85"/>
      <c r="N975" s="85"/>
      <c r="P975" s="0" t="n">
        <f aca="true">IF(I975="","",SUMIFS(OrderItems_Qty,OrderItems_Type,"PURCHASE",OrderItems_SKU,I975)-SUMIFS(OrderItems_Qty,OrderItems_Type,"SALE",OrderItems_SKU,I975))</f>
        <v>0</v>
      </c>
    </row>
    <row r="976" customFormat="false" ht="15" hidden="false" customHeight="false" outlineLevel="0" collapsed="false">
      <c r="I976" s="82"/>
      <c r="K976" s="83"/>
      <c r="L976" s="85"/>
      <c r="N976" s="85"/>
      <c r="P976" s="0" t="n">
        <f aca="true">IF(I976="","",SUMIFS(OrderItems_Qty,OrderItems_Type,"PURCHASE",OrderItems_SKU,I976)-SUMIFS(OrderItems_Qty,OrderItems_Type,"SALE",OrderItems_SKU,I976))</f>
        <v>0</v>
      </c>
    </row>
    <row r="977" customFormat="false" ht="15" hidden="false" customHeight="false" outlineLevel="0" collapsed="false">
      <c r="I977" s="82"/>
      <c r="K977" s="83"/>
      <c r="L977" s="85"/>
      <c r="N977" s="85"/>
      <c r="P977" s="0" t="n">
        <f aca="true">IF(I977="","",SUMIFS(OrderItems_Qty,OrderItems_Type,"PURCHASE",OrderItems_SKU,I977)-SUMIFS(OrderItems_Qty,OrderItems_Type,"SALE",OrderItems_SKU,I977))</f>
        <v>0</v>
      </c>
    </row>
    <row r="978" customFormat="false" ht="15" hidden="false" customHeight="false" outlineLevel="0" collapsed="false">
      <c r="I978" s="82"/>
      <c r="K978" s="83"/>
      <c r="L978" s="85"/>
      <c r="N978" s="85"/>
      <c r="P978" s="0" t="n">
        <f aca="true">IF(I978="","",SUMIFS(OrderItems_Qty,OrderItems_Type,"PURCHASE",OrderItems_SKU,I978)-SUMIFS(OrderItems_Qty,OrderItems_Type,"SALE",OrderItems_SKU,I978))</f>
        <v>0</v>
      </c>
    </row>
    <row r="979" customFormat="false" ht="15" hidden="false" customHeight="false" outlineLevel="0" collapsed="false">
      <c r="I979" s="82"/>
      <c r="K979" s="83"/>
      <c r="L979" s="85"/>
      <c r="N979" s="85"/>
      <c r="P979" s="0" t="n">
        <f aca="true">IF(I979="","",SUMIFS(OrderItems_Qty,OrderItems_Type,"PURCHASE",OrderItems_SKU,I979)-SUMIFS(OrderItems_Qty,OrderItems_Type,"SALE",OrderItems_SKU,I979))</f>
        <v>0</v>
      </c>
    </row>
    <row r="980" customFormat="false" ht="15" hidden="false" customHeight="false" outlineLevel="0" collapsed="false">
      <c r="I980" s="82"/>
      <c r="K980" s="83"/>
      <c r="L980" s="85"/>
      <c r="N980" s="85"/>
      <c r="P980" s="0" t="n">
        <f aca="true">IF(I980="","",SUMIFS(OrderItems_Qty,OrderItems_Type,"PURCHASE",OrderItems_SKU,I980)-SUMIFS(OrderItems_Qty,OrderItems_Type,"SALE",OrderItems_SKU,I980))</f>
        <v>0</v>
      </c>
    </row>
    <row r="981" customFormat="false" ht="15" hidden="false" customHeight="false" outlineLevel="0" collapsed="false">
      <c r="I981" s="82"/>
      <c r="K981" s="83"/>
      <c r="L981" s="85"/>
      <c r="N981" s="85"/>
      <c r="P981" s="0" t="n">
        <f aca="true">IF(I981="","",SUMIFS(OrderItems_Qty,OrderItems_Type,"PURCHASE",OrderItems_SKU,I981)-SUMIFS(OrderItems_Qty,OrderItems_Type,"SALE",OrderItems_SKU,I981))</f>
        <v>0</v>
      </c>
    </row>
    <row r="982" customFormat="false" ht="15" hidden="false" customHeight="false" outlineLevel="0" collapsed="false">
      <c r="I982" s="82"/>
      <c r="K982" s="83"/>
      <c r="L982" s="85"/>
      <c r="N982" s="85"/>
      <c r="P982" s="0" t="n">
        <f aca="true">IF(I982="","",SUMIFS(OrderItems_Qty,OrderItems_Type,"PURCHASE",OrderItems_SKU,I982)-SUMIFS(OrderItems_Qty,OrderItems_Type,"SALE",OrderItems_SKU,I982))</f>
        <v>0</v>
      </c>
    </row>
    <row r="983" customFormat="false" ht="15" hidden="false" customHeight="false" outlineLevel="0" collapsed="false">
      <c r="I983" s="82"/>
      <c r="K983" s="83"/>
      <c r="L983" s="85"/>
      <c r="N983" s="85"/>
      <c r="P983" s="0" t="n">
        <f aca="true">IF(I983="","",SUMIFS(OrderItems_Qty,OrderItems_Type,"PURCHASE",OrderItems_SKU,I983)-SUMIFS(OrderItems_Qty,OrderItems_Type,"SALE",OrderItems_SKU,I983))</f>
        <v>0</v>
      </c>
    </row>
    <row r="984" customFormat="false" ht="15" hidden="false" customHeight="false" outlineLevel="0" collapsed="false">
      <c r="I984" s="82"/>
      <c r="K984" s="83"/>
      <c r="L984" s="85"/>
      <c r="N984" s="85"/>
      <c r="P984" s="0" t="n">
        <f aca="true">IF(I984="","",SUMIFS(OrderItems_Qty,OrderItems_Type,"PURCHASE",OrderItems_SKU,I984)-SUMIFS(OrderItems_Qty,OrderItems_Type,"SALE",OrderItems_SKU,I984))</f>
        <v>0</v>
      </c>
    </row>
    <row r="985" customFormat="false" ht="15" hidden="false" customHeight="false" outlineLevel="0" collapsed="false">
      <c r="I985" s="82"/>
      <c r="K985" s="83"/>
      <c r="L985" s="85"/>
      <c r="N985" s="85"/>
      <c r="P985" s="0" t="n">
        <f aca="true">IF(I985="","",SUMIFS(OrderItems_Qty,OrderItems_Type,"PURCHASE",OrderItems_SKU,I985)-SUMIFS(OrderItems_Qty,OrderItems_Type,"SALE",OrderItems_SKU,I985))</f>
        <v>0</v>
      </c>
    </row>
    <row r="986" customFormat="false" ht="15" hidden="false" customHeight="false" outlineLevel="0" collapsed="false">
      <c r="I986" s="82"/>
      <c r="K986" s="83"/>
      <c r="L986" s="85"/>
      <c r="N986" s="85"/>
      <c r="P986" s="0" t="n">
        <f aca="true">IF(I986="","",SUMIFS(OrderItems_Qty,OrderItems_Type,"PURCHASE",OrderItems_SKU,I986)-SUMIFS(OrderItems_Qty,OrderItems_Type,"SALE",OrderItems_SKU,I986))</f>
        <v>0</v>
      </c>
    </row>
    <row r="987" customFormat="false" ht="15" hidden="false" customHeight="false" outlineLevel="0" collapsed="false">
      <c r="I987" s="82"/>
      <c r="K987" s="83"/>
      <c r="L987" s="85"/>
      <c r="N987" s="85"/>
      <c r="P987" s="0" t="n">
        <f aca="true">IF(I987="","",SUMIFS(OrderItems_Qty,OrderItems_Type,"PURCHASE",OrderItems_SKU,I987)-SUMIFS(OrderItems_Qty,OrderItems_Type,"SALE",OrderItems_SKU,I987))</f>
        <v>0</v>
      </c>
    </row>
    <row r="988" customFormat="false" ht="15" hidden="false" customHeight="false" outlineLevel="0" collapsed="false">
      <c r="I988" s="82"/>
      <c r="K988" s="83"/>
      <c r="L988" s="85"/>
      <c r="N988" s="85"/>
      <c r="P988" s="0" t="n">
        <f aca="true">IF(I988="","",SUMIFS(OrderItems_Qty,OrderItems_Type,"PURCHASE",OrderItems_SKU,I988)-SUMIFS(OrderItems_Qty,OrderItems_Type,"SALE",OrderItems_SKU,I988))</f>
        <v>0</v>
      </c>
    </row>
    <row r="989" customFormat="false" ht="15" hidden="false" customHeight="false" outlineLevel="0" collapsed="false">
      <c r="I989" s="82"/>
      <c r="K989" s="83"/>
      <c r="L989" s="85"/>
      <c r="N989" s="85"/>
      <c r="P989" s="0" t="n">
        <f aca="true">IF(I989="","",SUMIFS(OrderItems_Qty,OrderItems_Type,"PURCHASE",OrderItems_SKU,I989)-SUMIFS(OrderItems_Qty,OrderItems_Type,"SALE",OrderItems_SKU,I989))</f>
        <v>0</v>
      </c>
    </row>
    <row r="990" customFormat="false" ht="15" hidden="false" customHeight="false" outlineLevel="0" collapsed="false">
      <c r="I990" s="82"/>
      <c r="K990" s="83"/>
      <c r="L990" s="85"/>
      <c r="N990" s="85"/>
      <c r="P990" s="0" t="n">
        <f aca="true">IF(I990="","",SUMIFS(OrderItems_Qty,OrderItems_Type,"PURCHASE",OrderItems_SKU,I990)-SUMIFS(OrderItems_Qty,OrderItems_Type,"SALE",OrderItems_SKU,I990))</f>
        <v>0</v>
      </c>
    </row>
    <row r="991" customFormat="false" ht="15" hidden="false" customHeight="false" outlineLevel="0" collapsed="false">
      <c r="I991" s="82"/>
      <c r="K991" s="83"/>
      <c r="L991" s="85"/>
      <c r="N991" s="85"/>
      <c r="P991" s="0" t="n">
        <f aca="true">IF(I991="","",SUMIFS(OrderItems_Qty,OrderItems_Type,"PURCHASE",OrderItems_SKU,I991)-SUMIFS(OrderItems_Qty,OrderItems_Type,"SALE",OrderItems_SKU,I991))</f>
        <v>0</v>
      </c>
    </row>
    <row r="992" customFormat="false" ht="15" hidden="false" customHeight="false" outlineLevel="0" collapsed="false">
      <c r="I992" s="82"/>
      <c r="K992" s="83"/>
      <c r="L992" s="85"/>
      <c r="N992" s="85"/>
      <c r="P992" s="0" t="n">
        <f aca="true">IF(I992="","",SUMIFS(OrderItems_Qty,OrderItems_Type,"PURCHASE",OrderItems_SKU,I992)-SUMIFS(OrderItems_Qty,OrderItems_Type,"SALE",OrderItems_SKU,I992))</f>
        <v>0</v>
      </c>
    </row>
    <row r="993" customFormat="false" ht="15" hidden="false" customHeight="false" outlineLevel="0" collapsed="false">
      <c r="I993" s="82"/>
      <c r="K993" s="83"/>
      <c r="L993" s="85"/>
      <c r="N993" s="85"/>
      <c r="P993" s="0" t="n">
        <f aca="true">IF(I993="","",SUMIFS(OrderItems_Qty,OrderItems_Type,"PURCHASE",OrderItems_SKU,I993)-SUMIFS(OrderItems_Qty,OrderItems_Type,"SALE",OrderItems_SKU,I993))</f>
        <v>0</v>
      </c>
    </row>
    <row r="994" customFormat="false" ht="15" hidden="false" customHeight="false" outlineLevel="0" collapsed="false">
      <c r="I994" s="82"/>
      <c r="K994" s="83"/>
      <c r="L994" s="85"/>
      <c r="N994" s="85"/>
      <c r="P994" s="0" t="n">
        <f aca="true">IF(I994="","",SUMIFS(OrderItems_Qty,OrderItems_Type,"PURCHASE",OrderItems_SKU,I994)-SUMIFS(OrderItems_Qty,OrderItems_Type,"SALE",OrderItems_SKU,I994))</f>
        <v>0</v>
      </c>
    </row>
    <row r="995" customFormat="false" ht="15" hidden="false" customHeight="false" outlineLevel="0" collapsed="false">
      <c r="I995" s="82"/>
      <c r="K995" s="83"/>
      <c r="L995" s="85"/>
      <c r="N995" s="85"/>
      <c r="P995" s="0" t="n">
        <f aca="true">IF(I995="","",SUMIFS(OrderItems_Qty,OrderItems_Type,"PURCHASE",OrderItems_SKU,I995)-SUMIFS(OrderItems_Qty,OrderItems_Type,"SALE",OrderItems_SKU,I995))</f>
        <v>0</v>
      </c>
    </row>
    <row r="996" customFormat="false" ht="15" hidden="false" customHeight="false" outlineLevel="0" collapsed="false">
      <c r="I996" s="82"/>
      <c r="K996" s="83"/>
      <c r="L996" s="85"/>
      <c r="N996" s="85"/>
      <c r="P996" s="0" t="n">
        <f aca="true">IF(I996="","",SUMIFS(OrderItems_Qty,OrderItems_Type,"PURCHASE",OrderItems_SKU,I996)-SUMIFS(OrderItems_Qty,OrderItems_Type,"SALE",OrderItems_SKU,I996))</f>
        <v>0</v>
      </c>
    </row>
    <row r="997" customFormat="false" ht="15" hidden="false" customHeight="false" outlineLevel="0" collapsed="false">
      <c r="I997" s="82"/>
      <c r="K997" s="83"/>
      <c r="L997" s="85"/>
      <c r="N997" s="85"/>
      <c r="P997" s="0" t="n">
        <f aca="true">IF(I997="","",SUMIFS(OrderItems_Qty,OrderItems_Type,"PURCHASE",OrderItems_SKU,I997)-SUMIFS(OrderItems_Qty,OrderItems_Type,"SALE",OrderItems_SKU,I997))</f>
        <v>0</v>
      </c>
    </row>
    <row r="998" customFormat="false" ht="15" hidden="false" customHeight="false" outlineLevel="0" collapsed="false">
      <c r="I998" s="82"/>
      <c r="K998" s="83"/>
      <c r="L998" s="85"/>
      <c r="N998" s="85"/>
      <c r="P998" s="0" t="n">
        <f aca="true">IF(I998="","",SUMIFS(OrderItems_Qty,OrderItems_Type,"PURCHASE",OrderItems_SKU,I998)-SUMIFS(OrderItems_Qty,OrderItems_Type,"SALE",OrderItems_SKU,I998))</f>
        <v>0</v>
      </c>
    </row>
    <row r="999" customFormat="false" ht="15" hidden="false" customHeight="false" outlineLevel="0" collapsed="false">
      <c r="I999" s="82"/>
      <c r="K999" s="83"/>
      <c r="L999" s="85"/>
      <c r="N999" s="85"/>
      <c r="P999" s="0" t="n">
        <f aca="true">IF(I999="","",SUMIFS(OrderItems_Qty,OrderItems_Type,"PURCHASE",OrderItems_SKU,I999)-SUMIFS(OrderItems_Qty,OrderItems_Type,"SALE",OrderItems_SKU,I999))</f>
        <v>0</v>
      </c>
    </row>
    <row r="1000" customFormat="false" ht="15" hidden="false" customHeight="false" outlineLevel="0" collapsed="false">
      <c r="I1000" s="82"/>
      <c r="K1000" s="83"/>
      <c r="L1000" s="85"/>
      <c r="N1000" s="85"/>
      <c r="P1000" s="0" t="n">
        <f aca="true">IF(I1000="","",SUMIFS(OrderItems_Qty,OrderItems_Type,"PURCHASE",OrderItems_SKU,I1000)-SUMIFS(OrderItems_Qty,OrderItems_Type,"SALE",OrderItems_SKU,I1000))</f>
        <v>0</v>
      </c>
    </row>
    <row r="1001" customFormat="false" ht="18" hidden="false" customHeight="false" outlineLevel="0" collapsed="false">
      <c r="I1001" s="82"/>
      <c r="K1001" s="83"/>
      <c r="L1001" s="85"/>
      <c r="N1001" s="85"/>
    </row>
    <row r="1002" customFormat="false" ht="18" hidden="false" customHeight="false" outlineLevel="0" collapsed="false">
      <c r="I1002" s="82"/>
      <c r="K1002" s="83"/>
      <c r="L1002" s="85"/>
      <c r="N1002" s="85"/>
    </row>
    <row r="1003" customFormat="false" ht="18" hidden="false" customHeight="false" outlineLevel="0" collapsed="false">
      <c r="I1003" s="82"/>
      <c r="K1003" s="83"/>
      <c r="L1003" s="85"/>
      <c r="N1003" s="85"/>
    </row>
    <row r="1004" customFormat="false" ht="18" hidden="false" customHeight="false" outlineLevel="0" collapsed="false">
      <c r="I1004" s="82"/>
      <c r="K1004" s="83"/>
      <c r="L1004" s="85"/>
      <c r="N1004" s="85"/>
    </row>
    <row r="1005" customFormat="false" ht="18" hidden="false" customHeight="false" outlineLevel="0" collapsed="false">
      <c r="I1005" s="82"/>
      <c r="K1005" s="83"/>
      <c r="L1005" s="85"/>
      <c r="N1005" s="85"/>
    </row>
    <row r="1006" customFormat="false" ht="18" hidden="false" customHeight="false" outlineLevel="0" collapsed="false">
      <c r="I1006" s="82"/>
      <c r="K1006" s="83"/>
      <c r="L1006" s="85"/>
      <c r="N1006" s="85"/>
    </row>
    <row r="1007" customFormat="false" ht="18" hidden="false" customHeight="false" outlineLevel="0" collapsed="false">
      <c r="I1007" s="82"/>
      <c r="K1007" s="83"/>
      <c r="L1007" s="85"/>
      <c r="N1007" s="85"/>
    </row>
    <row r="1008" customFormat="false" ht="18" hidden="false" customHeight="false" outlineLevel="0" collapsed="false">
      <c r="I1008" s="82"/>
      <c r="K1008" s="83"/>
      <c r="L1008" s="85"/>
      <c r="N1008" s="85"/>
    </row>
    <row r="1009" customFormat="false" ht="18" hidden="false" customHeight="false" outlineLevel="0" collapsed="false">
      <c r="I1009" s="82"/>
      <c r="K1009" s="83"/>
      <c r="L1009" s="85"/>
      <c r="N1009" s="85"/>
    </row>
    <row r="1010" customFormat="false" ht="18" hidden="false" customHeight="false" outlineLevel="0" collapsed="false">
      <c r="I1010" s="82"/>
      <c r="K1010" s="83"/>
      <c r="L1010" s="85"/>
      <c r="N1010" s="85"/>
    </row>
    <row r="1011" customFormat="false" ht="18" hidden="false" customHeight="false" outlineLevel="0" collapsed="false">
      <c r="I1011" s="82"/>
      <c r="K1011" s="83"/>
      <c r="L1011" s="85"/>
      <c r="N1011" s="85"/>
    </row>
    <row r="1012" customFormat="false" ht="18" hidden="false" customHeight="false" outlineLevel="0" collapsed="false">
      <c r="I1012" s="82"/>
      <c r="K1012" s="83"/>
      <c r="L1012" s="85"/>
      <c r="N1012" s="85"/>
    </row>
    <row r="1013" customFormat="false" ht="18" hidden="false" customHeight="false" outlineLevel="0" collapsed="false">
      <c r="I1013" s="82"/>
      <c r="K1013" s="83"/>
      <c r="L1013" s="85"/>
      <c r="N1013" s="85"/>
    </row>
    <row r="1014" customFormat="false" ht="18" hidden="false" customHeight="false" outlineLevel="0" collapsed="false">
      <c r="I1014" s="82"/>
      <c r="K1014" s="83"/>
      <c r="L1014" s="85"/>
      <c r="N1014" s="85"/>
    </row>
    <row r="1015" customFormat="false" ht="18" hidden="false" customHeight="false" outlineLevel="0" collapsed="false">
      <c r="I1015" s="82"/>
      <c r="K1015" s="83"/>
      <c r="L1015" s="85"/>
      <c r="N1015" s="85"/>
    </row>
    <row r="1016" customFormat="false" ht="18" hidden="false" customHeight="false" outlineLevel="0" collapsed="false">
      <c r="I1016" s="82"/>
      <c r="K1016" s="83"/>
      <c r="L1016" s="85"/>
      <c r="N1016" s="85"/>
    </row>
    <row r="1017" customFormat="false" ht="18" hidden="false" customHeight="false" outlineLevel="0" collapsed="false">
      <c r="I1017" s="82"/>
      <c r="K1017" s="83"/>
      <c r="L1017" s="85"/>
      <c r="N1017" s="85"/>
    </row>
    <row r="1018" customFormat="false" ht="18" hidden="false" customHeight="false" outlineLevel="0" collapsed="false">
      <c r="I1018" s="82"/>
      <c r="K1018" s="83"/>
      <c r="L1018" s="85"/>
      <c r="N1018" s="85"/>
    </row>
    <row r="1019" customFormat="false" ht="18" hidden="false" customHeight="false" outlineLevel="0" collapsed="false">
      <c r="I1019" s="82"/>
      <c r="K1019" s="83"/>
      <c r="L1019" s="85"/>
      <c r="N1019" s="85"/>
    </row>
    <row r="1020" customFormat="false" ht="18" hidden="false" customHeight="false" outlineLevel="0" collapsed="false">
      <c r="I1020" s="82"/>
      <c r="K1020" s="83"/>
      <c r="L1020" s="85"/>
      <c r="N1020" s="85"/>
    </row>
    <row r="1021" customFormat="false" ht="18" hidden="false" customHeight="false" outlineLevel="0" collapsed="false">
      <c r="I1021" s="82"/>
      <c r="K1021" s="83"/>
      <c r="L1021" s="85"/>
      <c r="N1021" s="85"/>
    </row>
    <row r="1022" customFormat="false" ht="18" hidden="false" customHeight="false" outlineLevel="0" collapsed="false">
      <c r="I1022" s="82"/>
      <c r="K1022" s="83"/>
      <c r="L1022" s="85"/>
      <c r="N1022" s="85"/>
    </row>
    <row r="1023" customFormat="false" ht="18" hidden="false" customHeight="false" outlineLevel="0" collapsed="false">
      <c r="I1023" s="82"/>
      <c r="K1023" s="83"/>
      <c r="L1023" s="85"/>
      <c r="N1023" s="85"/>
    </row>
    <row r="1024" customFormat="false" ht="18" hidden="false" customHeight="false" outlineLevel="0" collapsed="false">
      <c r="I1024" s="82"/>
      <c r="K1024" s="83"/>
      <c r="L1024" s="85"/>
      <c r="N1024" s="85"/>
    </row>
    <row r="1025" customFormat="false" ht="18" hidden="false" customHeight="false" outlineLevel="0" collapsed="false">
      <c r="I1025" s="82"/>
      <c r="K1025" s="83"/>
      <c r="L1025" s="85"/>
      <c r="N1025" s="85"/>
    </row>
    <row r="1026" customFormat="false" ht="18" hidden="false" customHeight="false" outlineLevel="0" collapsed="false">
      <c r="I1026" s="82"/>
      <c r="K1026" s="83"/>
      <c r="L1026" s="85"/>
      <c r="N1026" s="85"/>
    </row>
    <row r="1027" customFormat="false" ht="18" hidden="false" customHeight="false" outlineLevel="0" collapsed="false">
      <c r="I1027" s="82"/>
      <c r="K1027" s="83"/>
      <c r="L1027" s="85"/>
      <c r="N1027" s="85"/>
    </row>
    <row r="1028" customFormat="false" ht="18" hidden="false" customHeight="false" outlineLevel="0" collapsed="false">
      <c r="I1028" s="82"/>
      <c r="K1028" s="83"/>
      <c r="L1028" s="85"/>
      <c r="N1028" s="85"/>
    </row>
    <row r="1029" customFormat="false" ht="18" hidden="false" customHeight="false" outlineLevel="0" collapsed="false">
      <c r="I1029" s="82"/>
      <c r="K1029" s="83"/>
      <c r="L1029" s="85"/>
      <c r="N1029" s="85"/>
    </row>
    <row r="1030" customFormat="false" ht="18" hidden="false" customHeight="false" outlineLevel="0" collapsed="false">
      <c r="I1030" s="82"/>
      <c r="K1030" s="83"/>
      <c r="L1030" s="85"/>
      <c r="N1030" s="85"/>
    </row>
    <row r="1031" customFormat="false" ht="18" hidden="false" customHeight="false" outlineLevel="0" collapsed="false">
      <c r="I1031" s="82"/>
      <c r="K1031" s="83"/>
      <c r="L1031" s="85"/>
      <c r="N1031" s="85"/>
    </row>
    <row r="1032" customFormat="false" ht="18" hidden="false" customHeight="false" outlineLevel="0" collapsed="false">
      <c r="I1032" s="82"/>
      <c r="K1032" s="83"/>
      <c r="L1032" s="85"/>
      <c r="N1032" s="85"/>
    </row>
    <row r="1033" customFormat="false" ht="18" hidden="false" customHeight="false" outlineLevel="0" collapsed="false">
      <c r="I1033" s="82"/>
      <c r="K1033" s="83"/>
      <c r="L1033" s="85"/>
      <c r="N1033" s="85"/>
    </row>
    <row r="1034" customFormat="false" ht="18" hidden="false" customHeight="false" outlineLevel="0" collapsed="false">
      <c r="I1034" s="82"/>
      <c r="K1034" s="83"/>
      <c r="L1034" s="85"/>
      <c r="N1034" s="85"/>
    </row>
    <row r="1035" customFormat="false" ht="18" hidden="false" customHeight="false" outlineLevel="0" collapsed="false">
      <c r="I1035" s="82"/>
      <c r="K1035" s="83"/>
      <c r="L1035" s="85"/>
      <c r="N1035" s="85"/>
    </row>
    <row r="1036" customFormat="false" ht="18" hidden="false" customHeight="false" outlineLevel="0" collapsed="false">
      <c r="I1036" s="82"/>
      <c r="K1036" s="83"/>
      <c r="L1036" s="85"/>
      <c r="N1036" s="85"/>
    </row>
    <row r="1037" customFormat="false" ht="18" hidden="false" customHeight="false" outlineLevel="0" collapsed="false">
      <c r="I1037" s="82"/>
      <c r="K1037" s="83"/>
      <c r="L1037" s="85"/>
      <c r="N1037" s="85"/>
    </row>
    <row r="1038" customFormat="false" ht="18" hidden="false" customHeight="false" outlineLevel="0" collapsed="false">
      <c r="I1038" s="82"/>
      <c r="K1038" s="83"/>
      <c r="L1038" s="85"/>
      <c r="N1038" s="85"/>
    </row>
    <row r="1039" customFormat="false" ht="18" hidden="false" customHeight="false" outlineLevel="0" collapsed="false">
      <c r="I1039" s="82"/>
      <c r="K1039" s="83"/>
      <c r="L1039" s="85"/>
      <c r="N1039" s="85"/>
    </row>
    <row r="1040" customFormat="false" ht="18" hidden="false" customHeight="false" outlineLevel="0" collapsed="false">
      <c r="I1040" s="82"/>
      <c r="K1040" s="83"/>
      <c r="L1040" s="85"/>
      <c r="N1040" s="85"/>
    </row>
    <row r="1041" customFormat="false" ht="18" hidden="false" customHeight="false" outlineLevel="0" collapsed="false">
      <c r="I1041" s="82"/>
      <c r="K1041" s="83"/>
      <c r="L1041" s="85"/>
      <c r="N1041" s="85"/>
    </row>
    <row r="1042" customFormat="false" ht="18" hidden="false" customHeight="false" outlineLevel="0" collapsed="false">
      <c r="I1042" s="82"/>
      <c r="K1042" s="83"/>
      <c r="L1042" s="85"/>
      <c r="N1042" s="85"/>
    </row>
    <row r="1043" customFormat="false" ht="18" hidden="false" customHeight="false" outlineLevel="0" collapsed="false">
      <c r="I1043" s="82"/>
      <c r="K1043" s="83"/>
      <c r="L1043" s="85"/>
      <c r="N1043" s="85"/>
    </row>
    <row r="1044" customFormat="false" ht="18" hidden="false" customHeight="false" outlineLevel="0" collapsed="false">
      <c r="I1044" s="82"/>
      <c r="K1044" s="83"/>
      <c r="L1044" s="85"/>
      <c r="N1044" s="85"/>
    </row>
    <row r="1045" customFormat="false" ht="18" hidden="false" customHeight="false" outlineLevel="0" collapsed="false">
      <c r="I1045" s="82"/>
      <c r="K1045" s="83"/>
      <c r="L1045" s="85"/>
      <c r="N1045" s="85"/>
    </row>
    <row r="1046" customFormat="false" ht="18" hidden="false" customHeight="false" outlineLevel="0" collapsed="false">
      <c r="I1046" s="82"/>
      <c r="K1046" s="83"/>
      <c r="L1046" s="85"/>
      <c r="N1046" s="85"/>
    </row>
    <row r="1047" customFormat="false" ht="18" hidden="false" customHeight="false" outlineLevel="0" collapsed="false">
      <c r="I1047" s="82"/>
      <c r="K1047" s="83"/>
      <c r="L1047" s="85"/>
      <c r="N1047" s="85"/>
    </row>
    <row r="1048" customFormat="false" ht="18" hidden="false" customHeight="false" outlineLevel="0" collapsed="false">
      <c r="I1048" s="82"/>
      <c r="K1048" s="83"/>
      <c r="L1048" s="85"/>
      <c r="N1048" s="85"/>
    </row>
    <row r="1049" customFormat="false" ht="18" hidden="false" customHeight="false" outlineLevel="0" collapsed="false">
      <c r="I1049" s="82"/>
      <c r="K1049" s="83"/>
      <c r="L1049" s="85"/>
      <c r="N1049" s="85"/>
    </row>
    <row r="1050" customFormat="false" ht="18" hidden="false" customHeight="false" outlineLevel="0" collapsed="false">
      <c r="I1050" s="82"/>
      <c r="K1050" s="83"/>
      <c r="L1050" s="85"/>
      <c r="N1050" s="85"/>
    </row>
    <row r="1051" customFormat="false" ht="18" hidden="false" customHeight="false" outlineLevel="0" collapsed="false">
      <c r="I1051" s="82"/>
      <c r="K1051" s="83"/>
      <c r="L1051" s="85"/>
      <c r="N1051" s="85"/>
    </row>
    <row r="1052" customFormat="false" ht="18" hidden="false" customHeight="false" outlineLevel="0" collapsed="false">
      <c r="I1052" s="82"/>
      <c r="K1052" s="83"/>
      <c r="L1052" s="85"/>
      <c r="N1052" s="85"/>
    </row>
    <row r="1053" customFormat="false" ht="18" hidden="false" customHeight="false" outlineLevel="0" collapsed="false">
      <c r="I1053" s="82"/>
      <c r="K1053" s="83"/>
      <c r="L1053" s="85"/>
      <c r="N1053" s="85"/>
    </row>
    <row r="1054" customFormat="false" ht="18" hidden="false" customHeight="false" outlineLevel="0" collapsed="false">
      <c r="I1054" s="82"/>
      <c r="K1054" s="83"/>
      <c r="L1054" s="85"/>
      <c r="N1054" s="85"/>
    </row>
    <row r="1055" customFormat="false" ht="18" hidden="false" customHeight="false" outlineLevel="0" collapsed="false">
      <c r="I1055" s="82"/>
      <c r="K1055" s="83"/>
      <c r="L1055" s="85"/>
      <c r="N1055" s="85"/>
    </row>
    <row r="1056" customFormat="false" ht="18" hidden="false" customHeight="false" outlineLevel="0" collapsed="false">
      <c r="I1056" s="82"/>
      <c r="K1056" s="83"/>
      <c r="L1056" s="85"/>
      <c r="N1056" s="85"/>
    </row>
    <row r="1057" customFormat="false" ht="18" hidden="false" customHeight="false" outlineLevel="0" collapsed="false">
      <c r="I1057" s="82"/>
      <c r="K1057" s="83"/>
      <c r="L1057" s="85"/>
      <c r="N1057" s="85"/>
    </row>
    <row r="1058" customFormat="false" ht="18" hidden="false" customHeight="false" outlineLevel="0" collapsed="false">
      <c r="I1058" s="82"/>
      <c r="K1058" s="83"/>
      <c r="L1058" s="85"/>
      <c r="N1058" s="85"/>
    </row>
    <row r="1059" customFormat="false" ht="18" hidden="false" customHeight="false" outlineLevel="0" collapsed="false">
      <c r="I1059" s="82"/>
      <c r="K1059" s="83"/>
      <c r="L1059" s="85"/>
      <c r="N1059" s="85"/>
    </row>
    <row r="1060" customFormat="false" ht="18" hidden="false" customHeight="false" outlineLevel="0" collapsed="false">
      <c r="I1060" s="82"/>
      <c r="K1060" s="83"/>
      <c r="L1060" s="85"/>
      <c r="N1060" s="85"/>
    </row>
    <row r="1061" customFormat="false" ht="18" hidden="false" customHeight="false" outlineLevel="0" collapsed="false">
      <c r="I1061" s="82"/>
      <c r="K1061" s="83"/>
      <c r="L1061" s="85"/>
      <c r="N1061" s="85"/>
    </row>
    <row r="1062" customFormat="false" ht="18" hidden="false" customHeight="false" outlineLevel="0" collapsed="false">
      <c r="I1062" s="82"/>
      <c r="K1062" s="83"/>
      <c r="L1062" s="85"/>
      <c r="N1062" s="85"/>
    </row>
    <row r="1063" customFormat="false" ht="18" hidden="false" customHeight="false" outlineLevel="0" collapsed="false">
      <c r="I1063" s="82"/>
      <c r="K1063" s="83"/>
      <c r="L1063" s="85"/>
      <c r="N1063" s="85"/>
    </row>
    <row r="1064" customFormat="false" ht="18" hidden="false" customHeight="false" outlineLevel="0" collapsed="false">
      <c r="I1064" s="82"/>
      <c r="K1064" s="83"/>
      <c r="L1064" s="85"/>
      <c r="N1064" s="85"/>
    </row>
    <row r="1065" customFormat="false" ht="18" hidden="false" customHeight="false" outlineLevel="0" collapsed="false">
      <c r="I1065" s="82"/>
      <c r="K1065" s="83"/>
      <c r="L1065" s="85"/>
      <c r="N1065" s="85"/>
    </row>
    <row r="1066" customFormat="false" ht="18" hidden="false" customHeight="false" outlineLevel="0" collapsed="false">
      <c r="I1066" s="82"/>
      <c r="K1066" s="83"/>
      <c r="L1066" s="85"/>
      <c r="N1066" s="85"/>
    </row>
    <row r="1067" customFormat="false" ht="18" hidden="false" customHeight="false" outlineLevel="0" collapsed="false">
      <c r="I1067" s="82"/>
      <c r="K1067" s="83"/>
      <c r="L1067" s="85"/>
      <c r="N1067" s="85"/>
    </row>
    <row r="1068" customFormat="false" ht="18" hidden="false" customHeight="false" outlineLevel="0" collapsed="false">
      <c r="I1068" s="82"/>
      <c r="K1068" s="83"/>
      <c r="L1068" s="85"/>
      <c r="N1068" s="85"/>
    </row>
    <row r="1069" customFormat="false" ht="18" hidden="false" customHeight="false" outlineLevel="0" collapsed="false">
      <c r="I1069" s="82"/>
      <c r="K1069" s="83"/>
      <c r="L1069" s="85"/>
      <c r="N1069" s="85"/>
    </row>
    <row r="1070" customFormat="false" ht="18" hidden="false" customHeight="false" outlineLevel="0" collapsed="false">
      <c r="I1070" s="82"/>
      <c r="K1070" s="83"/>
      <c r="L1070" s="85"/>
      <c r="N1070" s="85"/>
    </row>
    <row r="1071" customFormat="false" ht="18" hidden="false" customHeight="false" outlineLevel="0" collapsed="false">
      <c r="I1071" s="82"/>
      <c r="K1071" s="83"/>
      <c r="L1071" s="85"/>
      <c r="N1071" s="85"/>
    </row>
    <row r="1072" customFormat="false" ht="18" hidden="false" customHeight="false" outlineLevel="0" collapsed="false">
      <c r="I1072" s="82"/>
      <c r="K1072" s="83"/>
      <c r="L1072" s="85"/>
      <c r="N1072" s="85"/>
    </row>
    <row r="1073" customFormat="false" ht="18" hidden="false" customHeight="false" outlineLevel="0" collapsed="false">
      <c r="I1073" s="82"/>
      <c r="K1073" s="83"/>
      <c r="L1073" s="85"/>
      <c r="N1073" s="85"/>
    </row>
    <row r="1074" customFormat="false" ht="18" hidden="false" customHeight="false" outlineLevel="0" collapsed="false">
      <c r="I1074" s="82"/>
      <c r="K1074" s="83"/>
      <c r="L1074" s="85"/>
      <c r="N1074" s="85"/>
    </row>
    <row r="1075" customFormat="false" ht="18" hidden="false" customHeight="false" outlineLevel="0" collapsed="false">
      <c r="I1075" s="82"/>
      <c r="K1075" s="83"/>
      <c r="L1075" s="85"/>
      <c r="N1075" s="85"/>
    </row>
    <row r="1076" customFormat="false" ht="18" hidden="false" customHeight="false" outlineLevel="0" collapsed="false">
      <c r="I1076" s="82"/>
      <c r="K1076" s="83"/>
      <c r="L1076" s="85"/>
      <c r="N1076" s="85"/>
    </row>
    <row r="1077" customFormat="false" ht="18" hidden="false" customHeight="false" outlineLevel="0" collapsed="false">
      <c r="I1077" s="82"/>
      <c r="K1077" s="83"/>
      <c r="L1077" s="85"/>
      <c r="N1077" s="85"/>
    </row>
    <row r="1078" customFormat="false" ht="18" hidden="false" customHeight="false" outlineLevel="0" collapsed="false">
      <c r="I1078" s="82"/>
      <c r="K1078" s="83"/>
      <c r="L1078" s="85"/>
      <c r="N1078" s="85"/>
    </row>
    <row r="1079" customFormat="false" ht="18" hidden="false" customHeight="false" outlineLevel="0" collapsed="false">
      <c r="I1079" s="82"/>
      <c r="K1079" s="83"/>
      <c r="L1079" s="85"/>
      <c r="N1079" s="85"/>
    </row>
    <row r="1080" customFormat="false" ht="18" hidden="false" customHeight="false" outlineLevel="0" collapsed="false">
      <c r="I1080" s="82"/>
      <c r="K1080" s="83"/>
      <c r="L1080" s="85"/>
      <c r="N1080" s="85"/>
    </row>
    <row r="1081" customFormat="false" ht="18" hidden="false" customHeight="false" outlineLevel="0" collapsed="false">
      <c r="I1081" s="82"/>
      <c r="K1081" s="83"/>
      <c r="L1081" s="85"/>
      <c r="N1081" s="85"/>
    </row>
    <row r="1082" customFormat="false" ht="18" hidden="false" customHeight="false" outlineLevel="0" collapsed="false">
      <c r="I1082" s="82"/>
      <c r="K1082" s="83"/>
      <c r="L1082" s="85"/>
      <c r="N1082" s="85"/>
    </row>
    <row r="1083" customFormat="false" ht="18" hidden="false" customHeight="false" outlineLevel="0" collapsed="false">
      <c r="I1083" s="82"/>
      <c r="K1083" s="83"/>
      <c r="L1083" s="85"/>
      <c r="N1083" s="85"/>
    </row>
    <row r="1084" customFormat="false" ht="18" hidden="false" customHeight="false" outlineLevel="0" collapsed="false">
      <c r="I1084" s="82"/>
      <c r="K1084" s="83"/>
      <c r="L1084" s="85"/>
      <c r="N1084" s="85"/>
    </row>
    <row r="1085" customFormat="false" ht="18" hidden="false" customHeight="false" outlineLevel="0" collapsed="false">
      <c r="I1085" s="82"/>
      <c r="K1085" s="83"/>
      <c r="L1085" s="85"/>
      <c r="N1085" s="85"/>
    </row>
    <row r="1086" customFormat="false" ht="18" hidden="false" customHeight="false" outlineLevel="0" collapsed="false">
      <c r="I1086" s="82"/>
      <c r="K1086" s="83"/>
      <c r="L1086" s="85"/>
      <c r="N1086" s="85"/>
    </row>
    <row r="1087" customFormat="false" ht="18" hidden="false" customHeight="false" outlineLevel="0" collapsed="false">
      <c r="I1087" s="82"/>
      <c r="K1087" s="83"/>
      <c r="L1087" s="85"/>
      <c r="N1087" s="85"/>
    </row>
    <row r="1088" customFormat="false" ht="18" hidden="false" customHeight="false" outlineLevel="0" collapsed="false">
      <c r="I1088" s="82"/>
      <c r="K1088" s="83"/>
      <c r="L1088" s="85"/>
      <c r="N1088" s="85"/>
    </row>
    <row r="1089" customFormat="false" ht="18" hidden="false" customHeight="false" outlineLevel="0" collapsed="false">
      <c r="I1089" s="82"/>
      <c r="K1089" s="83"/>
      <c r="L1089" s="85"/>
      <c r="N1089" s="85"/>
    </row>
    <row r="1090" customFormat="false" ht="18" hidden="false" customHeight="false" outlineLevel="0" collapsed="false">
      <c r="I1090" s="82"/>
      <c r="K1090" s="83"/>
      <c r="L1090" s="85"/>
      <c r="N1090" s="85"/>
    </row>
    <row r="1091" customFormat="false" ht="18" hidden="false" customHeight="false" outlineLevel="0" collapsed="false">
      <c r="I1091" s="82"/>
      <c r="K1091" s="83"/>
      <c r="L1091" s="85"/>
      <c r="N1091" s="85"/>
    </row>
    <row r="1092" customFormat="false" ht="18" hidden="false" customHeight="false" outlineLevel="0" collapsed="false">
      <c r="I1092" s="82"/>
      <c r="K1092" s="83"/>
      <c r="L1092" s="85"/>
      <c r="N1092" s="85"/>
    </row>
    <row r="1093" customFormat="false" ht="18" hidden="false" customHeight="false" outlineLevel="0" collapsed="false">
      <c r="I1093" s="82"/>
      <c r="K1093" s="83"/>
      <c r="L1093" s="85"/>
      <c r="N1093" s="85"/>
    </row>
    <row r="1094" customFormat="false" ht="18" hidden="false" customHeight="false" outlineLevel="0" collapsed="false">
      <c r="I1094" s="82"/>
      <c r="K1094" s="83"/>
      <c r="L1094" s="85"/>
      <c r="N1094" s="85"/>
    </row>
    <row r="1095" customFormat="false" ht="18" hidden="false" customHeight="false" outlineLevel="0" collapsed="false">
      <c r="I1095" s="82"/>
      <c r="K1095" s="83"/>
      <c r="L1095" s="85"/>
      <c r="N1095" s="85"/>
    </row>
    <row r="1096" customFormat="false" ht="18" hidden="false" customHeight="false" outlineLevel="0" collapsed="false">
      <c r="I1096" s="82"/>
      <c r="K1096" s="83"/>
      <c r="L1096" s="85"/>
      <c r="N1096" s="85"/>
    </row>
    <row r="1097" customFormat="false" ht="18" hidden="false" customHeight="false" outlineLevel="0" collapsed="false">
      <c r="I1097" s="82"/>
      <c r="K1097" s="83"/>
      <c r="L1097" s="85"/>
      <c r="N1097" s="85"/>
    </row>
    <row r="1098" customFormat="false" ht="18" hidden="false" customHeight="false" outlineLevel="0" collapsed="false">
      <c r="I1098" s="82"/>
      <c r="K1098" s="83"/>
      <c r="L1098" s="85"/>
      <c r="N1098" s="85"/>
    </row>
    <row r="1099" customFormat="false" ht="18" hidden="false" customHeight="false" outlineLevel="0" collapsed="false">
      <c r="I1099" s="82"/>
      <c r="K1099" s="83"/>
      <c r="L1099" s="85"/>
      <c r="N1099" s="85"/>
    </row>
    <row r="1100" customFormat="false" ht="18" hidden="false" customHeight="false" outlineLevel="0" collapsed="false">
      <c r="I1100" s="82"/>
      <c r="K1100" s="83"/>
      <c r="L1100" s="85"/>
      <c r="N1100" s="85"/>
    </row>
    <row r="1101" customFormat="false" ht="18" hidden="false" customHeight="false" outlineLevel="0" collapsed="false">
      <c r="I1101" s="82"/>
      <c r="K1101" s="83"/>
      <c r="L1101" s="85"/>
      <c r="N1101" s="85"/>
    </row>
    <row r="1102" customFormat="false" ht="18" hidden="false" customHeight="false" outlineLevel="0" collapsed="false">
      <c r="I1102" s="82"/>
      <c r="K1102" s="83"/>
      <c r="L1102" s="85"/>
      <c r="N1102" s="85"/>
    </row>
    <row r="1103" customFormat="false" ht="18" hidden="false" customHeight="false" outlineLevel="0" collapsed="false">
      <c r="I1103" s="82"/>
      <c r="K1103" s="83"/>
      <c r="L1103" s="85"/>
      <c r="N1103" s="85"/>
    </row>
    <row r="1104" customFormat="false" ht="18" hidden="false" customHeight="false" outlineLevel="0" collapsed="false">
      <c r="I1104" s="82"/>
      <c r="K1104" s="83"/>
      <c r="L1104" s="85"/>
      <c r="N1104" s="85"/>
    </row>
    <row r="1105" customFormat="false" ht="18" hidden="false" customHeight="false" outlineLevel="0" collapsed="false">
      <c r="I1105" s="82"/>
      <c r="K1105" s="83"/>
      <c r="L1105" s="85"/>
      <c r="N1105" s="85"/>
    </row>
    <row r="1106" customFormat="false" ht="18" hidden="false" customHeight="false" outlineLevel="0" collapsed="false">
      <c r="I1106" s="82"/>
      <c r="K1106" s="83"/>
      <c r="L1106" s="85"/>
      <c r="N1106" s="85"/>
    </row>
    <row r="1107" customFormat="false" ht="18" hidden="false" customHeight="false" outlineLevel="0" collapsed="false">
      <c r="I1107" s="82"/>
      <c r="K1107" s="83"/>
      <c r="L1107" s="85"/>
      <c r="N1107" s="85"/>
    </row>
    <row r="1108" customFormat="false" ht="18" hidden="false" customHeight="false" outlineLevel="0" collapsed="false">
      <c r="I1108" s="82"/>
      <c r="K1108" s="83"/>
      <c r="L1108" s="85"/>
      <c r="N1108" s="85"/>
    </row>
    <row r="1109" customFormat="false" ht="18" hidden="false" customHeight="false" outlineLevel="0" collapsed="false">
      <c r="I1109" s="82"/>
      <c r="K1109" s="83"/>
      <c r="L1109" s="85"/>
      <c r="N1109" s="85"/>
    </row>
    <row r="1110" customFormat="false" ht="18" hidden="false" customHeight="false" outlineLevel="0" collapsed="false">
      <c r="I1110" s="82"/>
      <c r="K1110" s="83"/>
      <c r="L1110" s="85"/>
      <c r="N1110" s="85"/>
    </row>
    <row r="1111" customFormat="false" ht="18" hidden="false" customHeight="false" outlineLevel="0" collapsed="false">
      <c r="I1111" s="82"/>
      <c r="K1111" s="83"/>
      <c r="L1111" s="85"/>
      <c r="N1111" s="85"/>
    </row>
    <row r="1112" customFormat="false" ht="18" hidden="false" customHeight="false" outlineLevel="0" collapsed="false">
      <c r="I1112" s="82"/>
      <c r="K1112" s="83"/>
      <c r="L1112" s="85"/>
      <c r="N1112" s="85"/>
    </row>
    <row r="1113" customFormat="false" ht="18" hidden="false" customHeight="false" outlineLevel="0" collapsed="false">
      <c r="I1113" s="82"/>
      <c r="K1113" s="83"/>
      <c r="L1113" s="85"/>
      <c r="N1113" s="85"/>
    </row>
    <row r="1114" customFormat="false" ht="18" hidden="false" customHeight="false" outlineLevel="0" collapsed="false">
      <c r="I1114" s="82"/>
      <c r="K1114" s="83"/>
      <c r="L1114" s="85"/>
      <c r="N1114" s="85"/>
    </row>
    <row r="1115" customFormat="false" ht="18" hidden="false" customHeight="false" outlineLevel="0" collapsed="false">
      <c r="I1115" s="82"/>
      <c r="K1115" s="83"/>
      <c r="L1115" s="85"/>
      <c r="N1115" s="85"/>
    </row>
    <row r="1116" customFormat="false" ht="18" hidden="false" customHeight="false" outlineLevel="0" collapsed="false">
      <c r="I1116" s="82"/>
      <c r="K1116" s="83"/>
      <c r="L1116" s="85"/>
      <c r="N1116" s="85"/>
    </row>
    <row r="1117" customFormat="false" ht="18" hidden="false" customHeight="false" outlineLevel="0" collapsed="false">
      <c r="I1117" s="82"/>
      <c r="K1117" s="83"/>
      <c r="L1117" s="85"/>
      <c r="N1117" s="85"/>
    </row>
    <row r="1118" customFormat="false" ht="18" hidden="false" customHeight="false" outlineLevel="0" collapsed="false">
      <c r="I1118" s="82"/>
      <c r="K1118" s="83"/>
      <c r="L1118" s="85"/>
      <c r="N1118" s="85"/>
    </row>
    <row r="1119" customFormat="false" ht="18" hidden="false" customHeight="false" outlineLevel="0" collapsed="false">
      <c r="I1119" s="82"/>
      <c r="K1119" s="83"/>
      <c r="L1119" s="85"/>
      <c r="N1119" s="85"/>
    </row>
    <row r="1120" customFormat="false" ht="18" hidden="false" customHeight="false" outlineLevel="0" collapsed="false">
      <c r="I1120" s="82"/>
      <c r="K1120" s="83"/>
      <c r="L1120" s="85"/>
      <c r="N1120" s="85"/>
    </row>
    <row r="1121" customFormat="false" ht="18" hidden="false" customHeight="false" outlineLevel="0" collapsed="false">
      <c r="I1121" s="82"/>
      <c r="K1121" s="83"/>
      <c r="L1121" s="85"/>
      <c r="N1121" s="85"/>
    </row>
    <row r="1122" customFormat="false" ht="18" hidden="false" customHeight="false" outlineLevel="0" collapsed="false">
      <c r="I1122" s="82"/>
      <c r="K1122" s="83"/>
      <c r="L1122" s="85"/>
      <c r="N1122" s="85"/>
    </row>
    <row r="1123" customFormat="false" ht="18" hidden="false" customHeight="false" outlineLevel="0" collapsed="false">
      <c r="I1123" s="82"/>
      <c r="K1123" s="83"/>
      <c r="L1123" s="85"/>
      <c r="N1123" s="85"/>
    </row>
    <row r="1124" customFormat="false" ht="18" hidden="false" customHeight="false" outlineLevel="0" collapsed="false">
      <c r="I1124" s="82"/>
      <c r="K1124" s="83"/>
      <c r="L1124" s="85"/>
      <c r="N1124" s="85"/>
    </row>
    <row r="1125" customFormat="false" ht="18" hidden="false" customHeight="false" outlineLevel="0" collapsed="false">
      <c r="I1125" s="82"/>
      <c r="K1125" s="83"/>
      <c r="L1125" s="85"/>
      <c r="N1125" s="85"/>
    </row>
    <row r="1126" customFormat="false" ht="18" hidden="false" customHeight="false" outlineLevel="0" collapsed="false">
      <c r="I1126" s="82"/>
      <c r="K1126" s="83"/>
      <c r="L1126" s="85"/>
      <c r="N1126" s="85"/>
    </row>
    <row r="1127" customFormat="false" ht="18" hidden="false" customHeight="false" outlineLevel="0" collapsed="false">
      <c r="I1127" s="82"/>
      <c r="K1127" s="83"/>
      <c r="L1127" s="85"/>
      <c r="N1127" s="85"/>
    </row>
    <row r="1128" customFormat="false" ht="18" hidden="false" customHeight="false" outlineLevel="0" collapsed="false">
      <c r="I1128" s="82"/>
      <c r="K1128" s="83"/>
      <c r="L1128" s="85"/>
      <c r="N1128" s="85"/>
    </row>
    <row r="1129" customFormat="false" ht="18" hidden="false" customHeight="false" outlineLevel="0" collapsed="false">
      <c r="I1129" s="82"/>
      <c r="K1129" s="83"/>
      <c r="L1129" s="85"/>
      <c r="N1129" s="85"/>
    </row>
    <row r="1130" customFormat="false" ht="18" hidden="false" customHeight="false" outlineLevel="0" collapsed="false">
      <c r="I1130" s="82"/>
      <c r="K1130" s="83"/>
      <c r="L1130" s="85"/>
      <c r="N1130" s="85"/>
    </row>
    <row r="1131" customFormat="false" ht="18" hidden="false" customHeight="false" outlineLevel="0" collapsed="false">
      <c r="I1131" s="82"/>
      <c r="K1131" s="83"/>
      <c r="L1131" s="85"/>
      <c r="N1131" s="85"/>
    </row>
    <row r="1132" customFormat="false" ht="18" hidden="false" customHeight="false" outlineLevel="0" collapsed="false">
      <c r="I1132" s="82"/>
      <c r="K1132" s="83"/>
      <c r="L1132" s="85"/>
      <c r="N1132" s="85"/>
    </row>
    <row r="1133" customFormat="false" ht="18" hidden="false" customHeight="false" outlineLevel="0" collapsed="false">
      <c r="I1133" s="82"/>
      <c r="K1133" s="83"/>
      <c r="L1133" s="85"/>
      <c r="N1133" s="85"/>
    </row>
    <row r="1134" customFormat="false" ht="18" hidden="false" customHeight="false" outlineLevel="0" collapsed="false">
      <c r="I1134" s="82"/>
      <c r="K1134" s="83"/>
      <c r="L1134" s="85"/>
      <c r="N1134" s="85"/>
    </row>
    <row r="1135" customFormat="false" ht="18" hidden="false" customHeight="false" outlineLevel="0" collapsed="false">
      <c r="I1135" s="82"/>
      <c r="K1135" s="83"/>
      <c r="L1135" s="85"/>
      <c r="N1135" s="85"/>
    </row>
    <row r="1136" customFormat="false" ht="18" hidden="false" customHeight="false" outlineLevel="0" collapsed="false">
      <c r="I1136" s="82"/>
      <c r="K1136" s="83"/>
      <c r="L1136" s="85"/>
      <c r="N1136" s="85"/>
    </row>
    <row r="1137" customFormat="false" ht="18" hidden="false" customHeight="false" outlineLevel="0" collapsed="false">
      <c r="I1137" s="82"/>
      <c r="K1137" s="83"/>
      <c r="L1137" s="85"/>
      <c r="N1137" s="85"/>
    </row>
    <row r="1138" customFormat="false" ht="18" hidden="false" customHeight="false" outlineLevel="0" collapsed="false">
      <c r="I1138" s="82"/>
      <c r="K1138" s="83"/>
      <c r="L1138" s="85"/>
      <c r="N1138" s="85"/>
    </row>
    <row r="1139" customFormat="false" ht="18" hidden="false" customHeight="false" outlineLevel="0" collapsed="false">
      <c r="I1139" s="82"/>
      <c r="K1139" s="83"/>
      <c r="L1139" s="85"/>
      <c r="N1139" s="85"/>
    </row>
    <row r="1140" customFormat="false" ht="18" hidden="false" customHeight="false" outlineLevel="0" collapsed="false">
      <c r="I1140" s="82"/>
      <c r="K1140" s="83"/>
      <c r="L1140" s="85"/>
      <c r="N1140" s="85"/>
    </row>
    <row r="1141" customFormat="false" ht="18" hidden="false" customHeight="false" outlineLevel="0" collapsed="false">
      <c r="I1141" s="82"/>
      <c r="K1141" s="83"/>
      <c r="L1141" s="85"/>
      <c r="N1141" s="85"/>
    </row>
    <row r="1142" customFormat="false" ht="18" hidden="false" customHeight="false" outlineLevel="0" collapsed="false">
      <c r="I1142" s="82"/>
      <c r="K1142" s="83"/>
      <c r="L1142" s="85"/>
      <c r="N1142" s="85"/>
    </row>
    <row r="1143" customFormat="false" ht="18" hidden="false" customHeight="false" outlineLevel="0" collapsed="false">
      <c r="I1143" s="82"/>
      <c r="K1143" s="83"/>
      <c r="L1143" s="85"/>
      <c r="N1143" s="85"/>
    </row>
    <row r="1144" customFormat="false" ht="18" hidden="false" customHeight="false" outlineLevel="0" collapsed="false">
      <c r="I1144" s="82"/>
      <c r="K1144" s="83"/>
      <c r="L1144" s="85"/>
      <c r="N1144" s="85"/>
    </row>
    <row r="1145" customFormat="false" ht="18" hidden="false" customHeight="false" outlineLevel="0" collapsed="false">
      <c r="I1145" s="82"/>
      <c r="K1145" s="83"/>
      <c r="L1145" s="85"/>
      <c r="N1145" s="85"/>
    </row>
    <row r="1146" customFormat="false" ht="18" hidden="false" customHeight="false" outlineLevel="0" collapsed="false">
      <c r="I1146" s="82"/>
      <c r="K1146" s="83"/>
      <c r="L1146" s="85"/>
      <c r="N1146" s="85"/>
    </row>
    <row r="1147" customFormat="false" ht="18" hidden="false" customHeight="false" outlineLevel="0" collapsed="false">
      <c r="I1147" s="82"/>
      <c r="K1147" s="83"/>
      <c r="L1147" s="85"/>
      <c r="N1147" s="85"/>
    </row>
    <row r="1148" customFormat="false" ht="18" hidden="false" customHeight="false" outlineLevel="0" collapsed="false">
      <c r="I1148" s="82"/>
      <c r="K1148" s="83"/>
      <c r="L1148" s="85"/>
      <c r="N1148" s="85"/>
    </row>
    <row r="1149" customFormat="false" ht="18" hidden="false" customHeight="false" outlineLevel="0" collapsed="false">
      <c r="I1149" s="82"/>
      <c r="K1149" s="83"/>
      <c r="L1149" s="85"/>
      <c r="N1149" s="85"/>
    </row>
    <row r="1150" customFormat="false" ht="18" hidden="false" customHeight="false" outlineLevel="0" collapsed="false">
      <c r="I1150" s="82"/>
      <c r="K1150" s="83"/>
      <c r="L1150" s="85"/>
      <c r="N1150" s="85"/>
    </row>
    <row r="1151" customFormat="false" ht="18" hidden="false" customHeight="false" outlineLevel="0" collapsed="false">
      <c r="I1151" s="82"/>
      <c r="K1151" s="83"/>
      <c r="L1151" s="85"/>
      <c r="N1151" s="85"/>
    </row>
    <row r="1152" customFormat="false" ht="18" hidden="false" customHeight="false" outlineLevel="0" collapsed="false">
      <c r="I1152" s="82"/>
      <c r="K1152" s="83"/>
      <c r="L1152" s="85"/>
      <c r="N1152" s="85"/>
    </row>
    <row r="1153" customFormat="false" ht="18" hidden="false" customHeight="false" outlineLevel="0" collapsed="false">
      <c r="I1153" s="82"/>
      <c r="L1153" s="85"/>
      <c r="N1153" s="85"/>
    </row>
    <row r="1154" customFormat="false" ht="18" hidden="false" customHeight="false" outlineLevel="0" collapsed="false">
      <c r="I1154" s="82"/>
      <c r="L1154" s="85"/>
      <c r="N1154" s="85"/>
    </row>
    <row r="1155" customFormat="false" ht="18" hidden="false" customHeight="false" outlineLevel="0" collapsed="false">
      <c r="I1155" s="82"/>
      <c r="L1155" s="85"/>
      <c r="N1155" s="85"/>
    </row>
    <row r="1156" customFormat="false" ht="18" hidden="false" customHeight="false" outlineLevel="0" collapsed="false">
      <c r="I1156" s="82"/>
      <c r="L1156" s="85"/>
      <c r="N1156" s="85"/>
    </row>
    <row r="1157" customFormat="false" ht="18" hidden="false" customHeight="false" outlineLevel="0" collapsed="false">
      <c r="I1157" s="82"/>
      <c r="L1157" s="85"/>
      <c r="N1157" s="85"/>
    </row>
    <row r="1158" customFormat="false" ht="18" hidden="false" customHeight="false" outlineLevel="0" collapsed="false">
      <c r="I1158" s="82"/>
      <c r="L1158" s="85"/>
      <c r="N1158" s="85"/>
    </row>
    <row r="1159" customFormat="false" ht="18" hidden="false" customHeight="false" outlineLevel="0" collapsed="false">
      <c r="I1159" s="82"/>
      <c r="L1159" s="85"/>
      <c r="N1159" s="85"/>
    </row>
    <row r="1160" customFormat="false" ht="18" hidden="false" customHeight="false" outlineLevel="0" collapsed="false">
      <c r="I1160" s="82"/>
      <c r="L1160" s="85"/>
      <c r="N1160" s="85"/>
    </row>
    <row r="1161" customFormat="false" ht="18" hidden="false" customHeight="false" outlineLevel="0" collapsed="false">
      <c r="I1161" s="82"/>
      <c r="L1161" s="85"/>
      <c r="N1161" s="85"/>
    </row>
    <row r="1162" customFormat="false" ht="18" hidden="false" customHeight="false" outlineLevel="0" collapsed="false">
      <c r="I1162" s="82"/>
      <c r="L1162" s="85"/>
      <c r="N1162" s="85"/>
    </row>
    <row r="1163" customFormat="false" ht="18" hidden="false" customHeight="false" outlineLevel="0" collapsed="false">
      <c r="I1163" s="82"/>
      <c r="L1163" s="85"/>
      <c r="N1163" s="85"/>
    </row>
    <row r="1164" customFormat="false" ht="18" hidden="false" customHeight="false" outlineLevel="0" collapsed="false">
      <c r="I1164" s="82"/>
      <c r="L1164" s="85"/>
      <c r="N1164" s="85"/>
    </row>
    <row r="1165" customFormat="false" ht="18" hidden="false" customHeight="false" outlineLevel="0" collapsed="false">
      <c r="I1165" s="82"/>
      <c r="L1165" s="85"/>
      <c r="N1165" s="85"/>
    </row>
    <row r="1166" customFormat="false" ht="18" hidden="false" customHeight="false" outlineLevel="0" collapsed="false">
      <c r="I1166" s="82"/>
      <c r="L1166" s="85"/>
      <c r="N1166" s="85"/>
    </row>
    <row r="1167" customFormat="false" ht="18" hidden="false" customHeight="false" outlineLevel="0" collapsed="false">
      <c r="I1167" s="82"/>
      <c r="L1167" s="85"/>
      <c r="N1167" s="85"/>
    </row>
    <row r="1168" customFormat="false" ht="18" hidden="false" customHeight="false" outlineLevel="0" collapsed="false">
      <c r="I1168" s="82"/>
      <c r="L1168" s="85"/>
      <c r="N1168" s="85"/>
    </row>
    <row r="1169" customFormat="false" ht="18" hidden="false" customHeight="false" outlineLevel="0" collapsed="false">
      <c r="I1169" s="82"/>
      <c r="L1169" s="85"/>
      <c r="N1169" s="85"/>
    </row>
    <row r="1170" customFormat="false" ht="18" hidden="false" customHeight="false" outlineLevel="0" collapsed="false">
      <c r="I1170" s="82"/>
      <c r="L1170" s="85"/>
      <c r="N1170" s="85"/>
    </row>
    <row r="1171" customFormat="false" ht="18" hidden="false" customHeight="false" outlineLevel="0" collapsed="false">
      <c r="I1171" s="82"/>
      <c r="L1171" s="85"/>
      <c r="N1171" s="85"/>
    </row>
    <row r="1172" customFormat="false" ht="18" hidden="false" customHeight="false" outlineLevel="0" collapsed="false">
      <c r="I1172" s="82"/>
      <c r="L1172" s="85"/>
      <c r="N1172" s="85"/>
    </row>
    <row r="1173" customFormat="false" ht="18" hidden="false" customHeight="false" outlineLevel="0" collapsed="false">
      <c r="I1173" s="82"/>
      <c r="L1173" s="85"/>
      <c r="N1173" s="85"/>
    </row>
    <row r="1174" customFormat="false" ht="18" hidden="false" customHeight="false" outlineLevel="0" collapsed="false">
      <c r="I1174" s="82"/>
      <c r="L1174" s="85"/>
      <c r="N1174" s="85"/>
    </row>
    <row r="1175" customFormat="false" ht="18" hidden="false" customHeight="false" outlineLevel="0" collapsed="false">
      <c r="I1175" s="82"/>
      <c r="L1175" s="85"/>
      <c r="N1175" s="85"/>
    </row>
    <row r="1176" customFormat="false" ht="18" hidden="false" customHeight="false" outlineLevel="0" collapsed="false">
      <c r="I1176" s="82"/>
      <c r="L1176" s="85"/>
      <c r="N1176" s="85"/>
    </row>
    <row r="1177" customFormat="false" ht="18" hidden="false" customHeight="false" outlineLevel="0" collapsed="false">
      <c r="I1177" s="82"/>
      <c r="L1177" s="85"/>
      <c r="N1177" s="85"/>
    </row>
    <row r="1178" customFormat="false" ht="18" hidden="false" customHeight="false" outlineLevel="0" collapsed="false">
      <c r="I1178" s="82"/>
      <c r="L1178" s="85"/>
      <c r="N1178" s="85"/>
    </row>
    <row r="1179" customFormat="false" ht="18" hidden="false" customHeight="false" outlineLevel="0" collapsed="false">
      <c r="I1179" s="82"/>
      <c r="L1179" s="85"/>
      <c r="N1179" s="85"/>
    </row>
    <row r="1180" customFormat="false" ht="18" hidden="false" customHeight="false" outlineLevel="0" collapsed="false">
      <c r="I1180" s="82"/>
      <c r="L1180" s="85"/>
      <c r="N1180" s="85"/>
    </row>
    <row r="1181" customFormat="false" ht="18" hidden="false" customHeight="false" outlineLevel="0" collapsed="false">
      <c r="I1181" s="82"/>
      <c r="L1181" s="85"/>
      <c r="N1181" s="85"/>
    </row>
    <row r="1182" customFormat="false" ht="18" hidden="false" customHeight="false" outlineLevel="0" collapsed="false">
      <c r="I1182" s="82"/>
      <c r="L1182" s="85"/>
      <c r="N1182" s="85"/>
    </row>
    <row r="1183" customFormat="false" ht="18" hidden="false" customHeight="false" outlineLevel="0" collapsed="false">
      <c r="I1183" s="82"/>
      <c r="L1183" s="85"/>
      <c r="N1183" s="85"/>
    </row>
    <row r="1184" customFormat="false" ht="18" hidden="false" customHeight="false" outlineLevel="0" collapsed="false">
      <c r="I1184" s="82"/>
      <c r="L1184" s="85"/>
      <c r="N1184" s="85"/>
    </row>
    <row r="1185" customFormat="false" ht="18" hidden="false" customHeight="false" outlineLevel="0" collapsed="false">
      <c r="I1185" s="82"/>
      <c r="L1185" s="85"/>
      <c r="N1185" s="85"/>
    </row>
    <row r="1186" customFormat="false" ht="18" hidden="false" customHeight="false" outlineLevel="0" collapsed="false">
      <c r="I1186" s="82"/>
      <c r="L1186" s="85"/>
      <c r="N1186" s="85"/>
    </row>
    <row r="1187" customFormat="false" ht="18" hidden="false" customHeight="false" outlineLevel="0" collapsed="false">
      <c r="I1187" s="82"/>
      <c r="L1187" s="85"/>
      <c r="N1187" s="85"/>
    </row>
    <row r="1188" customFormat="false" ht="18" hidden="false" customHeight="false" outlineLevel="0" collapsed="false">
      <c r="I1188" s="82"/>
      <c r="L1188" s="85"/>
      <c r="N1188" s="85"/>
    </row>
    <row r="1189" customFormat="false" ht="18" hidden="false" customHeight="false" outlineLevel="0" collapsed="false">
      <c r="I1189" s="82"/>
      <c r="L1189" s="85"/>
      <c r="N1189" s="85"/>
    </row>
    <row r="1190" customFormat="false" ht="18" hidden="false" customHeight="false" outlineLevel="0" collapsed="false">
      <c r="I1190" s="82"/>
      <c r="L1190" s="85"/>
      <c r="N1190" s="85"/>
    </row>
    <row r="1191" customFormat="false" ht="18" hidden="false" customHeight="false" outlineLevel="0" collapsed="false">
      <c r="I1191" s="82"/>
      <c r="L1191" s="85"/>
      <c r="N1191" s="85"/>
    </row>
    <row r="1192" customFormat="false" ht="18" hidden="false" customHeight="false" outlineLevel="0" collapsed="false">
      <c r="I1192" s="82"/>
      <c r="L1192" s="85"/>
      <c r="N1192" s="85"/>
    </row>
    <row r="1193" customFormat="false" ht="18" hidden="false" customHeight="false" outlineLevel="0" collapsed="false">
      <c r="I1193" s="82"/>
      <c r="L1193" s="85"/>
      <c r="N1193" s="85"/>
    </row>
    <row r="1194" customFormat="false" ht="18" hidden="false" customHeight="false" outlineLevel="0" collapsed="false">
      <c r="I1194" s="82"/>
      <c r="L1194" s="85"/>
      <c r="N1194" s="85"/>
    </row>
    <row r="1195" customFormat="false" ht="18" hidden="false" customHeight="false" outlineLevel="0" collapsed="false">
      <c r="I1195" s="82"/>
      <c r="L1195" s="85"/>
      <c r="N1195" s="85"/>
    </row>
    <row r="1196" customFormat="false" ht="18" hidden="false" customHeight="false" outlineLevel="0" collapsed="false">
      <c r="I1196" s="82"/>
      <c r="L1196" s="85"/>
      <c r="N1196" s="85"/>
    </row>
    <row r="1197" customFormat="false" ht="18" hidden="false" customHeight="false" outlineLevel="0" collapsed="false">
      <c r="I1197" s="82"/>
      <c r="L1197" s="85"/>
      <c r="N1197" s="85"/>
    </row>
    <row r="1198" customFormat="false" ht="18" hidden="false" customHeight="false" outlineLevel="0" collapsed="false">
      <c r="I1198" s="82"/>
      <c r="L1198" s="85"/>
      <c r="N1198" s="85"/>
    </row>
    <row r="1199" customFormat="false" ht="18" hidden="false" customHeight="false" outlineLevel="0" collapsed="false">
      <c r="I1199" s="82"/>
      <c r="L1199" s="85"/>
      <c r="N1199" s="85"/>
    </row>
    <row r="1200" customFormat="false" ht="18" hidden="false" customHeight="false" outlineLevel="0" collapsed="false">
      <c r="I1200" s="82"/>
      <c r="L1200" s="85"/>
      <c r="N1200" s="85"/>
    </row>
    <row r="1201" customFormat="false" ht="18" hidden="false" customHeight="false" outlineLevel="0" collapsed="false">
      <c r="I1201" s="82"/>
      <c r="L1201" s="85"/>
      <c r="N1201" s="85"/>
    </row>
    <row r="1202" customFormat="false" ht="18" hidden="false" customHeight="false" outlineLevel="0" collapsed="false">
      <c r="I1202" s="82"/>
      <c r="L1202" s="85"/>
      <c r="N1202" s="85"/>
    </row>
    <row r="1203" customFormat="false" ht="18" hidden="false" customHeight="false" outlineLevel="0" collapsed="false">
      <c r="I1203" s="82"/>
      <c r="L1203" s="85"/>
      <c r="N1203" s="85"/>
    </row>
    <row r="1204" customFormat="false" ht="18" hidden="false" customHeight="false" outlineLevel="0" collapsed="false">
      <c r="I1204" s="82"/>
      <c r="L1204" s="85"/>
      <c r="N1204" s="85"/>
    </row>
    <row r="1205" customFormat="false" ht="18" hidden="false" customHeight="false" outlineLevel="0" collapsed="false">
      <c r="I1205" s="82"/>
      <c r="L1205" s="85"/>
      <c r="N1205" s="85"/>
    </row>
    <row r="1206" customFormat="false" ht="18" hidden="false" customHeight="false" outlineLevel="0" collapsed="false">
      <c r="I1206" s="82"/>
      <c r="L1206" s="85"/>
      <c r="N1206" s="85"/>
    </row>
    <row r="1207" customFormat="false" ht="18" hidden="false" customHeight="false" outlineLevel="0" collapsed="false">
      <c r="I1207" s="82"/>
      <c r="L1207" s="85"/>
      <c r="N1207" s="85"/>
    </row>
    <row r="1208" customFormat="false" ht="18" hidden="false" customHeight="false" outlineLevel="0" collapsed="false">
      <c r="I1208" s="82"/>
      <c r="L1208" s="85"/>
      <c r="N1208" s="85"/>
    </row>
    <row r="1209" customFormat="false" ht="18" hidden="false" customHeight="false" outlineLevel="0" collapsed="false">
      <c r="I1209" s="82"/>
      <c r="L1209" s="85"/>
      <c r="N1209" s="85"/>
    </row>
    <row r="1210" customFormat="false" ht="18" hidden="false" customHeight="false" outlineLevel="0" collapsed="false">
      <c r="I1210" s="82"/>
      <c r="L1210" s="85"/>
      <c r="N1210" s="85"/>
    </row>
    <row r="1211" customFormat="false" ht="18" hidden="false" customHeight="false" outlineLevel="0" collapsed="false">
      <c r="I1211" s="82"/>
      <c r="L1211" s="85"/>
      <c r="N1211" s="85"/>
    </row>
    <row r="1212" customFormat="false" ht="18" hidden="false" customHeight="false" outlineLevel="0" collapsed="false">
      <c r="I1212" s="82"/>
      <c r="L1212" s="85"/>
      <c r="N1212" s="85"/>
    </row>
    <row r="1213" customFormat="false" ht="18" hidden="false" customHeight="false" outlineLevel="0" collapsed="false">
      <c r="I1213" s="82"/>
      <c r="L1213" s="85"/>
      <c r="N1213" s="85"/>
    </row>
    <row r="1214" customFormat="false" ht="18" hidden="false" customHeight="false" outlineLevel="0" collapsed="false">
      <c r="I1214" s="82"/>
      <c r="L1214" s="85"/>
      <c r="N1214" s="85"/>
    </row>
    <row r="1215" customFormat="false" ht="18" hidden="false" customHeight="false" outlineLevel="0" collapsed="false">
      <c r="I1215" s="82"/>
      <c r="L1215" s="85"/>
      <c r="N1215" s="85"/>
    </row>
    <row r="1216" customFormat="false" ht="18" hidden="false" customHeight="false" outlineLevel="0" collapsed="false">
      <c r="I1216" s="82"/>
      <c r="L1216" s="85"/>
      <c r="N1216" s="85"/>
    </row>
    <row r="1217" customFormat="false" ht="18" hidden="false" customHeight="false" outlineLevel="0" collapsed="false">
      <c r="I1217" s="82"/>
      <c r="L1217" s="85"/>
      <c r="N1217" s="85"/>
    </row>
    <row r="1218" customFormat="false" ht="18" hidden="false" customHeight="false" outlineLevel="0" collapsed="false">
      <c r="I1218" s="82"/>
      <c r="L1218" s="85"/>
      <c r="N1218" s="85"/>
    </row>
    <row r="1219" customFormat="false" ht="18" hidden="false" customHeight="false" outlineLevel="0" collapsed="false">
      <c r="I1219" s="82"/>
      <c r="L1219" s="85"/>
      <c r="N1219" s="85"/>
    </row>
    <row r="1220" customFormat="false" ht="18" hidden="false" customHeight="false" outlineLevel="0" collapsed="false">
      <c r="I1220" s="82"/>
      <c r="L1220" s="85"/>
      <c r="N1220" s="85"/>
    </row>
    <row r="1221" customFormat="false" ht="18" hidden="false" customHeight="false" outlineLevel="0" collapsed="false">
      <c r="I1221" s="82"/>
      <c r="L1221" s="85"/>
      <c r="N1221" s="85"/>
    </row>
    <row r="1222" customFormat="false" ht="18" hidden="false" customHeight="false" outlineLevel="0" collapsed="false">
      <c r="I1222" s="82"/>
      <c r="L1222" s="85"/>
      <c r="N1222" s="85"/>
    </row>
    <row r="1223" customFormat="false" ht="18" hidden="false" customHeight="false" outlineLevel="0" collapsed="false">
      <c r="I1223" s="82"/>
      <c r="L1223" s="85"/>
      <c r="N1223" s="85"/>
    </row>
    <row r="1224" customFormat="false" ht="18" hidden="false" customHeight="false" outlineLevel="0" collapsed="false">
      <c r="I1224" s="82"/>
      <c r="L1224" s="85"/>
      <c r="N1224" s="85"/>
    </row>
    <row r="1225" customFormat="false" ht="18" hidden="false" customHeight="false" outlineLevel="0" collapsed="false">
      <c r="I1225" s="82"/>
      <c r="L1225" s="85"/>
      <c r="N1225" s="85"/>
    </row>
    <row r="1226" customFormat="false" ht="18" hidden="false" customHeight="false" outlineLevel="0" collapsed="false">
      <c r="I1226" s="82"/>
      <c r="L1226" s="85"/>
      <c r="N1226" s="85"/>
    </row>
    <row r="1227" customFormat="false" ht="18" hidden="false" customHeight="false" outlineLevel="0" collapsed="false">
      <c r="I1227" s="82"/>
      <c r="L1227" s="85"/>
      <c r="N1227" s="85"/>
    </row>
    <row r="1228" customFormat="false" ht="18" hidden="false" customHeight="false" outlineLevel="0" collapsed="false">
      <c r="I1228" s="82"/>
      <c r="L1228" s="85"/>
      <c r="N1228" s="85"/>
    </row>
    <row r="1229" customFormat="false" ht="18" hidden="false" customHeight="false" outlineLevel="0" collapsed="false">
      <c r="I1229" s="82"/>
      <c r="L1229" s="85"/>
      <c r="N1229" s="85"/>
    </row>
    <row r="1230" customFormat="false" ht="18" hidden="false" customHeight="false" outlineLevel="0" collapsed="false">
      <c r="I1230" s="82"/>
      <c r="L1230" s="85"/>
      <c r="N1230" s="85"/>
    </row>
    <row r="1231" customFormat="false" ht="18" hidden="false" customHeight="false" outlineLevel="0" collapsed="false">
      <c r="I1231" s="82"/>
      <c r="L1231" s="85"/>
      <c r="N1231" s="85"/>
    </row>
    <row r="1232" customFormat="false" ht="18" hidden="false" customHeight="false" outlineLevel="0" collapsed="false">
      <c r="I1232" s="82"/>
      <c r="L1232" s="85"/>
      <c r="N1232" s="85"/>
    </row>
    <row r="1233" customFormat="false" ht="18" hidden="false" customHeight="false" outlineLevel="0" collapsed="false">
      <c r="I1233" s="82"/>
      <c r="L1233" s="85"/>
      <c r="N1233" s="85"/>
    </row>
    <row r="1234" customFormat="false" ht="18" hidden="false" customHeight="false" outlineLevel="0" collapsed="false">
      <c r="I1234" s="82"/>
      <c r="L1234" s="85"/>
      <c r="N1234" s="85"/>
    </row>
    <row r="1235" customFormat="false" ht="18" hidden="false" customHeight="false" outlineLevel="0" collapsed="false">
      <c r="I1235" s="82"/>
      <c r="L1235" s="85"/>
      <c r="N1235" s="85"/>
    </row>
    <row r="1236" customFormat="false" ht="18" hidden="false" customHeight="false" outlineLevel="0" collapsed="false">
      <c r="I1236" s="82"/>
      <c r="L1236" s="85"/>
      <c r="N1236" s="85"/>
    </row>
    <row r="1237" customFormat="false" ht="18" hidden="false" customHeight="false" outlineLevel="0" collapsed="false">
      <c r="I1237" s="82"/>
      <c r="L1237" s="85"/>
      <c r="N1237" s="85"/>
    </row>
    <row r="1238" customFormat="false" ht="18" hidden="false" customHeight="false" outlineLevel="0" collapsed="false">
      <c r="I1238" s="82"/>
      <c r="L1238" s="85"/>
      <c r="N1238" s="85"/>
    </row>
    <row r="1239" customFormat="false" ht="18" hidden="false" customHeight="false" outlineLevel="0" collapsed="false">
      <c r="I1239" s="82"/>
      <c r="L1239" s="85"/>
      <c r="N1239" s="85"/>
    </row>
    <row r="1240" customFormat="false" ht="18" hidden="false" customHeight="false" outlineLevel="0" collapsed="false">
      <c r="I1240" s="82"/>
      <c r="L1240" s="85"/>
      <c r="N1240" s="85"/>
    </row>
    <row r="1241" customFormat="false" ht="18" hidden="false" customHeight="false" outlineLevel="0" collapsed="false">
      <c r="I1241" s="82"/>
      <c r="L1241" s="85"/>
      <c r="N1241" s="85"/>
    </row>
    <row r="1242" customFormat="false" ht="18" hidden="false" customHeight="false" outlineLevel="0" collapsed="false">
      <c r="I1242" s="82"/>
      <c r="L1242" s="85"/>
      <c r="N1242" s="85"/>
    </row>
    <row r="1243" customFormat="false" ht="18" hidden="false" customHeight="false" outlineLevel="0" collapsed="false">
      <c r="I1243" s="82"/>
      <c r="L1243" s="85"/>
      <c r="N1243" s="85"/>
    </row>
    <row r="1244" customFormat="false" ht="18" hidden="false" customHeight="false" outlineLevel="0" collapsed="false">
      <c r="I1244" s="82"/>
      <c r="L1244" s="85"/>
      <c r="N1244" s="85"/>
    </row>
    <row r="1245" customFormat="false" ht="18" hidden="false" customHeight="false" outlineLevel="0" collapsed="false">
      <c r="I1245" s="82"/>
      <c r="L1245" s="85"/>
      <c r="N1245" s="85"/>
    </row>
    <row r="1246" customFormat="false" ht="18" hidden="false" customHeight="false" outlineLevel="0" collapsed="false">
      <c r="I1246" s="82"/>
      <c r="L1246" s="85"/>
      <c r="N1246" s="85"/>
    </row>
    <row r="1247" customFormat="false" ht="18" hidden="false" customHeight="false" outlineLevel="0" collapsed="false">
      <c r="I1247" s="82"/>
      <c r="L1247" s="85"/>
      <c r="N1247" s="85"/>
    </row>
    <row r="1248" customFormat="false" ht="18" hidden="false" customHeight="false" outlineLevel="0" collapsed="false">
      <c r="I1248" s="82"/>
      <c r="L1248" s="85"/>
      <c r="N1248" s="85"/>
    </row>
    <row r="1249" customFormat="false" ht="18" hidden="false" customHeight="false" outlineLevel="0" collapsed="false">
      <c r="I1249" s="82"/>
      <c r="L1249" s="85"/>
      <c r="N1249" s="85"/>
    </row>
    <row r="1250" customFormat="false" ht="18" hidden="false" customHeight="false" outlineLevel="0" collapsed="false">
      <c r="I1250" s="82"/>
      <c r="L1250" s="85"/>
      <c r="N1250" s="85"/>
    </row>
    <row r="1251" customFormat="false" ht="18" hidden="false" customHeight="false" outlineLevel="0" collapsed="false">
      <c r="I1251" s="82"/>
      <c r="L1251" s="85"/>
      <c r="N1251" s="85"/>
    </row>
    <row r="1252" customFormat="false" ht="18" hidden="false" customHeight="false" outlineLevel="0" collapsed="false">
      <c r="I1252" s="82"/>
      <c r="L1252" s="85"/>
      <c r="N1252" s="85"/>
    </row>
    <row r="1253" customFormat="false" ht="18" hidden="false" customHeight="false" outlineLevel="0" collapsed="false">
      <c r="I1253" s="82"/>
      <c r="L1253" s="85"/>
      <c r="N1253" s="85"/>
    </row>
    <row r="1254" customFormat="false" ht="18" hidden="false" customHeight="false" outlineLevel="0" collapsed="false">
      <c r="I1254" s="82"/>
      <c r="L1254" s="85"/>
      <c r="N1254" s="85"/>
    </row>
    <row r="1255" customFormat="false" ht="18" hidden="false" customHeight="false" outlineLevel="0" collapsed="false">
      <c r="I1255" s="82"/>
      <c r="L1255" s="85"/>
      <c r="N1255" s="85"/>
    </row>
    <row r="1256" customFormat="false" ht="18" hidden="false" customHeight="false" outlineLevel="0" collapsed="false">
      <c r="I1256" s="82"/>
      <c r="L1256" s="85"/>
      <c r="N1256" s="85"/>
    </row>
    <row r="1257" customFormat="false" ht="18" hidden="false" customHeight="false" outlineLevel="0" collapsed="false">
      <c r="I1257" s="82"/>
      <c r="L1257" s="85"/>
      <c r="N1257" s="85"/>
    </row>
    <row r="1258" customFormat="false" ht="18" hidden="false" customHeight="false" outlineLevel="0" collapsed="false">
      <c r="I1258" s="82"/>
      <c r="L1258" s="85"/>
      <c r="N1258" s="85"/>
    </row>
    <row r="1259" customFormat="false" ht="18" hidden="false" customHeight="false" outlineLevel="0" collapsed="false">
      <c r="I1259" s="82"/>
      <c r="L1259" s="85"/>
      <c r="N1259" s="85"/>
    </row>
    <row r="1260" customFormat="false" ht="18" hidden="false" customHeight="false" outlineLevel="0" collapsed="false">
      <c r="I1260" s="82"/>
      <c r="L1260" s="85"/>
      <c r="N1260" s="85"/>
    </row>
    <row r="1261" customFormat="false" ht="18" hidden="false" customHeight="false" outlineLevel="0" collapsed="false">
      <c r="I1261" s="82"/>
      <c r="L1261" s="85"/>
      <c r="N1261" s="85"/>
    </row>
    <row r="1262" customFormat="false" ht="18" hidden="false" customHeight="false" outlineLevel="0" collapsed="false">
      <c r="I1262" s="82"/>
      <c r="L1262" s="85"/>
      <c r="N1262" s="85"/>
    </row>
    <row r="1263" customFormat="false" ht="18" hidden="false" customHeight="false" outlineLevel="0" collapsed="false">
      <c r="I1263" s="82"/>
      <c r="L1263" s="85"/>
      <c r="N1263" s="85"/>
    </row>
    <row r="1264" customFormat="false" ht="18" hidden="false" customHeight="false" outlineLevel="0" collapsed="false">
      <c r="I1264" s="82"/>
      <c r="L1264" s="85"/>
      <c r="N1264" s="85"/>
    </row>
    <row r="1265" customFormat="false" ht="18" hidden="false" customHeight="false" outlineLevel="0" collapsed="false">
      <c r="I1265" s="82"/>
      <c r="L1265" s="85"/>
      <c r="N1265" s="85"/>
    </row>
    <row r="1266" customFormat="false" ht="18" hidden="false" customHeight="false" outlineLevel="0" collapsed="false">
      <c r="I1266" s="82"/>
      <c r="L1266" s="85"/>
      <c r="N1266" s="85"/>
    </row>
    <row r="1267" customFormat="false" ht="18" hidden="false" customHeight="false" outlineLevel="0" collapsed="false">
      <c r="I1267" s="82"/>
      <c r="L1267" s="85"/>
      <c r="N1267" s="85"/>
    </row>
    <row r="1268" customFormat="false" ht="18" hidden="false" customHeight="false" outlineLevel="0" collapsed="false">
      <c r="I1268" s="82"/>
      <c r="L1268" s="85"/>
      <c r="N1268" s="85"/>
    </row>
    <row r="1269" customFormat="false" ht="18" hidden="false" customHeight="false" outlineLevel="0" collapsed="false">
      <c r="I1269" s="82"/>
      <c r="L1269" s="85"/>
      <c r="N1269" s="85"/>
    </row>
    <row r="1270" customFormat="false" ht="18" hidden="false" customHeight="false" outlineLevel="0" collapsed="false">
      <c r="I1270" s="82"/>
      <c r="L1270" s="85"/>
      <c r="N1270" s="85"/>
    </row>
    <row r="1271" customFormat="false" ht="18" hidden="false" customHeight="false" outlineLevel="0" collapsed="false">
      <c r="I1271" s="82"/>
      <c r="L1271" s="85"/>
      <c r="N1271" s="85"/>
    </row>
    <row r="1272" customFormat="false" ht="18" hidden="false" customHeight="false" outlineLevel="0" collapsed="false">
      <c r="I1272" s="82"/>
      <c r="L1272" s="85"/>
      <c r="N1272" s="85"/>
    </row>
    <row r="1273" customFormat="false" ht="18" hidden="false" customHeight="false" outlineLevel="0" collapsed="false">
      <c r="I1273" s="82"/>
      <c r="L1273" s="85"/>
      <c r="N1273" s="85"/>
    </row>
    <row r="1274" customFormat="false" ht="18" hidden="false" customHeight="false" outlineLevel="0" collapsed="false">
      <c r="I1274" s="82"/>
      <c r="L1274" s="85"/>
      <c r="N1274" s="85"/>
    </row>
    <row r="1275" customFormat="false" ht="18" hidden="false" customHeight="false" outlineLevel="0" collapsed="false">
      <c r="I1275" s="82"/>
      <c r="L1275" s="85"/>
      <c r="N1275" s="85"/>
    </row>
    <row r="1276" customFormat="false" ht="18" hidden="false" customHeight="false" outlineLevel="0" collapsed="false">
      <c r="I1276" s="82"/>
      <c r="L1276" s="85"/>
      <c r="N1276" s="85"/>
    </row>
    <row r="1277" customFormat="false" ht="18" hidden="false" customHeight="false" outlineLevel="0" collapsed="false">
      <c r="I1277" s="82"/>
      <c r="L1277" s="85"/>
      <c r="N1277" s="85"/>
    </row>
    <row r="1278" customFormat="false" ht="18" hidden="false" customHeight="false" outlineLevel="0" collapsed="false">
      <c r="I1278" s="82"/>
      <c r="L1278" s="85"/>
      <c r="N1278" s="85"/>
    </row>
    <row r="1279" customFormat="false" ht="18" hidden="false" customHeight="false" outlineLevel="0" collapsed="false">
      <c r="I1279" s="82"/>
      <c r="L1279" s="85"/>
      <c r="N1279" s="85"/>
    </row>
    <row r="1280" customFormat="false" ht="18" hidden="false" customHeight="false" outlineLevel="0" collapsed="false">
      <c r="I1280" s="82"/>
      <c r="L1280" s="85"/>
      <c r="N1280" s="85"/>
    </row>
    <row r="1281" customFormat="false" ht="18" hidden="false" customHeight="false" outlineLevel="0" collapsed="false">
      <c r="I1281" s="82"/>
      <c r="L1281" s="85"/>
      <c r="N1281" s="85"/>
    </row>
    <row r="1282" customFormat="false" ht="18" hidden="false" customHeight="false" outlineLevel="0" collapsed="false">
      <c r="I1282" s="82"/>
      <c r="L1282" s="85"/>
      <c r="N1282" s="85"/>
    </row>
    <row r="1283" customFormat="false" ht="18" hidden="false" customHeight="false" outlineLevel="0" collapsed="false">
      <c r="I1283" s="82"/>
      <c r="L1283" s="85"/>
      <c r="N1283" s="85"/>
    </row>
    <row r="1284" customFormat="false" ht="18" hidden="false" customHeight="false" outlineLevel="0" collapsed="false">
      <c r="I1284" s="82"/>
      <c r="L1284" s="85"/>
      <c r="N1284" s="85"/>
    </row>
    <row r="1285" customFormat="false" ht="18" hidden="false" customHeight="false" outlineLevel="0" collapsed="false">
      <c r="I1285" s="82"/>
      <c r="L1285" s="85"/>
      <c r="N1285" s="85"/>
    </row>
    <row r="1286" customFormat="false" ht="18" hidden="false" customHeight="false" outlineLevel="0" collapsed="false">
      <c r="I1286" s="82"/>
      <c r="L1286" s="85"/>
      <c r="N1286" s="85"/>
    </row>
    <row r="1287" customFormat="false" ht="18" hidden="false" customHeight="false" outlineLevel="0" collapsed="false">
      <c r="I1287" s="82"/>
      <c r="L1287" s="85"/>
      <c r="N1287" s="85"/>
    </row>
    <row r="1288" customFormat="false" ht="18" hidden="false" customHeight="false" outlineLevel="0" collapsed="false">
      <c r="I1288" s="82"/>
      <c r="L1288" s="85"/>
      <c r="N1288" s="85"/>
    </row>
    <row r="1289" customFormat="false" ht="18" hidden="false" customHeight="false" outlineLevel="0" collapsed="false">
      <c r="I1289" s="82"/>
      <c r="L1289" s="85"/>
      <c r="N1289" s="85"/>
    </row>
    <row r="1290" customFormat="false" ht="18" hidden="false" customHeight="false" outlineLevel="0" collapsed="false">
      <c r="I1290" s="82"/>
      <c r="L1290" s="85"/>
      <c r="N1290" s="85"/>
    </row>
    <row r="1291" customFormat="false" ht="18" hidden="false" customHeight="false" outlineLevel="0" collapsed="false">
      <c r="I1291" s="82"/>
      <c r="L1291" s="85"/>
      <c r="N1291" s="85"/>
    </row>
    <row r="1292" customFormat="false" ht="18" hidden="false" customHeight="false" outlineLevel="0" collapsed="false">
      <c r="I1292" s="82"/>
      <c r="L1292" s="85"/>
      <c r="N1292" s="85"/>
    </row>
    <row r="1293" customFormat="false" ht="18" hidden="false" customHeight="false" outlineLevel="0" collapsed="false">
      <c r="I1293" s="82"/>
      <c r="L1293" s="85"/>
      <c r="N1293" s="85"/>
    </row>
    <row r="1294" customFormat="false" ht="18" hidden="false" customHeight="false" outlineLevel="0" collapsed="false">
      <c r="I1294" s="82"/>
      <c r="L1294" s="85"/>
      <c r="N1294" s="85"/>
    </row>
    <row r="1295" customFormat="false" ht="18" hidden="false" customHeight="false" outlineLevel="0" collapsed="false">
      <c r="I1295" s="82"/>
      <c r="L1295" s="85"/>
      <c r="N1295" s="85"/>
    </row>
    <row r="1296" customFormat="false" ht="18" hidden="false" customHeight="false" outlineLevel="0" collapsed="false">
      <c r="I1296" s="82"/>
      <c r="L1296" s="85"/>
      <c r="N1296" s="85"/>
    </row>
    <row r="1297" customFormat="false" ht="18" hidden="false" customHeight="false" outlineLevel="0" collapsed="false">
      <c r="I1297" s="82"/>
      <c r="L1297" s="85"/>
      <c r="N1297" s="85"/>
    </row>
    <row r="1298" customFormat="false" ht="18" hidden="false" customHeight="false" outlineLevel="0" collapsed="false">
      <c r="I1298" s="82"/>
      <c r="L1298" s="85"/>
      <c r="N1298" s="85"/>
    </row>
    <row r="1299" customFormat="false" ht="18" hidden="false" customHeight="false" outlineLevel="0" collapsed="false">
      <c r="I1299" s="82"/>
      <c r="L1299" s="85"/>
      <c r="N1299" s="85"/>
    </row>
    <row r="1300" customFormat="false" ht="18" hidden="false" customHeight="false" outlineLevel="0" collapsed="false">
      <c r="I1300" s="82"/>
      <c r="L1300" s="85"/>
      <c r="N1300" s="85"/>
    </row>
    <row r="1301" customFormat="false" ht="18" hidden="false" customHeight="false" outlineLevel="0" collapsed="false">
      <c r="I1301" s="82"/>
      <c r="L1301" s="85"/>
      <c r="N1301" s="85"/>
    </row>
    <row r="1302" customFormat="false" ht="18" hidden="false" customHeight="false" outlineLevel="0" collapsed="false">
      <c r="I1302" s="82"/>
      <c r="L1302" s="85"/>
      <c r="N1302" s="85"/>
    </row>
    <row r="1303" customFormat="false" ht="18" hidden="false" customHeight="false" outlineLevel="0" collapsed="false">
      <c r="I1303" s="82"/>
      <c r="L1303" s="85"/>
      <c r="N1303" s="85"/>
    </row>
    <row r="1304" customFormat="false" ht="18" hidden="false" customHeight="false" outlineLevel="0" collapsed="false">
      <c r="I1304" s="82"/>
      <c r="L1304" s="85"/>
      <c r="N1304" s="85"/>
    </row>
    <row r="1305" customFormat="false" ht="18" hidden="false" customHeight="false" outlineLevel="0" collapsed="false">
      <c r="I1305" s="82"/>
      <c r="L1305" s="85"/>
      <c r="N1305" s="85"/>
    </row>
    <row r="1306" customFormat="false" ht="18" hidden="false" customHeight="false" outlineLevel="0" collapsed="false">
      <c r="I1306" s="82"/>
      <c r="L1306" s="85"/>
      <c r="N1306" s="85"/>
    </row>
    <row r="1307" customFormat="false" ht="18" hidden="false" customHeight="false" outlineLevel="0" collapsed="false">
      <c r="I1307" s="82"/>
      <c r="L1307" s="85"/>
      <c r="N1307" s="85"/>
    </row>
    <row r="1308" customFormat="false" ht="18" hidden="false" customHeight="false" outlineLevel="0" collapsed="false">
      <c r="I1308" s="82"/>
      <c r="L1308" s="85"/>
      <c r="N1308" s="85"/>
    </row>
    <row r="1309" customFormat="false" ht="18" hidden="false" customHeight="false" outlineLevel="0" collapsed="false">
      <c r="I1309" s="82"/>
      <c r="L1309" s="85"/>
      <c r="N1309" s="85"/>
    </row>
    <row r="1310" customFormat="false" ht="18" hidden="false" customHeight="false" outlineLevel="0" collapsed="false">
      <c r="I1310" s="82"/>
      <c r="L1310" s="85"/>
      <c r="N1310" s="85"/>
    </row>
    <row r="1311" customFormat="false" ht="18" hidden="false" customHeight="false" outlineLevel="0" collapsed="false">
      <c r="I1311" s="82"/>
      <c r="L1311" s="85"/>
      <c r="N1311" s="85"/>
    </row>
    <row r="1312" customFormat="false" ht="18" hidden="false" customHeight="false" outlineLevel="0" collapsed="false">
      <c r="I1312" s="82"/>
      <c r="L1312" s="85"/>
      <c r="N1312" s="85"/>
    </row>
    <row r="1313" customFormat="false" ht="18" hidden="false" customHeight="false" outlineLevel="0" collapsed="false">
      <c r="I1313" s="82"/>
      <c r="L1313" s="85"/>
      <c r="N1313" s="85"/>
    </row>
    <row r="1314" customFormat="false" ht="18" hidden="false" customHeight="false" outlineLevel="0" collapsed="false">
      <c r="I1314" s="82"/>
      <c r="L1314" s="85"/>
      <c r="N1314" s="85"/>
    </row>
    <row r="1315" customFormat="false" ht="18" hidden="false" customHeight="false" outlineLevel="0" collapsed="false">
      <c r="I1315" s="82"/>
      <c r="L1315" s="85"/>
      <c r="N1315" s="85"/>
    </row>
    <row r="1316" customFormat="false" ht="18" hidden="false" customHeight="false" outlineLevel="0" collapsed="false">
      <c r="I1316" s="82"/>
      <c r="L1316" s="85"/>
      <c r="N1316" s="85"/>
    </row>
    <row r="1317" customFormat="false" ht="18" hidden="false" customHeight="false" outlineLevel="0" collapsed="false">
      <c r="I1317" s="82"/>
      <c r="L1317" s="85"/>
      <c r="N1317" s="85"/>
    </row>
    <row r="1318" customFormat="false" ht="18" hidden="false" customHeight="false" outlineLevel="0" collapsed="false">
      <c r="I1318" s="82"/>
      <c r="L1318" s="85"/>
      <c r="N1318" s="85"/>
    </row>
    <row r="1319" customFormat="false" ht="18" hidden="false" customHeight="false" outlineLevel="0" collapsed="false">
      <c r="I1319" s="82"/>
      <c r="L1319" s="85"/>
      <c r="N1319" s="85"/>
    </row>
    <row r="1320" customFormat="false" ht="18" hidden="false" customHeight="false" outlineLevel="0" collapsed="false">
      <c r="I1320" s="82"/>
      <c r="L1320" s="85"/>
      <c r="N1320" s="85"/>
    </row>
    <row r="1321" customFormat="false" ht="18" hidden="false" customHeight="false" outlineLevel="0" collapsed="false">
      <c r="I1321" s="82"/>
      <c r="L1321" s="85"/>
      <c r="N1321" s="85"/>
    </row>
    <row r="1322" customFormat="false" ht="18" hidden="false" customHeight="false" outlineLevel="0" collapsed="false">
      <c r="I1322" s="82"/>
      <c r="L1322" s="85"/>
      <c r="N1322" s="85"/>
    </row>
    <row r="1323" customFormat="false" ht="18" hidden="false" customHeight="false" outlineLevel="0" collapsed="false">
      <c r="I1323" s="82"/>
      <c r="L1323" s="85"/>
      <c r="N1323" s="85"/>
    </row>
    <row r="1324" customFormat="false" ht="18" hidden="false" customHeight="false" outlineLevel="0" collapsed="false">
      <c r="I1324" s="82"/>
      <c r="L1324" s="85"/>
      <c r="N1324" s="85"/>
    </row>
    <row r="1325" customFormat="false" ht="18" hidden="false" customHeight="false" outlineLevel="0" collapsed="false">
      <c r="I1325" s="82"/>
      <c r="L1325" s="85"/>
      <c r="N1325" s="85"/>
    </row>
    <row r="1326" customFormat="false" ht="18" hidden="false" customHeight="false" outlineLevel="0" collapsed="false">
      <c r="I1326" s="82"/>
      <c r="L1326" s="85"/>
      <c r="N1326" s="85"/>
    </row>
    <row r="1327" customFormat="false" ht="18" hidden="false" customHeight="false" outlineLevel="0" collapsed="false">
      <c r="I1327" s="82"/>
      <c r="L1327" s="85"/>
      <c r="N1327" s="85"/>
    </row>
    <row r="1328" customFormat="false" ht="18" hidden="false" customHeight="false" outlineLevel="0" collapsed="false">
      <c r="I1328" s="82"/>
      <c r="L1328" s="85"/>
      <c r="N1328" s="85"/>
    </row>
    <row r="1329" customFormat="false" ht="18" hidden="false" customHeight="false" outlineLevel="0" collapsed="false">
      <c r="I1329" s="82"/>
      <c r="L1329" s="85"/>
      <c r="N1329" s="85"/>
    </row>
    <row r="1330" customFormat="false" ht="18" hidden="false" customHeight="false" outlineLevel="0" collapsed="false">
      <c r="I1330" s="82"/>
      <c r="L1330" s="85"/>
      <c r="N1330" s="85"/>
    </row>
    <row r="1331" customFormat="false" ht="18" hidden="false" customHeight="false" outlineLevel="0" collapsed="false">
      <c r="I1331" s="82"/>
      <c r="L1331" s="85"/>
      <c r="N1331" s="85"/>
    </row>
    <row r="1332" customFormat="false" ht="18" hidden="false" customHeight="false" outlineLevel="0" collapsed="false">
      <c r="I1332" s="82"/>
      <c r="L1332" s="85"/>
      <c r="N1332" s="85"/>
    </row>
    <row r="1333" customFormat="false" ht="18" hidden="false" customHeight="false" outlineLevel="0" collapsed="false">
      <c r="I1333" s="82"/>
      <c r="L1333" s="85"/>
      <c r="N1333" s="85"/>
    </row>
    <row r="1334" customFormat="false" ht="18" hidden="false" customHeight="false" outlineLevel="0" collapsed="false">
      <c r="I1334" s="82"/>
      <c r="L1334" s="85"/>
      <c r="N1334" s="85"/>
    </row>
    <row r="1335" customFormat="false" ht="18" hidden="false" customHeight="false" outlineLevel="0" collapsed="false">
      <c r="I1335" s="82"/>
      <c r="L1335" s="85"/>
      <c r="N1335" s="85"/>
    </row>
    <row r="1336" customFormat="false" ht="18" hidden="false" customHeight="false" outlineLevel="0" collapsed="false">
      <c r="I1336" s="82"/>
      <c r="L1336" s="85"/>
      <c r="N1336" s="85"/>
    </row>
    <row r="1337" customFormat="false" ht="18" hidden="false" customHeight="false" outlineLevel="0" collapsed="false">
      <c r="I1337" s="82"/>
      <c r="L1337" s="85"/>
      <c r="N1337" s="85"/>
    </row>
    <row r="1338" customFormat="false" ht="18" hidden="false" customHeight="false" outlineLevel="0" collapsed="false">
      <c r="I1338" s="82"/>
      <c r="L1338" s="85"/>
      <c r="N1338" s="85"/>
    </row>
    <row r="1339" customFormat="false" ht="18" hidden="false" customHeight="false" outlineLevel="0" collapsed="false">
      <c r="I1339" s="82"/>
      <c r="L1339" s="85"/>
      <c r="N1339" s="85"/>
    </row>
    <row r="1340" customFormat="false" ht="18" hidden="false" customHeight="false" outlineLevel="0" collapsed="false">
      <c r="I1340" s="82"/>
      <c r="L1340" s="85"/>
      <c r="N1340" s="85"/>
    </row>
    <row r="1341" customFormat="false" ht="18" hidden="false" customHeight="false" outlineLevel="0" collapsed="false">
      <c r="I1341" s="82"/>
      <c r="L1341" s="85"/>
      <c r="N1341" s="85"/>
    </row>
    <row r="1342" customFormat="false" ht="18" hidden="false" customHeight="false" outlineLevel="0" collapsed="false">
      <c r="I1342" s="82"/>
      <c r="L1342" s="85"/>
      <c r="N1342" s="85"/>
    </row>
    <row r="1343" customFormat="false" ht="18" hidden="false" customHeight="false" outlineLevel="0" collapsed="false">
      <c r="I1343" s="82"/>
      <c r="L1343" s="85"/>
      <c r="N1343" s="85"/>
    </row>
    <row r="1344" customFormat="false" ht="18" hidden="false" customHeight="false" outlineLevel="0" collapsed="false">
      <c r="I1344" s="82"/>
      <c r="L1344" s="85"/>
      <c r="N1344" s="85"/>
    </row>
    <row r="1345" customFormat="false" ht="18" hidden="false" customHeight="false" outlineLevel="0" collapsed="false">
      <c r="I1345" s="82"/>
      <c r="L1345" s="85"/>
      <c r="N1345" s="85"/>
    </row>
    <row r="1346" customFormat="false" ht="18" hidden="false" customHeight="false" outlineLevel="0" collapsed="false">
      <c r="I1346" s="82"/>
      <c r="L1346" s="85"/>
      <c r="N1346" s="85"/>
    </row>
    <row r="1347" customFormat="false" ht="18" hidden="false" customHeight="false" outlineLevel="0" collapsed="false">
      <c r="I1347" s="82"/>
      <c r="L1347" s="85"/>
      <c r="N1347" s="85"/>
    </row>
    <row r="1348" customFormat="false" ht="18" hidden="false" customHeight="false" outlineLevel="0" collapsed="false">
      <c r="I1348" s="82"/>
      <c r="L1348" s="85"/>
      <c r="N1348" s="85"/>
    </row>
    <row r="1349" customFormat="false" ht="18" hidden="false" customHeight="false" outlineLevel="0" collapsed="false">
      <c r="I1349" s="82"/>
      <c r="L1349" s="85"/>
      <c r="N1349" s="85"/>
    </row>
    <row r="1350" customFormat="false" ht="18" hidden="false" customHeight="false" outlineLevel="0" collapsed="false">
      <c r="I1350" s="82"/>
      <c r="L1350" s="85"/>
      <c r="N1350" s="85"/>
    </row>
    <row r="1351" customFormat="false" ht="18" hidden="false" customHeight="false" outlineLevel="0" collapsed="false">
      <c r="I1351" s="82"/>
      <c r="L1351" s="85"/>
      <c r="N1351" s="85"/>
    </row>
    <row r="1352" customFormat="false" ht="18" hidden="false" customHeight="false" outlineLevel="0" collapsed="false">
      <c r="I1352" s="82"/>
      <c r="L1352" s="85"/>
      <c r="N1352" s="85"/>
    </row>
    <row r="1353" customFormat="false" ht="18" hidden="false" customHeight="false" outlineLevel="0" collapsed="false">
      <c r="I1353" s="82"/>
      <c r="L1353" s="85"/>
      <c r="N1353" s="85"/>
    </row>
    <row r="1354" customFormat="false" ht="18" hidden="false" customHeight="false" outlineLevel="0" collapsed="false">
      <c r="I1354" s="82"/>
      <c r="L1354" s="85"/>
      <c r="N1354" s="85"/>
    </row>
    <row r="1355" customFormat="false" ht="18" hidden="false" customHeight="false" outlineLevel="0" collapsed="false">
      <c r="I1355" s="82"/>
      <c r="L1355" s="85"/>
      <c r="N1355" s="85"/>
    </row>
    <row r="1356" customFormat="false" ht="18" hidden="false" customHeight="false" outlineLevel="0" collapsed="false">
      <c r="I1356" s="82"/>
      <c r="L1356" s="85"/>
      <c r="N1356" s="85"/>
    </row>
    <row r="1357" customFormat="false" ht="18" hidden="false" customHeight="false" outlineLevel="0" collapsed="false">
      <c r="I1357" s="82"/>
      <c r="L1357" s="85"/>
      <c r="N1357" s="85"/>
    </row>
    <row r="1358" customFormat="false" ht="18" hidden="false" customHeight="false" outlineLevel="0" collapsed="false">
      <c r="I1358" s="82"/>
      <c r="L1358" s="85"/>
      <c r="N1358" s="85"/>
    </row>
    <row r="1359" customFormat="false" ht="18" hidden="false" customHeight="false" outlineLevel="0" collapsed="false">
      <c r="I1359" s="82"/>
      <c r="L1359" s="85"/>
      <c r="N1359" s="85"/>
    </row>
    <row r="1360" customFormat="false" ht="18" hidden="false" customHeight="false" outlineLevel="0" collapsed="false">
      <c r="I1360" s="82"/>
      <c r="L1360" s="85"/>
      <c r="N1360" s="85"/>
    </row>
    <row r="1361" customFormat="false" ht="18" hidden="false" customHeight="false" outlineLevel="0" collapsed="false">
      <c r="I1361" s="82"/>
      <c r="L1361" s="85"/>
      <c r="N1361" s="85"/>
    </row>
    <row r="1362" customFormat="false" ht="18" hidden="false" customHeight="false" outlineLevel="0" collapsed="false">
      <c r="I1362" s="82"/>
      <c r="L1362" s="85"/>
      <c r="N1362" s="85"/>
    </row>
    <row r="1363" customFormat="false" ht="18" hidden="false" customHeight="false" outlineLevel="0" collapsed="false">
      <c r="I1363" s="82"/>
      <c r="L1363" s="85"/>
      <c r="N1363" s="85"/>
    </row>
    <row r="1364" customFormat="false" ht="18" hidden="false" customHeight="false" outlineLevel="0" collapsed="false">
      <c r="I1364" s="82"/>
      <c r="L1364" s="85"/>
      <c r="N1364" s="85"/>
    </row>
    <row r="1365" customFormat="false" ht="18" hidden="false" customHeight="false" outlineLevel="0" collapsed="false">
      <c r="I1365" s="82"/>
      <c r="L1365" s="85"/>
      <c r="N1365" s="85"/>
    </row>
    <row r="1366" customFormat="false" ht="18" hidden="false" customHeight="false" outlineLevel="0" collapsed="false">
      <c r="I1366" s="82"/>
      <c r="L1366" s="85"/>
      <c r="N1366" s="85"/>
    </row>
    <row r="1367" customFormat="false" ht="18" hidden="false" customHeight="false" outlineLevel="0" collapsed="false">
      <c r="I1367" s="82"/>
      <c r="L1367" s="85"/>
      <c r="N1367" s="85"/>
    </row>
    <row r="1368" customFormat="false" ht="18" hidden="false" customHeight="false" outlineLevel="0" collapsed="false">
      <c r="I1368" s="82"/>
      <c r="L1368" s="85"/>
      <c r="N1368" s="85"/>
    </row>
    <row r="1369" customFormat="false" ht="18" hidden="false" customHeight="false" outlineLevel="0" collapsed="false">
      <c r="I1369" s="82"/>
      <c r="L1369" s="85"/>
      <c r="N1369" s="85"/>
    </row>
    <row r="1370" customFormat="false" ht="18" hidden="false" customHeight="false" outlineLevel="0" collapsed="false">
      <c r="I1370" s="82"/>
      <c r="L1370" s="85"/>
      <c r="N1370" s="85"/>
    </row>
    <row r="1371" customFormat="false" ht="18" hidden="false" customHeight="false" outlineLevel="0" collapsed="false">
      <c r="I1371" s="82"/>
      <c r="L1371" s="85"/>
      <c r="N1371" s="85"/>
    </row>
    <row r="1372" customFormat="false" ht="18" hidden="false" customHeight="false" outlineLevel="0" collapsed="false">
      <c r="I1372" s="82"/>
      <c r="L1372" s="85"/>
      <c r="N1372" s="85"/>
    </row>
    <row r="1373" customFormat="false" ht="18" hidden="false" customHeight="false" outlineLevel="0" collapsed="false">
      <c r="I1373" s="82"/>
      <c r="L1373" s="85"/>
      <c r="N1373" s="85"/>
    </row>
    <row r="1374" customFormat="false" ht="18" hidden="false" customHeight="false" outlineLevel="0" collapsed="false">
      <c r="I1374" s="82"/>
      <c r="L1374" s="85"/>
      <c r="N1374" s="85"/>
    </row>
    <row r="1375" customFormat="false" ht="18" hidden="false" customHeight="false" outlineLevel="0" collapsed="false">
      <c r="I1375" s="82"/>
      <c r="L1375" s="85"/>
      <c r="N1375" s="85"/>
    </row>
    <row r="1376" customFormat="false" ht="18" hidden="false" customHeight="false" outlineLevel="0" collapsed="false">
      <c r="I1376" s="82"/>
      <c r="L1376" s="85"/>
      <c r="N1376" s="85"/>
    </row>
    <row r="1377" customFormat="false" ht="18" hidden="false" customHeight="false" outlineLevel="0" collapsed="false">
      <c r="I1377" s="82"/>
      <c r="L1377" s="85"/>
      <c r="N1377" s="85"/>
    </row>
    <row r="1378" customFormat="false" ht="18" hidden="false" customHeight="false" outlineLevel="0" collapsed="false">
      <c r="I1378" s="82"/>
      <c r="L1378" s="85"/>
      <c r="N1378" s="85"/>
    </row>
    <row r="1379" customFormat="false" ht="18" hidden="false" customHeight="false" outlineLevel="0" collapsed="false">
      <c r="I1379" s="82"/>
      <c r="L1379" s="85"/>
      <c r="N1379" s="85"/>
    </row>
    <row r="1380" customFormat="false" ht="18" hidden="false" customHeight="false" outlineLevel="0" collapsed="false">
      <c r="I1380" s="82"/>
      <c r="L1380" s="85"/>
      <c r="N1380" s="85"/>
    </row>
    <row r="1381" customFormat="false" ht="18" hidden="false" customHeight="false" outlineLevel="0" collapsed="false">
      <c r="I1381" s="82"/>
      <c r="L1381" s="85"/>
      <c r="N1381" s="85"/>
    </row>
    <row r="1382" customFormat="false" ht="18" hidden="false" customHeight="false" outlineLevel="0" collapsed="false">
      <c r="I1382" s="82"/>
      <c r="L1382" s="85"/>
      <c r="N1382" s="85"/>
    </row>
    <row r="1383" customFormat="false" ht="18" hidden="false" customHeight="false" outlineLevel="0" collapsed="false">
      <c r="I1383" s="82"/>
      <c r="L1383" s="85"/>
      <c r="N1383" s="85"/>
    </row>
    <row r="1384" customFormat="false" ht="18" hidden="false" customHeight="false" outlineLevel="0" collapsed="false">
      <c r="I1384" s="82"/>
      <c r="L1384" s="85"/>
      <c r="N1384" s="85"/>
    </row>
    <row r="1385" customFormat="false" ht="18" hidden="false" customHeight="false" outlineLevel="0" collapsed="false">
      <c r="I1385" s="82"/>
      <c r="L1385" s="85"/>
      <c r="N1385" s="85"/>
    </row>
    <row r="1386" customFormat="false" ht="18" hidden="false" customHeight="false" outlineLevel="0" collapsed="false">
      <c r="I1386" s="82"/>
      <c r="L1386" s="85"/>
      <c r="N1386" s="85"/>
    </row>
    <row r="1387" customFormat="false" ht="18" hidden="false" customHeight="false" outlineLevel="0" collapsed="false">
      <c r="I1387" s="82"/>
      <c r="L1387" s="85"/>
      <c r="N1387" s="85"/>
    </row>
    <row r="1388" customFormat="false" ht="18" hidden="false" customHeight="false" outlineLevel="0" collapsed="false">
      <c r="I1388" s="82"/>
      <c r="L1388" s="85"/>
      <c r="N1388" s="85"/>
    </row>
    <row r="1389" customFormat="false" ht="18" hidden="false" customHeight="false" outlineLevel="0" collapsed="false">
      <c r="I1389" s="82"/>
      <c r="L1389" s="85"/>
      <c r="N1389" s="85"/>
    </row>
    <row r="1390" customFormat="false" ht="18" hidden="false" customHeight="false" outlineLevel="0" collapsed="false">
      <c r="I1390" s="82"/>
      <c r="L1390" s="85"/>
      <c r="N1390" s="85"/>
    </row>
    <row r="1391" customFormat="false" ht="18" hidden="false" customHeight="false" outlineLevel="0" collapsed="false">
      <c r="I1391" s="82"/>
      <c r="L1391" s="85"/>
      <c r="N1391" s="85"/>
    </row>
    <row r="1392" customFormat="false" ht="18" hidden="false" customHeight="false" outlineLevel="0" collapsed="false">
      <c r="I1392" s="82"/>
      <c r="L1392" s="85"/>
      <c r="N1392" s="85"/>
    </row>
    <row r="1393" customFormat="false" ht="18" hidden="false" customHeight="false" outlineLevel="0" collapsed="false">
      <c r="I1393" s="82"/>
      <c r="L1393" s="85"/>
      <c r="N1393" s="85"/>
    </row>
    <row r="1394" customFormat="false" ht="18" hidden="false" customHeight="false" outlineLevel="0" collapsed="false">
      <c r="I1394" s="82"/>
      <c r="L1394" s="85"/>
      <c r="N1394" s="85"/>
    </row>
    <row r="1395" customFormat="false" ht="18" hidden="false" customHeight="false" outlineLevel="0" collapsed="false">
      <c r="I1395" s="82"/>
      <c r="L1395" s="85"/>
      <c r="N1395" s="85"/>
    </row>
    <row r="1396" customFormat="false" ht="18" hidden="false" customHeight="false" outlineLevel="0" collapsed="false">
      <c r="I1396" s="82"/>
      <c r="L1396" s="85"/>
      <c r="N1396" s="85"/>
    </row>
    <row r="1397" customFormat="false" ht="18" hidden="false" customHeight="false" outlineLevel="0" collapsed="false">
      <c r="I1397" s="82"/>
      <c r="L1397" s="85"/>
      <c r="N1397" s="85"/>
    </row>
    <row r="1398" customFormat="false" ht="18" hidden="false" customHeight="false" outlineLevel="0" collapsed="false">
      <c r="I1398" s="82"/>
      <c r="L1398" s="85"/>
      <c r="N1398" s="85"/>
    </row>
    <row r="1399" customFormat="false" ht="18" hidden="false" customHeight="false" outlineLevel="0" collapsed="false">
      <c r="I1399" s="82"/>
      <c r="L1399" s="85"/>
      <c r="N1399" s="85"/>
    </row>
    <row r="1400" customFormat="false" ht="18" hidden="false" customHeight="false" outlineLevel="0" collapsed="false">
      <c r="I1400" s="82"/>
      <c r="L1400" s="85"/>
      <c r="N1400" s="85"/>
    </row>
    <row r="1401" customFormat="false" ht="18" hidden="false" customHeight="false" outlineLevel="0" collapsed="false">
      <c r="I1401" s="82"/>
      <c r="L1401" s="85"/>
      <c r="N1401" s="85"/>
    </row>
    <row r="1402" customFormat="false" ht="18" hidden="false" customHeight="false" outlineLevel="0" collapsed="false">
      <c r="I1402" s="82"/>
      <c r="L1402" s="85"/>
      <c r="N1402" s="85"/>
    </row>
    <row r="1403" customFormat="false" ht="18" hidden="false" customHeight="false" outlineLevel="0" collapsed="false">
      <c r="I1403" s="82"/>
      <c r="L1403" s="85"/>
      <c r="N1403" s="85"/>
    </row>
    <row r="1404" customFormat="false" ht="18" hidden="false" customHeight="false" outlineLevel="0" collapsed="false">
      <c r="I1404" s="82"/>
      <c r="L1404" s="85"/>
      <c r="N1404" s="85"/>
    </row>
    <row r="1405" customFormat="false" ht="18" hidden="false" customHeight="false" outlineLevel="0" collapsed="false">
      <c r="I1405" s="82"/>
      <c r="L1405" s="85"/>
      <c r="N1405" s="85"/>
    </row>
    <row r="1406" customFormat="false" ht="18" hidden="false" customHeight="false" outlineLevel="0" collapsed="false">
      <c r="I1406" s="82"/>
      <c r="L1406" s="85"/>
      <c r="N1406" s="85"/>
    </row>
    <row r="1407" customFormat="false" ht="18" hidden="false" customHeight="false" outlineLevel="0" collapsed="false">
      <c r="I1407" s="82"/>
      <c r="L1407" s="85"/>
      <c r="N1407" s="85"/>
    </row>
    <row r="1408" customFormat="false" ht="18" hidden="false" customHeight="false" outlineLevel="0" collapsed="false">
      <c r="I1408" s="82"/>
      <c r="L1408" s="85"/>
      <c r="N1408" s="85"/>
    </row>
    <row r="1409" customFormat="false" ht="18" hidden="false" customHeight="false" outlineLevel="0" collapsed="false">
      <c r="I1409" s="82"/>
      <c r="L1409" s="85"/>
      <c r="N1409" s="85"/>
    </row>
    <row r="1410" customFormat="false" ht="18" hidden="false" customHeight="false" outlineLevel="0" collapsed="false">
      <c r="I1410" s="82"/>
      <c r="L1410" s="85"/>
      <c r="N1410" s="85"/>
    </row>
    <row r="1411" customFormat="false" ht="18" hidden="false" customHeight="false" outlineLevel="0" collapsed="false">
      <c r="I1411" s="82"/>
      <c r="L1411" s="85"/>
      <c r="N1411" s="85"/>
    </row>
    <row r="1412" customFormat="false" ht="18" hidden="false" customHeight="false" outlineLevel="0" collapsed="false">
      <c r="I1412" s="82"/>
      <c r="L1412" s="85"/>
      <c r="N1412" s="85"/>
    </row>
    <row r="1413" customFormat="false" ht="18" hidden="false" customHeight="false" outlineLevel="0" collapsed="false">
      <c r="I1413" s="82"/>
      <c r="L1413" s="85"/>
      <c r="N1413" s="85"/>
    </row>
    <row r="1414" customFormat="false" ht="18" hidden="false" customHeight="false" outlineLevel="0" collapsed="false">
      <c r="I1414" s="82"/>
      <c r="L1414" s="85"/>
      <c r="N1414" s="85"/>
    </row>
    <row r="1415" customFormat="false" ht="18" hidden="false" customHeight="false" outlineLevel="0" collapsed="false">
      <c r="I1415" s="82"/>
      <c r="L1415" s="85"/>
      <c r="N1415" s="85"/>
    </row>
    <row r="1416" customFormat="false" ht="18" hidden="false" customHeight="false" outlineLevel="0" collapsed="false">
      <c r="I1416" s="82"/>
      <c r="L1416" s="85"/>
      <c r="N1416" s="85"/>
    </row>
    <row r="1417" customFormat="false" ht="18" hidden="false" customHeight="false" outlineLevel="0" collapsed="false">
      <c r="I1417" s="82"/>
      <c r="L1417" s="85"/>
      <c r="N1417" s="85"/>
    </row>
    <row r="1418" customFormat="false" ht="18" hidden="false" customHeight="false" outlineLevel="0" collapsed="false">
      <c r="I1418" s="82"/>
      <c r="L1418" s="85"/>
      <c r="N1418" s="85"/>
    </row>
    <row r="1419" customFormat="false" ht="18" hidden="false" customHeight="false" outlineLevel="0" collapsed="false">
      <c r="I1419" s="82"/>
      <c r="L1419" s="85"/>
      <c r="N1419" s="85"/>
    </row>
    <row r="1420" customFormat="false" ht="18" hidden="false" customHeight="false" outlineLevel="0" collapsed="false">
      <c r="I1420" s="82"/>
      <c r="L1420" s="85"/>
      <c r="N1420" s="85"/>
    </row>
    <row r="1421" customFormat="false" ht="18" hidden="false" customHeight="false" outlineLevel="0" collapsed="false">
      <c r="I1421" s="82"/>
      <c r="L1421" s="85"/>
      <c r="N1421" s="85"/>
    </row>
    <row r="1422" customFormat="false" ht="18" hidden="false" customHeight="false" outlineLevel="0" collapsed="false">
      <c r="I1422" s="82"/>
      <c r="L1422" s="85"/>
      <c r="N1422" s="85"/>
    </row>
    <row r="1423" customFormat="false" ht="18" hidden="false" customHeight="false" outlineLevel="0" collapsed="false">
      <c r="I1423" s="82"/>
      <c r="L1423" s="85"/>
      <c r="N1423" s="85"/>
    </row>
    <row r="1424" customFormat="false" ht="18" hidden="false" customHeight="false" outlineLevel="0" collapsed="false">
      <c r="I1424" s="82"/>
      <c r="L1424" s="85"/>
      <c r="N1424" s="85"/>
    </row>
    <row r="1425" customFormat="false" ht="18" hidden="false" customHeight="false" outlineLevel="0" collapsed="false">
      <c r="I1425" s="82"/>
      <c r="L1425" s="85"/>
      <c r="N1425" s="85"/>
    </row>
    <row r="1426" customFormat="false" ht="18" hidden="false" customHeight="false" outlineLevel="0" collapsed="false">
      <c r="I1426" s="82"/>
      <c r="L1426" s="85"/>
      <c r="N1426" s="85"/>
    </row>
    <row r="1427" customFormat="false" ht="18" hidden="false" customHeight="false" outlineLevel="0" collapsed="false">
      <c r="I1427" s="82"/>
      <c r="L1427" s="85"/>
      <c r="N1427" s="85"/>
    </row>
    <row r="1428" customFormat="false" ht="18" hidden="false" customHeight="false" outlineLevel="0" collapsed="false">
      <c r="I1428" s="82"/>
      <c r="L1428" s="85"/>
      <c r="N1428" s="85"/>
    </row>
    <row r="1429" customFormat="false" ht="18" hidden="false" customHeight="false" outlineLevel="0" collapsed="false">
      <c r="I1429" s="82"/>
      <c r="L1429" s="85"/>
      <c r="N1429" s="85"/>
    </row>
    <row r="1430" customFormat="false" ht="18" hidden="false" customHeight="false" outlineLevel="0" collapsed="false">
      <c r="I1430" s="82"/>
      <c r="L1430" s="85"/>
      <c r="N1430" s="85"/>
    </row>
    <row r="1431" customFormat="false" ht="18" hidden="false" customHeight="false" outlineLevel="0" collapsed="false">
      <c r="I1431" s="82"/>
      <c r="L1431" s="85"/>
      <c r="N1431" s="85"/>
    </row>
    <row r="1432" customFormat="false" ht="18" hidden="false" customHeight="false" outlineLevel="0" collapsed="false">
      <c r="I1432" s="82"/>
      <c r="L1432" s="85"/>
      <c r="N1432" s="85"/>
    </row>
    <row r="1433" customFormat="false" ht="18" hidden="false" customHeight="false" outlineLevel="0" collapsed="false">
      <c r="I1433" s="82"/>
      <c r="L1433" s="85"/>
      <c r="N1433" s="85"/>
    </row>
    <row r="1434" customFormat="false" ht="18" hidden="false" customHeight="false" outlineLevel="0" collapsed="false">
      <c r="I1434" s="82"/>
      <c r="L1434" s="85"/>
      <c r="N1434" s="85"/>
    </row>
    <row r="1435" customFormat="false" ht="18" hidden="false" customHeight="false" outlineLevel="0" collapsed="false">
      <c r="I1435" s="82"/>
      <c r="L1435" s="85"/>
      <c r="N1435" s="85"/>
    </row>
    <row r="1436" customFormat="false" ht="18" hidden="false" customHeight="false" outlineLevel="0" collapsed="false">
      <c r="I1436" s="82"/>
      <c r="L1436" s="85"/>
      <c r="N1436" s="85"/>
    </row>
    <row r="1437" customFormat="false" ht="18" hidden="false" customHeight="false" outlineLevel="0" collapsed="false">
      <c r="I1437" s="82"/>
      <c r="L1437" s="85"/>
      <c r="N1437" s="85"/>
    </row>
    <row r="1438" customFormat="false" ht="18" hidden="false" customHeight="false" outlineLevel="0" collapsed="false">
      <c r="I1438" s="82"/>
      <c r="L1438" s="85"/>
      <c r="N1438" s="85"/>
    </row>
    <row r="1439" customFormat="false" ht="18" hidden="false" customHeight="false" outlineLevel="0" collapsed="false">
      <c r="I1439" s="82"/>
      <c r="L1439" s="85"/>
      <c r="N1439" s="85"/>
    </row>
    <row r="1440" customFormat="false" ht="18" hidden="false" customHeight="false" outlineLevel="0" collapsed="false">
      <c r="I1440" s="82"/>
      <c r="L1440" s="85"/>
      <c r="N1440" s="85"/>
    </row>
    <row r="1441" customFormat="false" ht="18" hidden="false" customHeight="false" outlineLevel="0" collapsed="false">
      <c r="I1441" s="82"/>
      <c r="L1441" s="85"/>
      <c r="N1441" s="85"/>
    </row>
    <row r="1442" customFormat="false" ht="18" hidden="false" customHeight="false" outlineLevel="0" collapsed="false">
      <c r="I1442" s="82"/>
      <c r="L1442" s="85"/>
      <c r="N1442" s="85"/>
    </row>
    <row r="1443" customFormat="false" ht="18" hidden="false" customHeight="false" outlineLevel="0" collapsed="false">
      <c r="I1443" s="82"/>
      <c r="L1443" s="85"/>
      <c r="N1443" s="85"/>
    </row>
    <row r="1444" customFormat="false" ht="18" hidden="false" customHeight="false" outlineLevel="0" collapsed="false">
      <c r="I1444" s="82"/>
      <c r="L1444" s="85"/>
      <c r="N1444" s="85"/>
    </row>
    <row r="1445" customFormat="false" ht="18" hidden="false" customHeight="false" outlineLevel="0" collapsed="false">
      <c r="I1445" s="82"/>
      <c r="L1445" s="85"/>
      <c r="N1445" s="85"/>
    </row>
    <row r="1446" customFormat="false" ht="18" hidden="false" customHeight="false" outlineLevel="0" collapsed="false">
      <c r="I1446" s="82"/>
      <c r="L1446" s="85"/>
      <c r="N1446" s="85"/>
    </row>
    <row r="1447" customFormat="false" ht="18" hidden="false" customHeight="false" outlineLevel="0" collapsed="false">
      <c r="I1447" s="82"/>
      <c r="L1447" s="85"/>
      <c r="N1447" s="85"/>
    </row>
    <row r="1448" customFormat="false" ht="18" hidden="false" customHeight="false" outlineLevel="0" collapsed="false">
      <c r="I1448" s="82"/>
      <c r="L1448" s="85"/>
      <c r="N1448" s="85"/>
    </row>
    <row r="1449" customFormat="false" ht="18" hidden="false" customHeight="false" outlineLevel="0" collapsed="false">
      <c r="I1449" s="82"/>
      <c r="L1449" s="85"/>
      <c r="N1449" s="85"/>
    </row>
    <row r="1450" customFormat="false" ht="18" hidden="false" customHeight="false" outlineLevel="0" collapsed="false">
      <c r="I1450" s="82"/>
      <c r="L1450" s="85"/>
      <c r="N1450" s="85"/>
    </row>
    <row r="1451" customFormat="false" ht="18" hidden="false" customHeight="false" outlineLevel="0" collapsed="false">
      <c r="I1451" s="82"/>
      <c r="L1451" s="85"/>
      <c r="N1451" s="85"/>
    </row>
    <row r="1452" customFormat="false" ht="18" hidden="false" customHeight="false" outlineLevel="0" collapsed="false">
      <c r="I1452" s="82"/>
      <c r="L1452" s="85"/>
      <c r="N1452" s="85"/>
    </row>
    <row r="1453" customFormat="false" ht="18" hidden="false" customHeight="false" outlineLevel="0" collapsed="false">
      <c r="I1453" s="82"/>
      <c r="L1453" s="85"/>
      <c r="N1453" s="85"/>
    </row>
    <row r="1454" customFormat="false" ht="18" hidden="false" customHeight="false" outlineLevel="0" collapsed="false">
      <c r="I1454" s="82"/>
      <c r="L1454" s="85"/>
      <c r="N1454" s="85"/>
    </row>
    <row r="1455" customFormat="false" ht="18" hidden="false" customHeight="false" outlineLevel="0" collapsed="false">
      <c r="I1455" s="82"/>
      <c r="L1455" s="85"/>
      <c r="N1455" s="85"/>
    </row>
    <row r="1456" customFormat="false" ht="18" hidden="false" customHeight="false" outlineLevel="0" collapsed="false">
      <c r="I1456" s="82"/>
      <c r="L1456" s="85"/>
      <c r="N1456" s="85"/>
    </row>
    <row r="1457" customFormat="false" ht="18" hidden="false" customHeight="false" outlineLevel="0" collapsed="false">
      <c r="I1457" s="82"/>
      <c r="L1457" s="85"/>
      <c r="N1457" s="85"/>
    </row>
    <row r="1458" customFormat="false" ht="18" hidden="false" customHeight="false" outlineLevel="0" collapsed="false">
      <c r="I1458" s="82"/>
      <c r="L1458" s="85"/>
      <c r="N1458" s="85"/>
    </row>
    <row r="1459" customFormat="false" ht="18" hidden="false" customHeight="false" outlineLevel="0" collapsed="false">
      <c r="I1459" s="82"/>
      <c r="L1459" s="85"/>
      <c r="N1459" s="85"/>
    </row>
    <row r="1460" customFormat="false" ht="18" hidden="false" customHeight="false" outlineLevel="0" collapsed="false">
      <c r="I1460" s="82"/>
      <c r="L1460" s="85"/>
      <c r="N1460" s="85"/>
    </row>
    <row r="1461" customFormat="false" ht="18" hidden="false" customHeight="false" outlineLevel="0" collapsed="false">
      <c r="I1461" s="82"/>
      <c r="L1461" s="85"/>
      <c r="N1461" s="85"/>
    </row>
    <row r="1462" customFormat="false" ht="18" hidden="false" customHeight="false" outlineLevel="0" collapsed="false">
      <c r="I1462" s="82"/>
      <c r="L1462" s="85"/>
      <c r="N1462" s="85"/>
    </row>
    <row r="1463" customFormat="false" ht="18" hidden="false" customHeight="false" outlineLevel="0" collapsed="false">
      <c r="I1463" s="82"/>
      <c r="L1463" s="85"/>
      <c r="N1463" s="85"/>
    </row>
    <row r="1464" customFormat="false" ht="18" hidden="false" customHeight="false" outlineLevel="0" collapsed="false">
      <c r="I1464" s="82"/>
      <c r="L1464" s="85"/>
      <c r="N1464" s="85"/>
    </row>
    <row r="1465" customFormat="false" ht="18" hidden="false" customHeight="false" outlineLevel="0" collapsed="false">
      <c r="I1465" s="82"/>
      <c r="L1465" s="85"/>
      <c r="N1465" s="85"/>
    </row>
    <row r="1466" customFormat="false" ht="18" hidden="false" customHeight="false" outlineLevel="0" collapsed="false">
      <c r="I1466" s="82"/>
      <c r="L1466" s="85"/>
      <c r="N1466" s="85"/>
    </row>
    <row r="1467" customFormat="false" ht="18" hidden="false" customHeight="false" outlineLevel="0" collapsed="false">
      <c r="I1467" s="82"/>
      <c r="L1467" s="85"/>
      <c r="N1467" s="85"/>
    </row>
    <row r="1468" customFormat="false" ht="18" hidden="false" customHeight="false" outlineLevel="0" collapsed="false">
      <c r="I1468" s="82"/>
      <c r="L1468" s="85"/>
      <c r="N1468" s="85"/>
    </row>
    <row r="1469" customFormat="false" ht="18" hidden="false" customHeight="false" outlineLevel="0" collapsed="false">
      <c r="I1469" s="82"/>
      <c r="L1469" s="85"/>
      <c r="N1469" s="85"/>
    </row>
    <row r="1470" customFormat="false" ht="18" hidden="false" customHeight="false" outlineLevel="0" collapsed="false">
      <c r="I1470" s="82"/>
      <c r="L1470" s="85"/>
      <c r="N1470" s="85"/>
    </row>
    <row r="1471" customFormat="false" ht="18" hidden="false" customHeight="false" outlineLevel="0" collapsed="false">
      <c r="I1471" s="82"/>
      <c r="L1471" s="85"/>
      <c r="N1471" s="85"/>
    </row>
    <row r="1472" customFormat="false" ht="18" hidden="false" customHeight="false" outlineLevel="0" collapsed="false">
      <c r="I1472" s="82"/>
      <c r="L1472" s="85"/>
      <c r="N1472" s="85"/>
    </row>
    <row r="1473" customFormat="false" ht="18" hidden="false" customHeight="false" outlineLevel="0" collapsed="false">
      <c r="I1473" s="82"/>
      <c r="L1473" s="85"/>
      <c r="N1473" s="85"/>
    </row>
    <row r="1474" customFormat="false" ht="18" hidden="false" customHeight="false" outlineLevel="0" collapsed="false">
      <c r="I1474" s="82"/>
      <c r="L1474" s="85"/>
      <c r="N1474" s="85"/>
    </row>
    <row r="1475" customFormat="false" ht="18" hidden="false" customHeight="false" outlineLevel="0" collapsed="false">
      <c r="I1475" s="82"/>
      <c r="L1475" s="85"/>
      <c r="N1475" s="85"/>
    </row>
    <row r="1476" customFormat="false" ht="18" hidden="false" customHeight="false" outlineLevel="0" collapsed="false">
      <c r="I1476" s="82"/>
      <c r="L1476" s="85"/>
      <c r="N1476" s="85"/>
    </row>
    <row r="1477" customFormat="false" ht="18" hidden="false" customHeight="false" outlineLevel="0" collapsed="false">
      <c r="I1477" s="82"/>
      <c r="L1477" s="85"/>
      <c r="N1477" s="85"/>
    </row>
    <row r="1478" customFormat="false" ht="18" hidden="false" customHeight="false" outlineLevel="0" collapsed="false">
      <c r="I1478" s="82"/>
      <c r="L1478" s="85"/>
      <c r="N1478" s="85"/>
    </row>
    <row r="1479" customFormat="false" ht="18" hidden="false" customHeight="false" outlineLevel="0" collapsed="false">
      <c r="I1479" s="82"/>
      <c r="L1479" s="85"/>
      <c r="N1479" s="85"/>
    </row>
    <row r="1480" customFormat="false" ht="18" hidden="false" customHeight="false" outlineLevel="0" collapsed="false">
      <c r="I1480" s="82"/>
      <c r="L1480" s="85"/>
      <c r="N1480" s="85"/>
    </row>
    <row r="1481" customFormat="false" ht="18" hidden="false" customHeight="false" outlineLevel="0" collapsed="false">
      <c r="I1481" s="82"/>
      <c r="L1481" s="85"/>
      <c r="N1481" s="85"/>
    </row>
    <row r="1482" customFormat="false" ht="18" hidden="false" customHeight="false" outlineLevel="0" collapsed="false">
      <c r="I1482" s="82"/>
      <c r="L1482" s="85"/>
      <c r="N1482" s="85"/>
    </row>
    <row r="1483" customFormat="false" ht="18" hidden="false" customHeight="false" outlineLevel="0" collapsed="false">
      <c r="I1483" s="82"/>
      <c r="L1483" s="85"/>
      <c r="N1483" s="85"/>
    </row>
    <row r="1484" customFormat="false" ht="18" hidden="false" customHeight="false" outlineLevel="0" collapsed="false">
      <c r="I1484" s="82"/>
      <c r="L1484" s="85"/>
      <c r="N1484" s="85"/>
    </row>
    <row r="1485" customFormat="false" ht="18" hidden="false" customHeight="false" outlineLevel="0" collapsed="false">
      <c r="I1485" s="82"/>
      <c r="L1485" s="85"/>
      <c r="N1485" s="85"/>
    </row>
    <row r="1486" customFormat="false" ht="18" hidden="false" customHeight="false" outlineLevel="0" collapsed="false">
      <c r="I1486" s="82"/>
      <c r="L1486" s="85"/>
      <c r="N1486" s="85"/>
    </row>
    <row r="1487" customFormat="false" ht="18" hidden="false" customHeight="false" outlineLevel="0" collapsed="false">
      <c r="I1487" s="82"/>
      <c r="L1487" s="85"/>
      <c r="N1487" s="85"/>
    </row>
    <row r="1488" customFormat="false" ht="18" hidden="false" customHeight="false" outlineLevel="0" collapsed="false">
      <c r="I1488" s="82"/>
      <c r="L1488" s="85"/>
      <c r="N1488" s="85"/>
    </row>
    <row r="1489" customFormat="false" ht="18" hidden="false" customHeight="false" outlineLevel="0" collapsed="false">
      <c r="I1489" s="82"/>
      <c r="L1489" s="85"/>
      <c r="N1489" s="85"/>
    </row>
    <row r="1490" customFormat="false" ht="18" hidden="false" customHeight="false" outlineLevel="0" collapsed="false">
      <c r="I1490" s="82"/>
      <c r="L1490" s="85"/>
      <c r="N1490" s="85"/>
    </row>
    <row r="1491" customFormat="false" ht="18" hidden="false" customHeight="false" outlineLevel="0" collapsed="false">
      <c r="I1491" s="82"/>
      <c r="L1491" s="85"/>
      <c r="N1491" s="85"/>
    </row>
    <row r="1492" customFormat="false" ht="18" hidden="false" customHeight="false" outlineLevel="0" collapsed="false">
      <c r="I1492" s="82"/>
      <c r="L1492" s="85"/>
      <c r="N1492" s="85"/>
    </row>
    <row r="1493" customFormat="false" ht="18" hidden="false" customHeight="false" outlineLevel="0" collapsed="false">
      <c r="I1493" s="82"/>
      <c r="L1493" s="85"/>
      <c r="N1493" s="85"/>
    </row>
    <row r="1494" customFormat="false" ht="18" hidden="false" customHeight="false" outlineLevel="0" collapsed="false">
      <c r="I1494" s="82"/>
      <c r="L1494" s="85"/>
      <c r="N1494" s="85"/>
    </row>
    <row r="1495" customFormat="false" ht="18" hidden="false" customHeight="false" outlineLevel="0" collapsed="false">
      <c r="I1495" s="82"/>
      <c r="L1495" s="85"/>
      <c r="N1495" s="85"/>
    </row>
    <row r="1496" customFormat="false" ht="18" hidden="false" customHeight="false" outlineLevel="0" collapsed="false">
      <c r="I1496" s="82"/>
      <c r="L1496" s="85"/>
      <c r="N1496" s="85"/>
    </row>
    <row r="1497" customFormat="false" ht="18" hidden="false" customHeight="false" outlineLevel="0" collapsed="false">
      <c r="I1497" s="82"/>
      <c r="L1497" s="85"/>
      <c r="N1497" s="85"/>
    </row>
    <row r="1498" customFormat="false" ht="18" hidden="false" customHeight="false" outlineLevel="0" collapsed="false">
      <c r="I1498" s="82"/>
      <c r="L1498" s="85"/>
      <c r="N1498" s="85"/>
    </row>
    <row r="1499" customFormat="false" ht="18" hidden="false" customHeight="false" outlineLevel="0" collapsed="false">
      <c r="I1499" s="82"/>
      <c r="L1499" s="85"/>
      <c r="N1499" s="85"/>
    </row>
    <row r="1500" customFormat="false" ht="18" hidden="false" customHeight="false" outlineLevel="0" collapsed="false">
      <c r="I1500" s="82"/>
      <c r="L1500" s="85"/>
      <c r="N1500" s="85"/>
    </row>
    <row r="1501" customFormat="false" ht="18" hidden="false" customHeight="false" outlineLevel="0" collapsed="false">
      <c r="I1501" s="82"/>
      <c r="L1501" s="85"/>
      <c r="N1501" s="85"/>
    </row>
    <row r="1502" customFormat="false" ht="18" hidden="false" customHeight="false" outlineLevel="0" collapsed="false">
      <c r="I1502" s="82"/>
      <c r="L1502" s="85"/>
      <c r="N1502" s="85"/>
    </row>
    <row r="1503" customFormat="false" ht="18" hidden="false" customHeight="false" outlineLevel="0" collapsed="false">
      <c r="I1503" s="82"/>
      <c r="L1503" s="85"/>
      <c r="N1503" s="85"/>
    </row>
    <row r="1504" customFormat="false" ht="18" hidden="false" customHeight="false" outlineLevel="0" collapsed="false">
      <c r="I1504" s="82"/>
      <c r="L1504" s="85"/>
      <c r="N1504" s="85"/>
    </row>
    <row r="1505" customFormat="false" ht="18" hidden="false" customHeight="false" outlineLevel="0" collapsed="false">
      <c r="I1505" s="82"/>
      <c r="L1505" s="85"/>
      <c r="N1505" s="85"/>
    </row>
    <row r="1506" customFormat="false" ht="18" hidden="false" customHeight="false" outlineLevel="0" collapsed="false">
      <c r="I1506" s="82"/>
      <c r="L1506" s="85"/>
      <c r="N1506" s="85"/>
    </row>
    <row r="1507" customFormat="false" ht="18" hidden="false" customHeight="false" outlineLevel="0" collapsed="false">
      <c r="I1507" s="82"/>
      <c r="L1507" s="85"/>
      <c r="N1507" s="85"/>
    </row>
    <row r="1508" customFormat="false" ht="18" hidden="false" customHeight="false" outlineLevel="0" collapsed="false">
      <c r="I1508" s="82"/>
      <c r="L1508" s="85"/>
      <c r="N1508" s="85"/>
    </row>
    <row r="1509" customFormat="false" ht="18" hidden="false" customHeight="false" outlineLevel="0" collapsed="false">
      <c r="I1509" s="82"/>
      <c r="L1509" s="85"/>
      <c r="N1509" s="85"/>
    </row>
    <row r="1510" customFormat="false" ht="18" hidden="false" customHeight="false" outlineLevel="0" collapsed="false">
      <c r="I1510" s="82"/>
      <c r="L1510" s="85"/>
      <c r="N1510" s="85"/>
    </row>
    <row r="1511" customFormat="false" ht="18" hidden="false" customHeight="false" outlineLevel="0" collapsed="false">
      <c r="I1511" s="82"/>
      <c r="L1511" s="85"/>
      <c r="N1511" s="85"/>
    </row>
    <row r="1512" customFormat="false" ht="18" hidden="false" customHeight="false" outlineLevel="0" collapsed="false">
      <c r="I1512" s="82"/>
      <c r="L1512" s="85"/>
      <c r="N1512" s="85"/>
    </row>
    <row r="1513" customFormat="false" ht="18" hidden="false" customHeight="false" outlineLevel="0" collapsed="false">
      <c r="I1513" s="82"/>
      <c r="L1513" s="85"/>
      <c r="N1513" s="85"/>
    </row>
    <row r="1514" customFormat="false" ht="18" hidden="false" customHeight="false" outlineLevel="0" collapsed="false">
      <c r="I1514" s="82"/>
      <c r="L1514" s="85"/>
      <c r="N1514" s="85"/>
    </row>
    <row r="1515" customFormat="false" ht="18" hidden="false" customHeight="false" outlineLevel="0" collapsed="false">
      <c r="I1515" s="82"/>
      <c r="L1515" s="85"/>
      <c r="N1515" s="85"/>
    </row>
    <row r="1516" customFormat="false" ht="18" hidden="false" customHeight="false" outlineLevel="0" collapsed="false">
      <c r="I1516" s="82"/>
      <c r="L1516" s="85"/>
      <c r="N1516" s="85"/>
    </row>
    <row r="1517" customFormat="false" ht="18" hidden="false" customHeight="false" outlineLevel="0" collapsed="false">
      <c r="I1517" s="82"/>
      <c r="L1517" s="85"/>
      <c r="N1517" s="85"/>
    </row>
    <row r="1518" customFormat="false" ht="18" hidden="false" customHeight="false" outlineLevel="0" collapsed="false">
      <c r="I1518" s="82"/>
      <c r="L1518" s="85"/>
      <c r="N1518" s="85"/>
    </row>
    <row r="1519" customFormat="false" ht="18" hidden="false" customHeight="false" outlineLevel="0" collapsed="false">
      <c r="I1519" s="82"/>
      <c r="L1519" s="85"/>
      <c r="N1519" s="85"/>
    </row>
    <row r="1520" customFormat="false" ht="18" hidden="false" customHeight="false" outlineLevel="0" collapsed="false">
      <c r="I1520" s="82"/>
      <c r="L1520" s="85"/>
      <c r="N1520" s="85"/>
    </row>
    <row r="1521" customFormat="false" ht="18" hidden="false" customHeight="false" outlineLevel="0" collapsed="false">
      <c r="I1521" s="82"/>
      <c r="L1521" s="85"/>
      <c r="N1521" s="85"/>
    </row>
    <row r="1522" customFormat="false" ht="18" hidden="false" customHeight="false" outlineLevel="0" collapsed="false">
      <c r="I1522" s="82"/>
      <c r="L1522" s="85"/>
      <c r="N1522" s="85"/>
    </row>
    <row r="1523" customFormat="false" ht="18" hidden="false" customHeight="false" outlineLevel="0" collapsed="false">
      <c r="I1523" s="82"/>
      <c r="L1523" s="85"/>
      <c r="N1523" s="85"/>
    </row>
    <row r="1524" customFormat="false" ht="18" hidden="false" customHeight="false" outlineLevel="0" collapsed="false">
      <c r="I1524" s="82"/>
      <c r="L1524" s="85"/>
      <c r="N1524" s="85"/>
    </row>
    <row r="1525" customFormat="false" ht="18" hidden="false" customHeight="false" outlineLevel="0" collapsed="false">
      <c r="I1525" s="82"/>
      <c r="L1525" s="85"/>
      <c r="N1525" s="85"/>
    </row>
    <row r="1526" customFormat="false" ht="18" hidden="false" customHeight="false" outlineLevel="0" collapsed="false">
      <c r="I1526" s="82"/>
      <c r="L1526" s="85"/>
      <c r="N1526" s="85"/>
    </row>
    <row r="1527" customFormat="false" ht="18" hidden="false" customHeight="false" outlineLevel="0" collapsed="false">
      <c r="I1527" s="82"/>
      <c r="L1527" s="85"/>
      <c r="N1527" s="85"/>
    </row>
    <row r="1528" customFormat="false" ht="18" hidden="false" customHeight="false" outlineLevel="0" collapsed="false">
      <c r="I1528" s="82"/>
      <c r="L1528" s="85"/>
      <c r="N1528" s="85"/>
    </row>
    <row r="1529" customFormat="false" ht="18" hidden="false" customHeight="false" outlineLevel="0" collapsed="false">
      <c r="I1529" s="82"/>
      <c r="L1529" s="85"/>
      <c r="N1529" s="85"/>
    </row>
    <row r="1530" customFormat="false" ht="18" hidden="false" customHeight="false" outlineLevel="0" collapsed="false">
      <c r="I1530" s="82"/>
      <c r="L1530" s="85"/>
      <c r="N1530" s="85"/>
    </row>
    <row r="1531" customFormat="false" ht="18" hidden="false" customHeight="false" outlineLevel="0" collapsed="false">
      <c r="I1531" s="82"/>
      <c r="L1531" s="85"/>
      <c r="N1531" s="85"/>
    </row>
    <row r="1532" customFormat="false" ht="18" hidden="false" customHeight="false" outlineLevel="0" collapsed="false">
      <c r="I1532" s="82"/>
      <c r="L1532" s="85"/>
      <c r="N1532" s="85"/>
    </row>
    <row r="1533" customFormat="false" ht="18" hidden="false" customHeight="false" outlineLevel="0" collapsed="false">
      <c r="I1533" s="82"/>
      <c r="L1533" s="85"/>
      <c r="N1533" s="85"/>
    </row>
    <row r="1534" customFormat="false" ht="18" hidden="false" customHeight="false" outlineLevel="0" collapsed="false">
      <c r="I1534" s="82"/>
      <c r="L1534" s="85"/>
      <c r="N1534" s="85"/>
    </row>
    <row r="1535" customFormat="false" ht="18" hidden="false" customHeight="false" outlineLevel="0" collapsed="false">
      <c r="I1535" s="82"/>
      <c r="L1535" s="85"/>
      <c r="N1535" s="85"/>
    </row>
    <row r="1536" customFormat="false" ht="18" hidden="false" customHeight="false" outlineLevel="0" collapsed="false">
      <c r="I1536" s="82"/>
      <c r="L1536" s="85"/>
      <c r="N1536" s="85"/>
    </row>
    <row r="1537" customFormat="false" ht="18" hidden="false" customHeight="false" outlineLevel="0" collapsed="false">
      <c r="I1537" s="82"/>
      <c r="L1537" s="85"/>
      <c r="N1537" s="85"/>
    </row>
    <row r="1538" customFormat="false" ht="18" hidden="false" customHeight="false" outlineLevel="0" collapsed="false">
      <c r="I1538" s="82"/>
      <c r="L1538" s="85"/>
      <c r="N1538" s="85"/>
    </row>
    <row r="1539" customFormat="false" ht="18" hidden="false" customHeight="false" outlineLevel="0" collapsed="false">
      <c r="I1539" s="82"/>
      <c r="L1539" s="85"/>
      <c r="N1539" s="85"/>
    </row>
    <row r="1540" customFormat="false" ht="18" hidden="false" customHeight="false" outlineLevel="0" collapsed="false">
      <c r="I1540" s="82"/>
      <c r="L1540" s="85"/>
      <c r="N1540" s="85"/>
    </row>
    <row r="1541" customFormat="false" ht="18" hidden="false" customHeight="false" outlineLevel="0" collapsed="false">
      <c r="I1541" s="82"/>
      <c r="L1541" s="85"/>
      <c r="N1541" s="85"/>
    </row>
    <row r="1542" customFormat="false" ht="18" hidden="false" customHeight="false" outlineLevel="0" collapsed="false">
      <c r="I1542" s="82"/>
      <c r="L1542" s="85"/>
      <c r="N1542" s="85"/>
    </row>
    <row r="1543" customFormat="false" ht="18" hidden="false" customHeight="false" outlineLevel="0" collapsed="false">
      <c r="I1543" s="82"/>
      <c r="L1543" s="85"/>
      <c r="N1543" s="85"/>
    </row>
    <row r="1544" customFormat="false" ht="18" hidden="false" customHeight="false" outlineLevel="0" collapsed="false">
      <c r="I1544" s="82"/>
      <c r="L1544" s="85"/>
      <c r="N1544" s="85"/>
    </row>
    <row r="1545" customFormat="false" ht="18" hidden="false" customHeight="false" outlineLevel="0" collapsed="false">
      <c r="I1545" s="82"/>
      <c r="L1545" s="85"/>
      <c r="N1545" s="85"/>
    </row>
    <row r="1546" customFormat="false" ht="18" hidden="false" customHeight="false" outlineLevel="0" collapsed="false">
      <c r="I1546" s="82"/>
      <c r="L1546" s="85"/>
      <c r="N1546" s="85"/>
    </row>
    <row r="1547" customFormat="false" ht="18" hidden="false" customHeight="false" outlineLevel="0" collapsed="false">
      <c r="I1547" s="82"/>
      <c r="L1547" s="85"/>
      <c r="N1547" s="85"/>
    </row>
    <row r="1548" customFormat="false" ht="18" hidden="false" customHeight="false" outlineLevel="0" collapsed="false">
      <c r="I1548" s="82"/>
      <c r="L1548" s="85"/>
      <c r="N1548" s="85"/>
    </row>
    <row r="1549" customFormat="false" ht="18" hidden="false" customHeight="false" outlineLevel="0" collapsed="false">
      <c r="I1549" s="82"/>
      <c r="L1549" s="85"/>
      <c r="N1549" s="85"/>
    </row>
    <row r="1550" customFormat="false" ht="18" hidden="false" customHeight="false" outlineLevel="0" collapsed="false">
      <c r="I1550" s="82"/>
      <c r="L1550" s="85"/>
      <c r="N1550" s="85"/>
    </row>
    <row r="1551" customFormat="false" ht="18" hidden="false" customHeight="false" outlineLevel="0" collapsed="false">
      <c r="I1551" s="82"/>
      <c r="L1551" s="85"/>
      <c r="N1551" s="85"/>
    </row>
    <row r="1552" customFormat="false" ht="18" hidden="false" customHeight="false" outlineLevel="0" collapsed="false">
      <c r="I1552" s="82"/>
      <c r="L1552" s="85"/>
      <c r="N1552" s="85"/>
    </row>
    <row r="1553" customFormat="false" ht="18" hidden="false" customHeight="false" outlineLevel="0" collapsed="false">
      <c r="I1553" s="82"/>
      <c r="L1553" s="85"/>
      <c r="N1553" s="85"/>
    </row>
    <row r="1554" customFormat="false" ht="18" hidden="false" customHeight="false" outlineLevel="0" collapsed="false">
      <c r="I1554" s="82"/>
      <c r="L1554" s="85"/>
      <c r="N1554" s="85"/>
    </row>
    <row r="1555" customFormat="false" ht="18" hidden="false" customHeight="false" outlineLevel="0" collapsed="false">
      <c r="I1555" s="82"/>
      <c r="L1555" s="85"/>
      <c r="N1555" s="85"/>
    </row>
    <row r="1556" customFormat="false" ht="18" hidden="false" customHeight="false" outlineLevel="0" collapsed="false">
      <c r="I1556" s="82"/>
      <c r="L1556" s="85"/>
      <c r="N1556" s="85"/>
    </row>
    <row r="1557" customFormat="false" ht="18" hidden="false" customHeight="false" outlineLevel="0" collapsed="false">
      <c r="I1557" s="82"/>
      <c r="L1557" s="85"/>
      <c r="N1557" s="85"/>
    </row>
    <row r="1558" customFormat="false" ht="18" hidden="false" customHeight="false" outlineLevel="0" collapsed="false">
      <c r="I1558" s="82"/>
      <c r="L1558" s="85"/>
      <c r="N1558" s="85"/>
    </row>
    <row r="1559" customFormat="false" ht="18" hidden="false" customHeight="false" outlineLevel="0" collapsed="false">
      <c r="I1559" s="82"/>
      <c r="L1559" s="85"/>
      <c r="N1559" s="85"/>
    </row>
    <row r="1560" customFormat="false" ht="18" hidden="false" customHeight="false" outlineLevel="0" collapsed="false">
      <c r="I1560" s="82"/>
      <c r="L1560" s="85"/>
      <c r="N1560" s="85"/>
    </row>
    <row r="1561" customFormat="false" ht="18" hidden="false" customHeight="false" outlineLevel="0" collapsed="false">
      <c r="I1561" s="82"/>
      <c r="L1561" s="85"/>
      <c r="N1561" s="85"/>
    </row>
    <row r="1562" customFormat="false" ht="18" hidden="false" customHeight="false" outlineLevel="0" collapsed="false">
      <c r="I1562" s="82"/>
      <c r="L1562" s="85"/>
      <c r="N1562" s="85"/>
    </row>
    <row r="1563" customFormat="false" ht="18" hidden="false" customHeight="false" outlineLevel="0" collapsed="false">
      <c r="I1563" s="82"/>
      <c r="L1563" s="85"/>
      <c r="N1563" s="85"/>
    </row>
    <row r="1564" customFormat="false" ht="18" hidden="false" customHeight="false" outlineLevel="0" collapsed="false">
      <c r="I1564" s="82"/>
      <c r="L1564" s="85"/>
      <c r="N1564" s="85"/>
    </row>
    <row r="1565" customFormat="false" ht="18" hidden="false" customHeight="false" outlineLevel="0" collapsed="false">
      <c r="I1565" s="82"/>
      <c r="L1565" s="85"/>
      <c r="N1565" s="85"/>
    </row>
    <row r="1566" customFormat="false" ht="18" hidden="false" customHeight="false" outlineLevel="0" collapsed="false">
      <c r="I1566" s="82"/>
      <c r="L1566" s="85"/>
      <c r="N1566" s="85"/>
    </row>
    <row r="1567" customFormat="false" ht="18" hidden="false" customHeight="false" outlineLevel="0" collapsed="false">
      <c r="I1567" s="82"/>
      <c r="L1567" s="85"/>
      <c r="N1567" s="85"/>
    </row>
    <row r="1568" customFormat="false" ht="18" hidden="false" customHeight="false" outlineLevel="0" collapsed="false">
      <c r="I1568" s="82"/>
      <c r="L1568" s="85"/>
      <c r="N1568" s="85"/>
    </row>
    <row r="1569" customFormat="false" ht="18" hidden="false" customHeight="false" outlineLevel="0" collapsed="false">
      <c r="I1569" s="82"/>
      <c r="L1569" s="85"/>
      <c r="N1569" s="85"/>
    </row>
    <row r="1570" customFormat="false" ht="18" hidden="false" customHeight="false" outlineLevel="0" collapsed="false">
      <c r="I1570" s="82"/>
      <c r="L1570" s="85"/>
      <c r="N1570" s="85"/>
    </row>
    <row r="1571" customFormat="false" ht="18" hidden="false" customHeight="false" outlineLevel="0" collapsed="false">
      <c r="I1571" s="82"/>
      <c r="L1571" s="85"/>
      <c r="N1571" s="85"/>
    </row>
    <row r="1572" customFormat="false" ht="18" hidden="false" customHeight="false" outlineLevel="0" collapsed="false">
      <c r="I1572" s="82"/>
      <c r="L1572" s="85"/>
      <c r="N1572" s="85"/>
    </row>
    <row r="1573" customFormat="false" ht="18" hidden="false" customHeight="false" outlineLevel="0" collapsed="false">
      <c r="I1573" s="82"/>
      <c r="L1573" s="85"/>
      <c r="N1573" s="85"/>
    </row>
    <row r="1574" customFormat="false" ht="18" hidden="false" customHeight="false" outlineLevel="0" collapsed="false">
      <c r="I1574" s="82"/>
      <c r="L1574" s="85"/>
      <c r="N1574" s="85"/>
    </row>
    <row r="1575" customFormat="false" ht="18" hidden="false" customHeight="false" outlineLevel="0" collapsed="false">
      <c r="I1575" s="82"/>
      <c r="L1575" s="85"/>
      <c r="N1575" s="85"/>
    </row>
    <row r="1576" customFormat="false" ht="18" hidden="false" customHeight="false" outlineLevel="0" collapsed="false">
      <c r="I1576" s="82"/>
      <c r="L1576" s="85"/>
      <c r="N1576" s="85"/>
    </row>
    <row r="1577" customFormat="false" ht="18" hidden="false" customHeight="false" outlineLevel="0" collapsed="false">
      <c r="I1577" s="82"/>
      <c r="L1577" s="85"/>
      <c r="N1577" s="85"/>
    </row>
    <row r="1578" customFormat="false" ht="18" hidden="false" customHeight="false" outlineLevel="0" collapsed="false">
      <c r="I1578" s="82"/>
      <c r="L1578" s="85"/>
      <c r="N1578" s="85"/>
    </row>
    <row r="1579" customFormat="false" ht="18" hidden="false" customHeight="false" outlineLevel="0" collapsed="false">
      <c r="I1579" s="82"/>
      <c r="L1579" s="85"/>
      <c r="N1579" s="85"/>
    </row>
    <row r="1580" customFormat="false" ht="18" hidden="false" customHeight="false" outlineLevel="0" collapsed="false">
      <c r="I1580" s="82"/>
      <c r="L1580" s="85"/>
      <c r="N1580" s="85"/>
    </row>
    <row r="1581" customFormat="false" ht="18" hidden="false" customHeight="false" outlineLevel="0" collapsed="false">
      <c r="I1581" s="82"/>
      <c r="L1581" s="85"/>
      <c r="N1581" s="85"/>
    </row>
    <row r="1582" customFormat="false" ht="18" hidden="false" customHeight="false" outlineLevel="0" collapsed="false">
      <c r="I1582" s="82"/>
      <c r="L1582" s="85"/>
      <c r="N1582" s="85"/>
    </row>
    <row r="1583" customFormat="false" ht="18" hidden="false" customHeight="false" outlineLevel="0" collapsed="false">
      <c r="I1583" s="82"/>
      <c r="L1583" s="85"/>
      <c r="N1583" s="85"/>
    </row>
    <row r="1584" customFormat="false" ht="18" hidden="false" customHeight="false" outlineLevel="0" collapsed="false">
      <c r="I1584" s="82"/>
      <c r="L1584" s="85"/>
      <c r="N1584" s="85"/>
    </row>
    <row r="1585" customFormat="false" ht="18" hidden="false" customHeight="false" outlineLevel="0" collapsed="false">
      <c r="I1585" s="82"/>
      <c r="L1585" s="85"/>
      <c r="N1585" s="85"/>
    </row>
    <row r="1586" customFormat="false" ht="18" hidden="false" customHeight="false" outlineLevel="0" collapsed="false">
      <c r="I1586" s="82"/>
      <c r="L1586" s="85"/>
      <c r="N1586" s="85"/>
    </row>
    <row r="1587" customFormat="false" ht="18" hidden="false" customHeight="false" outlineLevel="0" collapsed="false">
      <c r="I1587" s="82"/>
      <c r="L1587" s="85"/>
    </row>
    <row r="1588" customFormat="false" ht="18" hidden="false" customHeight="false" outlineLevel="0" collapsed="false">
      <c r="I1588" s="82"/>
      <c r="L1588" s="85"/>
    </row>
    <row r="1589" customFormat="false" ht="18" hidden="false" customHeight="false" outlineLevel="0" collapsed="false">
      <c r="I1589" s="82"/>
      <c r="L1589" s="85"/>
    </row>
    <row r="1590" customFormat="false" ht="18" hidden="false" customHeight="false" outlineLevel="0" collapsed="false">
      <c r="I1590" s="82"/>
      <c r="L1590" s="85"/>
    </row>
    <row r="1591" customFormat="false" ht="18" hidden="false" customHeight="false" outlineLevel="0" collapsed="false">
      <c r="I1591" s="82"/>
      <c r="L1591" s="85"/>
    </row>
    <row r="1592" customFormat="false" ht="18" hidden="false" customHeight="false" outlineLevel="0" collapsed="false">
      <c r="I1592" s="82"/>
      <c r="L1592" s="85"/>
    </row>
    <row r="1593" customFormat="false" ht="18" hidden="false" customHeight="false" outlineLevel="0" collapsed="false">
      <c r="I1593" s="82"/>
      <c r="L1593" s="85"/>
    </row>
    <row r="1594" customFormat="false" ht="18" hidden="false" customHeight="false" outlineLevel="0" collapsed="false">
      <c r="I1594" s="82"/>
      <c r="L1594" s="85"/>
    </row>
    <row r="1595" customFormat="false" ht="18" hidden="false" customHeight="false" outlineLevel="0" collapsed="false">
      <c r="I1595" s="82"/>
      <c r="L1595" s="85"/>
    </row>
    <row r="1596" customFormat="false" ht="18" hidden="false" customHeight="false" outlineLevel="0" collapsed="false">
      <c r="I1596" s="82"/>
      <c r="L1596" s="85"/>
    </row>
    <row r="1597" customFormat="false" ht="18" hidden="false" customHeight="false" outlineLevel="0" collapsed="false">
      <c r="I1597" s="82"/>
      <c r="L1597" s="85"/>
    </row>
    <row r="1598" customFormat="false" ht="18" hidden="false" customHeight="false" outlineLevel="0" collapsed="false">
      <c r="I1598" s="82"/>
      <c r="L1598" s="85"/>
    </row>
    <row r="1599" customFormat="false" ht="18" hidden="false" customHeight="false" outlineLevel="0" collapsed="false">
      <c r="I1599" s="82"/>
      <c r="L1599" s="85"/>
    </row>
    <row r="1600" customFormat="false" ht="18" hidden="false" customHeight="false" outlineLevel="0" collapsed="false">
      <c r="I1600" s="82"/>
      <c r="L1600" s="85"/>
    </row>
    <row r="1601" customFormat="false" ht="18" hidden="false" customHeight="false" outlineLevel="0" collapsed="false">
      <c r="I1601" s="82"/>
      <c r="L1601" s="85"/>
    </row>
    <row r="1602" customFormat="false" ht="18" hidden="false" customHeight="false" outlineLevel="0" collapsed="false">
      <c r="I1602" s="82"/>
      <c r="L1602" s="85"/>
    </row>
    <row r="1603" customFormat="false" ht="18" hidden="false" customHeight="false" outlineLevel="0" collapsed="false">
      <c r="I1603" s="82"/>
      <c r="L1603" s="85"/>
    </row>
    <row r="1604" customFormat="false" ht="18" hidden="false" customHeight="false" outlineLevel="0" collapsed="false">
      <c r="I1604" s="82"/>
      <c r="L1604" s="85"/>
    </row>
    <row r="1605" customFormat="false" ht="18" hidden="false" customHeight="false" outlineLevel="0" collapsed="false">
      <c r="I1605" s="82"/>
      <c r="L1605" s="85"/>
    </row>
    <row r="1606" customFormat="false" ht="18" hidden="false" customHeight="false" outlineLevel="0" collapsed="false">
      <c r="I1606" s="82"/>
      <c r="L1606" s="85"/>
    </row>
    <row r="1607" customFormat="false" ht="18" hidden="false" customHeight="false" outlineLevel="0" collapsed="false">
      <c r="I1607" s="82"/>
      <c r="L1607" s="85"/>
    </row>
    <row r="1608" customFormat="false" ht="18" hidden="false" customHeight="false" outlineLevel="0" collapsed="false">
      <c r="I1608" s="82"/>
      <c r="L1608" s="85"/>
    </row>
    <row r="1609" customFormat="false" ht="18" hidden="false" customHeight="false" outlineLevel="0" collapsed="false">
      <c r="I1609" s="82"/>
      <c r="L1609" s="85"/>
    </row>
    <row r="1610" customFormat="false" ht="18" hidden="false" customHeight="false" outlineLevel="0" collapsed="false">
      <c r="I1610" s="82"/>
      <c r="L1610" s="85"/>
    </row>
    <row r="1611" customFormat="false" ht="18" hidden="false" customHeight="false" outlineLevel="0" collapsed="false">
      <c r="I1611" s="82"/>
      <c r="L1611" s="85"/>
    </row>
    <row r="1612" customFormat="false" ht="18" hidden="false" customHeight="false" outlineLevel="0" collapsed="false">
      <c r="I1612" s="82"/>
      <c r="L1612" s="85"/>
    </row>
    <row r="1613" customFormat="false" ht="18" hidden="false" customHeight="false" outlineLevel="0" collapsed="false">
      <c r="I1613" s="82"/>
      <c r="L1613" s="85"/>
    </row>
    <row r="1614" customFormat="false" ht="18" hidden="false" customHeight="false" outlineLevel="0" collapsed="false">
      <c r="I1614" s="82"/>
      <c r="L1614" s="85"/>
    </row>
    <row r="1615" customFormat="false" ht="18" hidden="false" customHeight="false" outlineLevel="0" collapsed="false">
      <c r="I1615" s="82"/>
      <c r="L1615" s="85"/>
    </row>
    <row r="1616" customFormat="false" ht="18" hidden="false" customHeight="false" outlineLevel="0" collapsed="false">
      <c r="I1616" s="82"/>
      <c r="L1616" s="85"/>
    </row>
    <row r="1617" customFormat="false" ht="18" hidden="false" customHeight="false" outlineLevel="0" collapsed="false">
      <c r="I1617" s="82"/>
      <c r="L1617" s="85"/>
    </row>
    <row r="1618" customFormat="false" ht="18" hidden="false" customHeight="false" outlineLevel="0" collapsed="false">
      <c r="I1618" s="82"/>
      <c r="L1618" s="85"/>
    </row>
    <row r="1619" customFormat="false" ht="18" hidden="false" customHeight="false" outlineLevel="0" collapsed="false">
      <c r="I1619" s="82"/>
      <c r="L1619" s="85"/>
    </row>
    <row r="1620" customFormat="false" ht="18" hidden="false" customHeight="false" outlineLevel="0" collapsed="false">
      <c r="I1620" s="82"/>
      <c r="L1620" s="85"/>
    </row>
    <row r="1621" customFormat="false" ht="18" hidden="false" customHeight="false" outlineLevel="0" collapsed="false">
      <c r="I1621" s="82"/>
      <c r="L1621" s="85"/>
    </row>
    <row r="1622" customFormat="false" ht="18" hidden="false" customHeight="false" outlineLevel="0" collapsed="false">
      <c r="I1622" s="82"/>
      <c r="L1622" s="85"/>
    </row>
    <row r="1623" customFormat="false" ht="18" hidden="false" customHeight="false" outlineLevel="0" collapsed="false">
      <c r="I1623" s="82"/>
      <c r="L1623" s="85"/>
    </row>
    <row r="1624" customFormat="false" ht="18" hidden="false" customHeight="false" outlineLevel="0" collapsed="false">
      <c r="I1624" s="82"/>
      <c r="L1624" s="85"/>
    </row>
    <row r="1625" customFormat="false" ht="18" hidden="false" customHeight="false" outlineLevel="0" collapsed="false">
      <c r="I1625" s="82"/>
      <c r="L1625" s="85"/>
    </row>
    <row r="1626" customFormat="false" ht="18" hidden="false" customHeight="false" outlineLevel="0" collapsed="false">
      <c r="I1626" s="82"/>
      <c r="L1626" s="85"/>
    </row>
    <row r="1627" customFormat="false" ht="18" hidden="false" customHeight="false" outlineLevel="0" collapsed="false">
      <c r="I1627" s="82"/>
      <c r="L1627" s="85"/>
    </row>
    <row r="1628" customFormat="false" ht="18" hidden="false" customHeight="false" outlineLevel="0" collapsed="false">
      <c r="I1628" s="82"/>
      <c r="L1628" s="85"/>
    </row>
    <row r="1629" customFormat="false" ht="18" hidden="false" customHeight="false" outlineLevel="0" collapsed="false">
      <c r="I1629" s="82"/>
      <c r="L1629" s="85"/>
    </row>
    <row r="1630" customFormat="false" ht="18" hidden="false" customHeight="false" outlineLevel="0" collapsed="false">
      <c r="I1630" s="82"/>
      <c r="L1630" s="85"/>
    </row>
    <row r="1631" customFormat="false" ht="18" hidden="false" customHeight="false" outlineLevel="0" collapsed="false">
      <c r="I1631" s="82"/>
      <c r="L1631" s="85"/>
    </row>
    <row r="1632" customFormat="false" ht="18" hidden="false" customHeight="false" outlineLevel="0" collapsed="false">
      <c r="I1632" s="82"/>
      <c r="L1632" s="85"/>
    </row>
    <row r="1633" customFormat="false" ht="18" hidden="false" customHeight="false" outlineLevel="0" collapsed="false">
      <c r="I1633" s="82"/>
      <c r="L1633" s="85"/>
    </row>
    <row r="1634" customFormat="false" ht="18" hidden="false" customHeight="false" outlineLevel="0" collapsed="false">
      <c r="I1634" s="82"/>
      <c r="L1634" s="85"/>
    </row>
    <row r="1635" customFormat="false" ht="18" hidden="false" customHeight="false" outlineLevel="0" collapsed="false">
      <c r="I1635" s="82"/>
      <c r="L1635" s="85"/>
    </row>
    <row r="1636" customFormat="false" ht="18" hidden="false" customHeight="false" outlineLevel="0" collapsed="false">
      <c r="I1636" s="82"/>
      <c r="L1636" s="85"/>
    </row>
    <row r="1637" customFormat="false" ht="18" hidden="false" customHeight="false" outlineLevel="0" collapsed="false">
      <c r="I1637" s="82"/>
      <c r="L1637" s="85"/>
    </row>
    <row r="1638" customFormat="false" ht="18" hidden="false" customHeight="false" outlineLevel="0" collapsed="false">
      <c r="I1638" s="82"/>
      <c r="L1638" s="85"/>
    </row>
    <row r="1639" customFormat="false" ht="18" hidden="false" customHeight="false" outlineLevel="0" collapsed="false">
      <c r="I1639" s="82"/>
      <c r="L1639" s="85"/>
    </row>
    <row r="1640" customFormat="false" ht="18" hidden="false" customHeight="false" outlineLevel="0" collapsed="false">
      <c r="I1640" s="82"/>
      <c r="L1640" s="85"/>
    </row>
    <row r="1641" customFormat="false" ht="18" hidden="false" customHeight="false" outlineLevel="0" collapsed="false">
      <c r="I1641" s="82"/>
      <c r="L1641" s="85"/>
    </row>
    <row r="1642" customFormat="false" ht="18" hidden="false" customHeight="false" outlineLevel="0" collapsed="false">
      <c r="I1642" s="82"/>
      <c r="L1642" s="85"/>
    </row>
    <row r="1643" customFormat="false" ht="18" hidden="false" customHeight="false" outlineLevel="0" collapsed="false">
      <c r="I1643" s="82"/>
      <c r="L1643" s="85"/>
    </row>
    <row r="1644" customFormat="false" ht="18" hidden="false" customHeight="false" outlineLevel="0" collapsed="false">
      <c r="I1644" s="82"/>
      <c r="L1644" s="85"/>
    </row>
    <row r="1645" customFormat="false" ht="18" hidden="false" customHeight="false" outlineLevel="0" collapsed="false">
      <c r="I1645" s="82"/>
      <c r="L1645" s="85"/>
    </row>
    <row r="1646" customFormat="false" ht="18" hidden="false" customHeight="false" outlineLevel="0" collapsed="false">
      <c r="L1646" s="85"/>
    </row>
    <row r="1647" customFormat="false" ht="18" hidden="false" customHeight="false" outlineLevel="0" collapsed="false">
      <c r="L1647" s="85"/>
    </row>
    <row r="1648" customFormat="false" ht="18" hidden="false" customHeight="false" outlineLevel="0" collapsed="false">
      <c r="L1648" s="85"/>
    </row>
    <row r="1649" customFormat="false" ht="18" hidden="false" customHeight="false" outlineLevel="0" collapsed="false">
      <c r="L1649" s="85"/>
    </row>
    <row r="1650" customFormat="false" ht="18" hidden="false" customHeight="false" outlineLevel="0" collapsed="false">
      <c r="L1650" s="85"/>
    </row>
    <row r="1651" customFormat="false" ht="18" hidden="false" customHeight="false" outlineLevel="0" collapsed="false">
      <c r="L1651" s="85"/>
    </row>
    <row r="1652" customFormat="false" ht="18" hidden="false" customHeight="false" outlineLevel="0" collapsed="false">
      <c r="L1652" s="85"/>
    </row>
    <row r="1653" customFormat="false" ht="18" hidden="false" customHeight="false" outlineLevel="0" collapsed="false">
      <c r="L1653" s="85"/>
    </row>
    <row r="1654" customFormat="false" ht="18" hidden="false" customHeight="false" outlineLevel="0" collapsed="false">
      <c r="L1654" s="85"/>
    </row>
    <row r="1655" customFormat="false" ht="18" hidden="false" customHeight="false" outlineLevel="0" collapsed="false">
      <c r="L1655" s="85"/>
    </row>
    <row r="1656" customFormat="false" ht="18" hidden="false" customHeight="false" outlineLevel="0" collapsed="false">
      <c r="L1656" s="85"/>
    </row>
    <row r="1657" customFormat="false" ht="18" hidden="false" customHeight="false" outlineLevel="0" collapsed="false">
      <c r="L1657" s="85"/>
    </row>
    <row r="1658" customFormat="false" ht="18" hidden="false" customHeight="false" outlineLevel="0" collapsed="false">
      <c r="L1658" s="85"/>
    </row>
    <row r="1659" customFormat="false" ht="18" hidden="false" customHeight="false" outlineLevel="0" collapsed="false">
      <c r="L1659" s="85"/>
    </row>
    <row r="1660" customFormat="false" ht="18" hidden="false" customHeight="false" outlineLevel="0" collapsed="false">
      <c r="L1660" s="85"/>
    </row>
    <row r="1661" customFormat="false" ht="18" hidden="false" customHeight="false" outlineLevel="0" collapsed="false">
      <c r="L1661" s="85"/>
    </row>
    <row r="1662" customFormat="false" ht="18" hidden="false" customHeight="false" outlineLevel="0" collapsed="false">
      <c r="L1662" s="85"/>
    </row>
    <row r="1663" customFormat="false" ht="18" hidden="false" customHeight="false" outlineLevel="0" collapsed="false">
      <c r="L1663" s="85"/>
    </row>
    <row r="1664" customFormat="false" ht="18" hidden="false" customHeight="false" outlineLevel="0" collapsed="false">
      <c r="L1664" s="85"/>
    </row>
    <row r="1665" customFormat="false" ht="18" hidden="false" customHeight="false" outlineLevel="0" collapsed="false">
      <c r="L1665" s="85"/>
    </row>
    <row r="1666" customFormat="false" ht="18" hidden="false" customHeight="false" outlineLevel="0" collapsed="false">
      <c r="L1666" s="85"/>
    </row>
    <row r="1667" customFormat="false" ht="18" hidden="false" customHeight="false" outlineLevel="0" collapsed="false">
      <c r="L1667" s="85"/>
    </row>
    <row r="1668" customFormat="false" ht="18" hidden="false" customHeight="false" outlineLevel="0" collapsed="false">
      <c r="L1668" s="85"/>
    </row>
    <row r="1669" customFormat="false" ht="18" hidden="false" customHeight="false" outlineLevel="0" collapsed="false">
      <c r="L1669" s="85"/>
    </row>
    <row r="1670" customFormat="false" ht="18" hidden="false" customHeight="false" outlineLevel="0" collapsed="false">
      <c r="L1670" s="85"/>
    </row>
    <row r="1671" customFormat="false" ht="18" hidden="false" customHeight="false" outlineLevel="0" collapsed="false">
      <c r="L1671" s="85"/>
    </row>
    <row r="1672" customFormat="false" ht="18" hidden="false" customHeight="false" outlineLevel="0" collapsed="false">
      <c r="L1672" s="85"/>
    </row>
    <row r="1673" customFormat="false" ht="18" hidden="false" customHeight="false" outlineLevel="0" collapsed="false">
      <c r="L1673" s="85"/>
    </row>
    <row r="1674" customFormat="false" ht="18" hidden="false" customHeight="false" outlineLevel="0" collapsed="false">
      <c r="L1674" s="85"/>
    </row>
    <row r="1675" customFormat="false" ht="18" hidden="false" customHeight="false" outlineLevel="0" collapsed="false">
      <c r="L1675" s="85"/>
    </row>
    <row r="1676" customFormat="false" ht="18" hidden="false" customHeight="false" outlineLevel="0" collapsed="false">
      <c r="L1676" s="85"/>
    </row>
    <row r="1677" customFormat="false" ht="18" hidden="false" customHeight="false" outlineLevel="0" collapsed="false">
      <c r="L1677" s="85"/>
    </row>
    <row r="1678" customFormat="false" ht="18" hidden="false" customHeight="false" outlineLevel="0" collapsed="false">
      <c r="L1678" s="85"/>
    </row>
    <row r="1679" customFormat="false" ht="18" hidden="false" customHeight="false" outlineLevel="0" collapsed="false">
      <c r="L1679" s="85"/>
    </row>
    <row r="1680" customFormat="false" ht="18" hidden="false" customHeight="false" outlineLevel="0" collapsed="false">
      <c r="L1680" s="85"/>
    </row>
    <row r="1681" customFormat="false" ht="18" hidden="false" customHeight="false" outlineLevel="0" collapsed="false">
      <c r="L1681" s="85"/>
    </row>
    <row r="1682" customFormat="false" ht="18" hidden="false" customHeight="false" outlineLevel="0" collapsed="false">
      <c r="L1682" s="85"/>
    </row>
    <row r="1683" customFormat="false" ht="18" hidden="false" customHeight="false" outlineLevel="0" collapsed="false">
      <c r="L1683" s="85"/>
    </row>
    <row r="1684" customFormat="false" ht="18" hidden="false" customHeight="false" outlineLevel="0" collapsed="false">
      <c r="L1684" s="85"/>
    </row>
    <row r="1685" customFormat="false" ht="18" hidden="false" customHeight="false" outlineLevel="0" collapsed="false">
      <c r="L1685" s="85"/>
    </row>
    <row r="1686" customFormat="false" ht="18" hidden="false" customHeight="false" outlineLevel="0" collapsed="false">
      <c r="L1686" s="85"/>
    </row>
    <row r="1687" customFormat="false" ht="18" hidden="false" customHeight="false" outlineLevel="0" collapsed="false">
      <c r="L1687" s="85"/>
    </row>
    <row r="1688" customFormat="false" ht="18" hidden="false" customHeight="false" outlineLevel="0" collapsed="false">
      <c r="L1688" s="85"/>
    </row>
    <row r="1689" customFormat="false" ht="18" hidden="false" customHeight="false" outlineLevel="0" collapsed="false">
      <c r="L1689" s="85"/>
    </row>
    <row r="1690" customFormat="false" ht="18" hidden="false" customHeight="false" outlineLevel="0" collapsed="false">
      <c r="L1690" s="85"/>
    </row>
    <row r="1691" customFormat="false" ht="18" hidden="false" customHeight="false" outlineLevel="0" collapsed="false">
      <c r="L1691" s="85"/>
    </row>
    <row r="1692" customFormat="false" ht="18" hidden="false" customHeight="false" outlineLevel="0" collapsed="false">
      <c r="L1692" s="85"/>
    </row>
    <row r="1693" customFormat="false" ht="18" hidden="false" customHeight="false" outlineLevel="0" collapsed="false">
      <c r="L1693" s="85"/>
    </row>
    <row r="1694" customFormat="false" ht="18" hidden="false" customHeight="false" outlineLevel="0" collapsed="false">
      <c r="L1694" s="85"/>
    </row>
    <row r="1695" customFormat="false" ht="18" hidden="false" customHeight="false" outlineLevel="0" collapsed="false">
      <c r="L1695" s="85"/>
    </row>
    <row r="1696" customFormat="false" ht="18" hidden="false" customHeight="false" outlineLevel="0" collapsed="false">
      <c r="L1696" s="85"/>
    </row>
    <row r="1697" customFormat="false" ht="18" hidden="false" customHeight="false" outlineLevel="0" collapsed="false">
      <c r="L1697" s="85"/>
    </row>
    <row r="1698" customFormat="false" ht="18" hidden="false" customHeight="false" outlineLevel="0" collapsed="false">
      <c r="L1698" s="85"/>
    </row>
    <row r="1699" customFormat="false" ht="18" hidden="false" customHeight="false" outlineLevel="0" collapsed="false">
      <c r="L1699" s="85"/>
    </row>
    <row r="1700" customFormat="false" ht="18" hidden="false" customHeight="false" outlineLevel="0" collapsed="false">
      <c r="L1700" s="85"/>
    </row>
    <row r="1701" customFormat="false" ht="18" hidden="false" customHeight="false" outlineLevel="0" collapsed="false">
      <c r="L1701" s="85"/>
    </row>
    <row r="1702" customFormat="false" ht="18" hidden="false" customHeight="false" outlineLevel="0" collapsed="false">
      <c r="L1702" s="85"/>
    </row>
    <row r="1703" customFormat="false" ht="18" hidden="false" customHeight="false" outlineLevel="0" collapsed="false">
      <c r="L1703" s="85"/>
    </row>
    <row r="1704" customFormat="false" ht="18" hidden="false" customHeight="false" outlineLevel="0" collapsed="false">
      <c r="L1704" s="85"/>
    </row>
    <row r="1705" customFormat="false" ht="18" hidden="false" customHeight="false" outlineLevel="0" collapsed="false">
      <c r="L1705" s="85"/>
    </row>
    <row r="1706" customFormat="false" ht="18" hidden="false" customHeight="false" outlineLevel="0" collapsed="false">
      <c r="L1706" s="85"/>
    </row>
    <row r="1707" customFormat="false" ht="18" hidden="false" customHeight="false" outlineLevel="0" collapsed="false">
      <c r="L1707" s="85"/>
    </row>
    <row r="1708" customFormat="false" ht="18" hidden="false" customHeight="false" outlineLevel="0" collapsed="false">
      <c r="L1708" s="85"/>
    </row>
    <row r="1709" customFormat="false" ht="18" hidden="false" customHeight="false" outlineLevel="0" collapsed="false">
      <c r="L1709" s="85"/>
    </row>
    <row r="1710" customFormat="false" ht="18" hidden="false" customHeight="false" outlineLevel="0" collapsed="false">
      <c r="L1710" s="85"/>
    </row>
    <row r="1711" customFormat="false" ht="18" hidden="false" customHeight="false" outlineLevel="0" collapsed="false">
      <c r="L1711" s="85"/>
    </row>
    <row r="1712" customFormat="false" ht="18" hidden="false" customHeight="false" outlineLevel="0" collapsed="false">
      <c r="L1712" s="85"/>
    </row>
    <row r="1713" customFormat="false" ht="18" hidden="false" customHeight="false" outlineLevel="0" collapsed="false">
      <c r="L1713" s="85"/>
    </row>
    <row r="1714" customFormat="false" ht="18" hidden="false" customHeight="false" outlineLevel="0" collapsed="false">
      <c r="L1714" s="85"/>
    </row>
    <row r="1715" customFormat="false" ht="18" hidden="false" customHeight="false" outlineLevel="0" collapsed="false">
      <c r="L1715" s="85"/>
    </row>
    <row r="1716" customFormat="false" ht="18" hidden="false" customHeight="false" outlineLevel="0" collapsed="false">
      <c r="L1716" s="85"/>
    </row>
    <row r="1717" customFormat="false" ht="18" hidden="false" customHeight="false" outlineLevel="0" collapsed="false">
      <c r="L1717" s="85"/>
    </row>
    <row r="1718" customFormat="false" ht="18" hidden="false" customHeight="false" outlineLevel="0" collapsed="false">
      <c r="L1718" s="85"/>
    </row>
    <row r="1719" customFormat="false" ht="18" hidden="false" customHeight="false" outlineLevel="0" collapsed="false">
      <c r="L1719" s="85"/>
    </row>
    <row r="1720" customFormat="false" ht="18" hidden="false" customHeight="false" outlineLevel="0" collapsed="false">
      <c r="L1720" s="85"/>
    </row>
    <row r="1721" customFormat="false" ht="18" hidden="false" customHeight="false" outlineLevel="0" collapsed="false">
      <c r="L1721" s="85"/>
    </row>
    <row r="1722" customFormat="false" ht="18" hidden="false" customHeight="false" outlineLevel="0" collapsed="false">
      <c r="L1722" s="85"/>
    </row>
    <row r="1723" customFormat="false" ht="18" hidden="false" customHeight="false" outlineLevel="0" collapsed="false">
      <c r="L1723" s="85"/>
    </row>
    <row r="1724" customFormat="false" ht="18" hidden="false" customHeight="false" outlineLevel="0" collapsed="false">
      <c r="L1724" s="85"/>
    </row>
    <row r="1725" customFormat="false" ht="18" hidden="false" customHeight="false" outlineLevel="0" collapsed="false">
      <c r="L1725" s="85"/>
    </row>
    <row r="1726" customFormat="false" ht="18" hidden="false" customHeight="false" outlineLevel="0" collapsed="false">
      <c r="L1726" s="85"/>
    </row>
    <row r="1727" customFormat="false" ht="18" hidden="false" customHeight="false" outlineLevel="0" collapsed="false">
      <c r="L1727" s="85"/>
    </row>
    <row r="1728" customFormat="false" ht="18" hidden="false" customHeight="false" outlineLevel="0" collapsed="false">
      <c r="L1728" s="85"/>
    </row>
    <row r="1729" customFormat="false" ht="18" hidden="false" customHeight="false" outlineLevel="0" collapsed="false">
      <c r="L1729" s="85"/>
    </row>
    <row r="1730" customFormat="false" ht="18" hidden="false" customHeight="false" outlineLevel="0" collapsed="false">
      <c r="L1730" s="85"/>
    </row>
    <row r="1731" customFormat="false" ht="18" hidden="false" customHeight="false" outlineLevel="0" collapsed="false">
      <c r="L1731" s="85"/>
    </row>
    <row r="1732" customFormat="false" ht="18" hidden="false" customHeight="false" outlineLevel="0" collapsed="false">
      <c r="L1732" s="85"/>
    </row>
    <row r="1733" customFormat="false" ht="18" hidden="false" customHeight="false" outlineLevel="0" collapsed="false">
      <c r="L1733" s="85"/>
    </row>
    <row r="1734" customFormat="false" ht="18" hidden="false" customHeight="false" outlineLevel="0" collapsed="false">
      <c r="L1734" s="85"/>
    </row>
    <row r="1735" customFormat="false" ht="18" hidden="false" customHeight="false" outlineLevel="0" collapsed="false">
      <c r="L1735" s="85"/>
    </row>
    <row r="1736" customFormat="false" ht="18" hidden="false" customHeight="false" outlineLevel="0" collapsed="false">
      <c r="L1736" s="85"/>
    </row>
    <row r="1737" customFormat="false" ht="18" hidden="false" customHeight="false" outlineLevel="0" collapsed="false">
      <c r="L1737" s="85"/>
    </row>
    <row r="1738" customFormat="false" ht="18" hidden="false" customHeight="false" outlineLevel="0" collapsed="false">
      <c r="L1738" s="85"/>
    </row>
    <row r="1739" customFormat="false" ht="18" hidden="false" customHeight="false" outlineLevel="0" collapsed="false">
      <c r="L1739" s="85"/>
    </row>
    <row r="1740" customFormat="false" ht="18" hidden="false" customHeight="false" outlineLevel="0" collapsed="false">
      <c r="L1740" s="85"/>
    </row>
    <row r="1741" customFormat="false" ht="18" hidden="false" customHeight="false" outlineLevel="0" collapsed="false">
      <c r="L1741" s="85"/>
    </row>
    <row r="1742" customFormat="false" ht="18" hidden="false" customHeight="false" outlineLevel="0" collapsed="false">
      <c r="L1742" s="85"/>
    </row>
    <row r="1743" customFormat="false" ht="18" hidden="false" customHeight="false" outlineLevel="0" collapsed="false">
      <c r="L1743" s="85"/>
    </row>
    <row r="1744" customFormat="false" ht="18" hidden="false" customHeight="false" outlineLevel="0" collapsed="false">
      <c r="L1744" s="85"/>
    </row>
    <row r="1745" customFormat="false" ht="18" hidden="false" customHeight="false" outlineLevel="0" collapsed="false">
      <c r="L1745" s="85"/>
    </row>
    <row r="1746" customFormat="false" ht="18" hidden="false" customHeight="false" outlineLevel="0" collapsed="false">
      <c r="L1746" s="85"/>
    </row>
    <row r="1747" customFormat="false" ht="18" hidden="false" customHeight="false" outlineLevel="0" collapsed="false">
      <c r="L1747" s="85"/>
    </row>
    <row r="1748" customFormat="false" ht="18" hidden="false" customHeight="false" outlineLevel="0" collapsed="false">
      <c r="L1748" s="85"/>
    </row>
    <row r="1749" customFormat="false" ht="18" hidden="false" customHeight="false" outlineLevel="0" collapsed="false">
      <c r="L1749" s="85"/>
    </row>
    <row r="1750" customFormat="false" ht="18" hidden="false" customHeight="false" outlineLevel="0" collapsed="false">
      <c r="L1750" s="85"/>
    </row>
    <row r="1751" customFormat="false" ht="18" hidden="false" customHeight="false" outlineLevel="0" collapsed="false">
      <c r="L1751" s="85"/>
    </row>
    <row r="1752" customFormat="false" ht="18" hidden="false" customHeight="false" outlineLevel="0" collapsed="false">
      <c r="L1752" s="85"/>
    </row>
    <row r="1753" customFormat="false" ht="18" hidden="false" customHeight="false" outlineLevel="0" collapsed="false">
      <c r="L1753" s="85"/>
    </row>
    <row r="1754" customFormat="false" ht="18" hidden="false" customHeight="false" outlineLevel="0" collapsed="false">
      <c r="L1754" s="85"/>
    </row>
    <row r="1755" customFormat="false" ht="18" hidden="false" customHeight="false" outlineLevel="0" collapsed="false">
      <c r="L1755" s="85"/>
    </row>
    <row r="1756" customFormat="false" ht="18" hidden="false" customHeight="false" outlineLevel="0" collapsed="false">
      <c r="L1756" s="85"/>
    </row>
    <row r="1757" customFormat="false" ht="18" hidden="false" customHeight="false" outlineLevel="0" collapsed="false">
      <c r="L1757" s="85"/>
    </row>
    <row r="1758" customFormat="false" ht="18" hidden="false" customHeight="false" outlineLevel="0" collapsed="false">
      <c r="L1758" s="85"/>
    </row>
    <row r="1759" customFormat="false" ht="18" hidden="false" customHeight="false" outlineLevel="0" collapsed="false">
      <c r="L1759" s="85"/>
    </row>
    <row r="1760" customFormat="false" ht="18" hidden="false" customHeight="false" outlineLevel="0" collapsed="false">
      <c r="L1760" s="85"/>
    </row>
    <row r="1761" customFormat="false" ht="18" hidden="false" customHeight="false" outlineLevel="0" collapsed="false">
      <c r="L1761" s="85"/>
    </row>
    <row r="1762" customFormat="false" ht="18" hidden="false" customHeight="false" outlineLevel="0" collapsed="false">
      <c r="L1762" s="85"/>
    </row>
    <row r="1763" customFormat="false" ht="18" hidden="false" customHeight="false" outlineLevel="0" collapsed="false">
      <c r="L1763" s="85"/>
    </row>
    <row r="1764" customFormat="false" ht="18" hidden="false" customHeight="false" outlineLevel="0" collapsed="false">
      <c r="L1764" s="85"/>
    </row>
    <row r="1765" customFormat="false" ht="18" hidden="false" customHeight="false" outlineLevel="0" collapsed="false">
      <c r="L1765" s="85"/>
    </row>
    <row r="1766" customFormat="false" ht="18" hidden="false" customHeight="false" outlineLevel="0" collapsed="false">
      <c r="L1766" s="85"/>
    </row>
    <row r="1767" customFormat="false" ht="18" hidden="false" customHeight="false" outlineLevel="0" collapsed="false">
      <c r="L1767" s="85"/>
    </row>
    <row r="1768" customFormat="false" ht="18" hidden="false" customHeight="false" outlineLevel="0" collapsed="false">
      <c r="L1768" s="85"/>
    </row>
    <row r="1769" customFormat="false" ht="18" hidden="false" customHeight="false" outlineLevel="0" collapsed="false">
      <c r="L1769" s="85"/>
    </row>
    <row r="1770" customFormat="false" ht="18" hidden="false" customHeight="false" outlineLevel="0" collapsed="false">
      <c r="L1770" s="85"/>
    </row>
    <row r="1771" customFormat="false" ht="18" hidden="false" customHeight="false" outlineLevel="0" collapsed="false">
      <c r="L1771" s="85"/>
    </row>
    <row r="1772" customFormat="false" ht="18" hidden="false" customHeight="false" outlineLevel="0" collapsed="false">
      <c r="L1772" s="85"/>
    </row>
    <row r="1773" customFormat="false" ht="18" hidden="false" customHeight="false" outlineLevel="0" collapsed="false">
      <c r="L1773" s="85"/>
    </row>
    <row r="1774" customFormat="false" ht="18" hidden="false" customHeight="false" outlineLevel="0" collapsed="false">
      <c r="L1774" s="85"/>
    </row>
    <row r="1775" customFormat="false" ht="18" hidden="false" customHeight="false" outlineLevel="0" collapsed="false">
      <c r="L1775" s="85"/>
    </row>
    <row r="1776" customFormat="false" ht="18" hidden="false" customHeight="false" outlineLevel="0" collapsed="false">
      <c r="L1776" s="85"/>
    </row>
    <row r="1777" customFormat="false" ht="18" hidden="false" customHeight="false" outlineLevel="0" collapsed="false">
      <c r="L1777" s="85"/>
    </row>
    <row r="1778" customFormat="false" ht="18" hidden="false" customHeight="false" outlineLevel="0" collapsed="false">
      <c r="L1778" s="85"/>
    </row>
    <row r="1779" customFormat="false" ht="18" hidden="false" customHeight="false" outlineLevel="0" collapsed="false">
      <c r="L1779" s="85"/>
    </row>
    <row r="1780" customFormat="false" ht="18" hidden="false" customHeight="false" outlineLevel="0" collapsed="false">
      <c r="L1780" s="85"/>
    </row>
    <row r="1781" customFormat="false" ht="18" hidden="false" customHeight="false" outlineLevel="0" collapsed="false">
      <c r="L1781" s="85"/>
    </row>
    <row r="1782" customFormat="false" ht="18" hidden="false" customHeight="false" outlineLevel="0" collapsed="false">
      <c r="L1782" s="85"/>
    </row>
    <row r="1783" customFormat="false" ht="18" hidden="false" customHeight="false" outlineLevel="0" collapsed="false">
      <c r="L1783" s="85"/>
    </row>
    <row r="1784" customFormat="false" ht="18" hidden="false" customHeight="false" outlineLevel="0" collapsed="false">
      <c r="L1784" s="85"/>
    </row>
    <row r="1785" customFormat="false" ht="18" hidden="false" customHeight="false" outlineLevel="0" collapsed="false">
      <c r="L1785" s="85"/>
    </row>
    <row r="1786" customFormat="false" ht="18" hidden="false" customHeight="false" outlineLevel="0" collapsed="false">
      <c r="L1786" s="85"/>
    </row>
    <row r="1787" customFormat="false" ht="18" hidden="false" customHeight="false" outlineLevel="0" collapsed="false">
      <c r="L1787" s="85"/>
    </row>
    <row r="1788" customFormat="false" ht="18" hidden="false" customHeight="false" outlineLevel="0" collapsed="false">
      <c r="L1788" s="85"/>
    </row>
    <row r="1789" customFormat="false" ht="18" hidden="false" customHeight="false" outlineLevel="0" collapsed="false">
      <c r="L1789" s="85"/>
    </row>
    <row r="1790" customFormat="false" ht="18" hidden="false" customHeight="false" outlineLevel="0" collapsed="false">
      <c r="L1790" s="85"/>
    </row>
    <row r="1791" customFormat="false" ht="18" hidden="false" customHeight="false" outlineLevel="0" collapsed="false">
      <c r="L1791" s="85"/>
    </row>
    <row r="1792" customFormat="false" ht="18" hidden="false" customHeight="false" outlineLevel="0" collapsed="false">
      <c r="L1792" s="85"/>
    </row>
    <row r="1793" customFormat="false" ht="18" hidden="false" customHeight="false" outlineLevel="0" collapsed="false">
      <c r="L1793" s="85"/>
    </row>
    <row r="1794" customFormat="false" ht="18" hidden="false" customHeight="false" outlineLevel="0" collapsed="false">
      <c r="L1794" s="85"/>
    </row>
    <row r="1795" customFormat="false" ht="18" hidden="false" customHeight="false" outlineLevel="0" collapsed="false">
      <c r="L1795" s="85"/>
    </row>
    <row r="1796" customFormat="false" ht="18" hidden="false" customHeight="false" outlineLevel="0" collapsed="false">
      <c r="L1796" s="85"/>
    </row>
    <row r="1797" customFormat="false" ht="18" hidden="false" customHeight="false" outlineLevel="0" collapsed="false">
      <c r="L1797" s="85"/>
    </row>
    <row r="1798" customFormat="false" ht="18" hidden="false" customHeight="false" outlineLevel="0" collapsed="false">
      <c r="L1798" s="85"/>
    </row>
    <row r="1799" customFormat="false" ht="18" hidden="false" customHeight="false" outlineLevel="0" collapsed="false">
      <c r="L1799" s="85"/>
    </row>
    <row r="1800" customFormat="false" ht="18" hidden="false" customHeight="false" outlineLevel="0" collapsed="false">
      <c r="L1800" s="85"/>
    </row>
    <row r="1801" customFormat="false" ht="18" hidden="false" customHeight="false" outlineLevel="0" collapsed="false">
      <c r="L1801" s="85"/>
    </row>
    <row r="1802" customFormat="false" ht="18" hidden="false" customHeight="false" outlineLevel="0" collapsed="false">
      <c r="L1802" s="85"/>
    </row>
    <row r="1803" customFormat="false" ht="18" hidden="false" customHeight="false" outlineLevel="0" collapsed="false">
      <c r="L1803" s="85"/>
    </row>
    <row r="1804" customFormat="false" ht="18" hidden="false" customHeight="false" outlineLevel="0" collapsed="false">
      <c r="L1804" s="85"/>
    </row>
    <row r="1805" customFormat="false" ht="18" hidden="false" customHeight="false" outlineLevel="0" collapsed="false">
      <c r="L1805" s="85"/>
    </row>
    <row r="1806" customFormat="false" ht="18" hidden="false" customHeight="false" outlineLevel="0" collapsed="false">
      <c r="L1806" s="85"/>
    </row>
    <row r="1807" customFormat="false" ht="18" hidden="false" customHeight="false" outlineLevel="0" collapsed="false">
      <c r="L1807" s="85"/>
    </row>
    <row r="1808" customFormat="false" ht="18" hidden="false" customHeight="false" outlineLevel="0" collapsed="false">
      <c r="L1808" s="85"/>
    </row>
    <row r="1809" customFormat="false" ht="18" hidden="false" customHeight="false" outlineLevel="0" collapsed="false">
      <c r="L1809" s="85"/>
    </row>
    <row r="1810" customFormat="false" ht="18" hidden="false" customHeight="false" outlineLevel="0" collapsed="false">
      <c r="L1810" s="85"/>
    </row>
    <row r="1811" customFormat="false" ht="18" hidden="false" customHeight="false" outlineLevel="0" collapsed="false">
      <c r="L1811" s="85"/>
    </row>
    <row r="1812" customFormat="false" ht="18" hidden="false" customHeight="false" outlineLevel="0" collapsed="false">
      <c r="L1812" s="85"/>
    </row>
    <row r="1813" customFormat="false" ht="18" hidden="false" customHeight="false" outlineLevel="0" collapsed="false">
      <c r="L1813" s="85"/>
    </row>
    <row r="1814" customFormat="false" ht="18" hidden="false" customHeight="false" outlineLevel="0" collapsed="false">
      <c r="L1814" s="85"/>
    </row>
    <row r="1815" customFormat="false" ht="18" hidden="false" customHeight="false" outlineLevel="0" collapsed="false">
      <c r="L1815" s="85"/>
    </row>
    <row r="1816" customFormat="false" ht="18" hidden="false" customHeight="false" outlineLevel="0" collapsed="false">
      <c r="L1816" s="85"/>
    </row>
    <row r="1817" customFormat="false" ht="18" hidden="false" customHeight="false" outlineLevel="0" collapsed="false">
      <c r="L1817" s="85"/>
    </row>
    <row r="1818" customFormat="false" ht="18" hidden="false" customHeight="false" outlineLevel="0" collapsed="false">
      <c r="L1818" s="85"/>
    </row>
    <row r="1819" customFormat="false" ht="18" hidden="false" customHeight="false" outlineLevel="0" collapsed="false">
      <c r="L1819" s="85"/>
    </row>
    <row r="1820" customFormat="false" ht="18" hidden="false" customHeight="false" outlineLevel="0" collapsed="false">
      <c r="L1820" s="85"/>
    </row>
    <row r="1821" customFormat="false" ht="18" hidden="false" customHeight="false" outlineLevel="0" collapsed="false">
      <c r="L1821" s="85"/>
    </row>
    <row r="1822" customFormat="false" ht="18" hidden="false" customHeight="false" outlineLevel="0" collapsed="false">
      <c r="L1822" s="85"/>
    </row>
    <row r="1823" customFormat="false" ht="18" hidden="false" customHeight="false" outlineLevel="0" collapsed="false">
      <c r="L1823" s="85"/>
    </row>
    <row r="1824" customFormat="false" ht="18" hidden="false" customHeight="false" outlineLevel="0" collapsed="false">
      <c r="L1824" s="85"/>
    </row>
    <row r="1825" customFormat="false" ht="18" hidden="false" customHeight="false" outlineLevel="0" collapsed="false">
      <c r="L1825" s="85"/>
    </row>
    <row r="1826" customFormat="false" ht="18" hidden="false" customHeight="false" outlineLevel="0" collapsed="false">
      <c r="L1826" s="85"/>
    </row>
    <row r="1827" customFormat="false" ht="18" hidden="false" customHeight="false" outlineLevel="0" collapsed="false">
      <c r="L1827" s="85"/>
    </row>
    <row r="1828" customFormat="false" ht="18" hidden="false" customHeight="false" outlineLevel="0" collapsed="false">
      <c r="L1828" s="85"/>
    </row>
    <row r="1829" customFormat="false" ht="18" hidden="false" customHeight="false" outlineLevel="0" collapsed="false">
      <c r="L1829" s="85"/>
    </row>
    <row r="1830" customFormat="false" ht="18" hidden="false" customHeight="false" outlineLevel="0" collapsed="false">
      <c r="L1830" s="85"/>
    </row>
    <row r="1831" customFormat="false" ht="18" hidden="false" customHeight="false" outlineLevel="0" collapsed="false">
      <c r="L1831" s="85"/>
    </row>
    <row r="1832" customFormat="false" ht="18" hidden="false" customHeight="false" outlineLevel="0" collapsed="false">
      <c r="L1832" s="85"/>
    </row>
    <row r="1833" customFormat="false" ht="18" hidden="false" customHeight="false" outlineLevel="0" collapsed="false">
      <c r="L1833" s="85"/>
    </row>
    <row r="1834" customFormat="false" ht="18" hidden="false" customHeight="false" outlineLevel="0" collapsed="false">
      <c r="L1834" s="85"/>
    </row>
    <row r="1835" customFormat="false" ht="18" hidden="false" customHeight="false" outlineLevel="0" collapsed="false">
      <c r="L1835" s="85"/>
    </row>
    <row r="1836" customFormat="false" ht="18" hidden="false" customHeight="false" outlineLevel="0" collapsed="false">
      <c r="L1836" s="85"/>
    </row>
    <row r="1837" customFormat="false" ht="18" hidden="false" customHeight="false" outlineLevel="0" collapsed="false">
      <c r="L1837" s="85"/>
    </row>
    <row r="1838" customFormat="false" ht="18" hidden="false" customHeight="false" outlineLevel="0" collapsed="false">
      <c r="L1838" s="85"/>
    </row>
    <row r="1839" customFormat="false" ht="18" hidden="false" customHeight="false" outlineLevel="0" collapsed="false">
      <c r="L1839" s="85"/>
    </row>
    <row r="1840" customFormat="false" ht="18" hidden="false" customHeight="false" outlineLevel="0" collapsed="false">
      <c r="L1840" s="85"/>
    </row>
    <row r="1841" customFormat="false" ht="18" hidden="false" customHeight="false" outlineLevel="0" collapsed="false">
      <c r="L1841" s="85"/>
    </row>
    <row r="1842" customFormat="false" ht="18" hidden="false" customHeight="false" outlineLevel="0" collapsed="false">
      <c r="L1842" s="85"/>
    </row>
    <row r="1843" customFormat="false" ht="18" hidden="false" customHeight="false" outlineLevel="0" collapsed="false">
      <c r="L1843" s="85"/>
    </row>
    <row r="1844" customFormat="false" ht="18" hidden="false" customHeight="false" outlineLevel="0" collapsed="false">
      <c r="L1844" s="85"/>
    </row>
    <row r="1845" customFormat="false" ht="18" hidden="false" customHeight="false" outlineLevel="0" collapsed="false">
      <c r="L1845" s="85"/>
    </row>
    <row r="1846" customFormat="false" ht="18" hidden="false" customHeight="false" outlineLevel="0" collapsed="false">
      <c r="L1846" s="85"/>
    </row>
    <row r="1847" customFormat="false" ht="18" hidden="false" customHeight="false" outlineLevel="0" collapsed="false">
      <c r="L1847" s="85"/>
    </row>
    <row r="1848" customFormat="false" ht="18" hidden="false" customHeight="false" outlineLevel="0" collapsed="false">
      <c r="L1848" s="85"/>
    </row>
    <row r="1849" customFormat="false" ht="18" hidden="false" customHeight="false" outlineLevel="0" collapsed="false">
      <c r="L1849" s="85"/>
    </row>
    <row r="1850" customFormat="false" ht="18" hidden="false" customHeight="false" outlineLevel="0" collapsed="false">
      <c r="L1850" s="85"/>
    </row>
    <row r="1851" customFormat="false" ht="18" hidden="false" customHeight="false" outlineLevel="0" collapsed="false">
      <c r="L1851" s="85"/>
    </row>
    <row r="1852" customFormat="false" ht="18" hidden="false" customHeight="false" outlineLevel="0" collapsed="false">
      <c r="L1852" s="85"/>
    </row>
  </sheetData>
  <mergeCells count="6">
    <mergeCell ref="D3:F3"/>
    <mergeCell ref="L3:M3"/>
    <mergeCell ref="O3:P3"/>
    <mergeCell ref="L4:M4"/>
    <mergeCell ref="N4:O4"/>
    <mergeCell ref="P5:P6"/>
  </mergeCells>
  <conditionalFormatting sqref="P7:P999">
    <cfRule type="expression" priority="2" aboveAverage="0" equalAverage="0" bottom="0" percent="0" rank="0" text="" dxfId="0">
      <formula>AND($I6&lt;&gt;"",MOD(ROW(),2)=0)</formula>
    </cfRule>
    <cfRule type="expression" priority="3" aboveAverage="0" equalAverage="0" bottom="0" percent="0" rank="0" text="" dxfId="1">
      <formula>AND($I6&lt;&gt;"",MOD(ROW(),2)=1)</formula>
    </cfRule>
  </conditionalFormatting>
  <conditionalFormatting sqref="D5:F999">
    <cfRule type="expression" priority="4" aboveAverage="0" equalAverage="0" bottom="0" percent="0" rank="0" text="" dxfId="2">
      <formula>$B$8=ROW()</formula>
    </cfRule>
    <cfRule type="expression" priority="5" aboveAverage="0" equalAverage="0" bottom="0" percent="0" rank="0" text="" dxfId="3">
      <formula>AND($D5&lt;&gt;"",MOD(ROW(),2)=0)</formula>
    </cfRule>
    <cfRule type="expression" priority="6" aboveAverage="0" equalAverage="0" bottom="0" percent="0" rank="0" text="" dxfId="4">
      <formula>AND($D5&lt;&gt;"",MOD(ROW(),2)=1)</formula>
    </cfRule>
  </conditionalFormatting>
  <conditionalFormatting sqref="I3:J3">
    <cfRule type="containsText" priority="7" operator="containsText" aboveAverage="0" equalAverage="0" bottom="0" percent="0" rank="0" text="Enter" dxfId="5">
      <formula>NOT(ISERROR(SEARCH("Enter",I3)))</formula>
    </cfRule>
  </conditionalFormatting>
  <conditionalFormatting sqref="I7:O999">
    <cfRule type="expression" priority="8" aboveAverage="0" equalAverage="0" bottom="0" percent="0" rank="0" text="" dxfId="6">
      <formula>$B$6=ROW()</formula>
    </cfRule>
    <cfRule type="expression" priority="9" aboveAverage="0" equalAverage="0" bottom="0" percent="0" rank="0" text="" dxfId="7">
      <formula>$I6=""</formula>
    </cfRule>
    <cfRule type="expression" priority="10" aboveAverage="0" equalAverage="0" bottom="0" percent="0" rank="0" text="" dxfId="8">
      <formula>AND($I6&lt;&gt;"",MOD(ROW(),2)=0)</formula>
    </cfRule>
    <cfRule type="expression" priority="11" aboveAverage="0" equalAverage="0" bottom="0" percent="0" rank="0" text="" dxfId="9">
      <formula>AND($I6&lt;&gt;"",MOD(ROW(),2)=1)</formula>
    </cfRule>
  </conditionalFormatting>
  <dataValidations count="2">
    <dataValidation allowBlank="true" errorStyle="information" operator="equal" showDropDown="false" showErrorMessage="true" showInputMessage="true" sqref="J4" type="list">
      <formula1>Customer_NamesSorted</formula1>
      <formula2>0</formula2>
    </dataValidation>
    <dataValidation allowBlank="true" errorStyle="information" operator="equal" showDropDown="false" showErrorMessage="true" showInputMessage="true" sqref="J5" type="none">
      <formula1>0</formula1>
      <formula2>0</formula2>
    </dataValidation>
  </dataValidations>
  <printOptions headings="false" gridLines="false" gridLinesSet="true" horizontalCentered="false" verticalCentered="false"/>
  <pageMargins left="0.25" right="0.25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1241"/>
  <sheetViews>
    <sheetView showFormulas="false" showGridLines="true" showRowColHeaders="fals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" activeCellId="0" sqref="G2"/>
    </sheetView>
  </sheetViews>
  <sheetFormatPr defaultColWidth="8.6796875" defaultRowHeight="12.8" zeroHeight="false" outlineLevelRow="0" outlineLevelCol="0"/>
  <cols>
    <col collapsed="false" customWidth="true" hidden="false" outlineLevel="0" max="1" min="1" style="0" width="8.42"/>
    <col collapsed="false" customWidth="true" hidden="false" outlineLevel="0" max="2" min="2" style="0" width="14.86"/>
    <col collapsed="false" customWidth="true" hidden="false" outlineLevel="0" max="5" min="5" style="0" width="17.29"/>
    <col collapsed="false" customWidth="true" hidden="false" outlineLevel="0" max="6" min="6" style="0" width="13.42"/>
    <col collapsed="false" customWidth="true" hidden="false" outlineLevel="0" max="7" min="7" style="0" width="11.57"/>
    <col collapsed="false" customWidth="true" hidden="false" outlineLevel="0" max="11" min="11" style="0" width="10.29"/>
    <col collapsed="false" customWidth="true" hidden="false" outlineLevel="0" max="12" min="12" style="0" width="17.29"/>
    <col collapsed="false" customWidth="true" hidden="false" outlineLevel="0" max="15" min="15" style="0" width="14.86"/>
  </cols>
  <sheetData>
    <row r="1" customFormat="false" ht="13.8" hidden="false" customHeight="false" outlineLevel="0" collapsed="false">
      <c r="A1" s="86" t="s">
        <v>131</v>
      </c>
      <c r="B1" s="86"/>
      <c r="C1" s="86"/>
      <c r="D1" s="86"/>
      <c r="E1" s="86"/>
      <c r="F1" s="86"/>
      <c r="G1" s="86"/>
      <c r="K1" s="87" t="s">
        <v>132</v>
      </c>
      <c r="L1" s="87"/>
      <c r="O1" s="86" t="s">
        <v>133</v>
      </c>
      <c r="P1" s="86"/>
      <c r="Q1" s="86"/>
    </row>
    <row r="2" customFormat="false" ht="13.8" hidden="false" customHeight="false" outlineLevel="0" collapsed="false">
      <c r="A2" s="88" t="s">
        <v>108</v>
      </c>
      <c r="B2" s="88" t="s">
        <v>104</v>
      </c>
      <c r="C2" s="88" t="s">
        <v>94</v>
      </c>
      <c r="D2" s="88" t="s">
        <v>134</v>
      </c>
      <c r="E2" s="88" t="s">
        <v>135</v>
      </c>
      <c r="F2" s="88" t="s">
        <v>136</v>
      </c>
      <c r="G2" s="88" t="s">
        <v>127</v>
      </c>
      <c r="K2" s="89" t="s">
        <v>94</v>
      </c>
      <c r="L2" s="89" t="s">
        <v>135</v>
      </c>
      <c r="O2" s="90" t="s">
        <v>104</v>
      </c>
      <c r="P2" s="90" t="s">
        <v>135</v>
      </c>
      <c r="Q2" s="90" t="s">
        <v>108</v>
      </c>
    </row>
    <row r="3" customFormat="false" ht="14.9" hidden="false" customHeight="false" outlineLevel="0" collapsed="false">
      <c r="A3" s="23" t="n">
        <v>10000</v>
      </c>
      <c r="B3" s="91" t="n">
        <v>45740.5682986111</v>
      </c>
      <c r="C3" s="0" t="s">
        <v>137</v>
      </c>
      <c r="D3" s="0" t="s">
        <v>50</v>
      </c>
      <c r="E3" s="0" t="s">
        <v>138</v>
      </c>
      <c r="F3" s="0" t="s">
        <v>101</v>
      </c>
      <c r="G3" s="92" t="n">
        <v>52191.5</v>
      </c>
      <c r="K3" s="93" t="str">
        <f aca="false">POS!B1</f>
        <v>SALE</v>
      </c>
      <c r="L3" s="0" t="s">
        <v>139</v>
      </c>
      <c r="O3" s="91" t="n">
        <v>45739.6601851852</v>
      </c>
      <c r="P3" s="0" t="s">
        <v>138</v>
      </c>
      <c r="Q3" s="23" t="n">
        <v>10000</v>
      </c>
    </row>
    <row r="4" customFormat="false" ht="13.8" hidden="false" customHeight="false" outlineLevel="0" collapsed="false">
      <c r="A4" s="23" t="n">
        <v>10001</v>
      </c>
      <c r="B4" s="91" t="n">
        <v>45740.5686458333</v>
      </c>
      <c r="C4" s="0" t="s">
        <v>137</v>
      </c>
      <c r="D4" s="0" t="s">
        <v>50</v>
      </c>
      <c r="E4" s="0" t="s">
        <v>138</v>
      </c>
      <c r="F4" s="0" t="s">
        <v>101</v>
      </c>
      <c r="G4" s="92" t="n">
        <v>16567.8</v>
      </c>
      <c r="O4" s="91" t="n">
        <v>45739.7350462963</v>
      </c>
      <c r="P4" s="0" t="s">
        <v>138</v>
      </c>
      <c r="Q4" s="23" t="n">
        <v>10001</v>
      </c>
    </row>
    <row r="5" customFormat="false" ht="13.8" hidden="false" customHeight="false" outlineLevel="0" collapsed="false">
      <c r="A5" s="23" t="n">
        <v>10002</v>
      </c>
      <c r="B5" s="91" t="n">
        <v>45740.5688425926</v>
      </c>
      <c r="C5" s="0" t="s">
        <v>95</v>
      </c>
      <c r="D5" s="0" t="s">
        <v>50</v>
      </c>
      <c r="F5" s="0" t="s">
        <v>101</v>
      </c>
      <c r="G5" s="92" t="n">
        <v>10</v>
      </c>
      <c r="O5" s="91" t="n">
        <v>45739.7746180556</v>
      </c>
      <c r="P5" s="0" t="s">
        <v>138</v>
      </c>
      <c r="Q5" s="23" t="n">
        <v>10003</v>
      </c>
    </row>
    <row r="6" customFormat="false" ht="13.8" hidden="false" customHeight="false" outlineLevel="0" collapsed="false">
      <c r="A6" s="23" t="n">
        <v>10003</v>
      </c>
      <c r="B6" s="91" t="n">
        <v>45740.5693981481</v>
      </c>
      <c r="C6" s="0" t="s">
        <v>137</v>
      </c>
      <c r="D6" s="0" t="s">
        <v>50</v>
      </c>
      <c r="E6" s="0" t="s">
        <v>138</v>
      </c>
      <c r="F6" s="0" t="s">
        <v>101</v>
      </c>
      <c r="G6" s="92" t="n">
        <v>8301.7</v>
      </c>
      <c r="O6" s="91" t="n">
        <v>45739.7839467593</v>
      </c>
      <c r="P6" s="0" t="s">
        <v>138</v>
      </c>
      <c r="Q6" s="23" t="n">
        <v>10005</v>
      </c>
    </row>
    <row r="7" customFormat="false" ht="13.8" hidden="false" customHeight="false" outlineLevel="0" collapsed="false">
      <c r="A7" s="23" t="n">
        <v>10004</v>
      </c>
      <c r="B7" s="91" t="n">
        <v>45740.5697800926</v>
      </c>
      <c r="C7" s="0" t="s">
        <v>95</v>
      </c>
      <c r="D7" s="0" t="s">
        <v>50</v>
      </c>
      <c r="F7" s="0" t="s">
        <v>101</v>
      </c>
      <c r="G7" s="92" t="n">
        <v>16</v>
      </c>
      <c r="O7" s="91" t="n">
        <v>45739.8136111111</v>
      </c>
      <c r="P7" s="0" t="s">
        <v>138</v>
      </c>
      <c r="Q7" s="23" t="n">
        <v>10006</v>
      </c>
    </row>
    <row r="8" customFormat="false" ht="13.8" hidden="false" customHeight="false" outlineLevel="0" collapsed="false">
      <c r="A8" s="23" t="n">
        <v>10005</v>
      </c>
      <c r="B8" s="91" t="n">
        <v>45740.5699421296</v>
      </c>
      <c r="C8" s="0" t="s">
        <v>137</v>
      </c>
      <c r="D8" s="0" t="s">
        <v>50</v>
      </c>
      <c r="E8" s="0" t="s">
        <v>138</v>
      </c>
      <c r="F8" s="0" t="s">
        <v>101</v>
      </c>
      <c r="G8" s="92" t="n">
        <v>670</v>
      </c>
      <c r="O8" s="91" t="n">
        <v>45739.8190972222</v>
      </c>
      <c r="P8" s="0" t="s">
        <v>138</v>
      </c>
      <c r="Q8" s="23" t="n">
        <v>10009</v>
      </c>
    </row>
    <row r="9" customFormat="false" ht="13.8" hidden="false" customHeight="false" outlineLevel="0" collapsed="false">
      <c r="A9" s="23" t="n">
        <v>10006</v>
      </c>
      <c r="B9" s="91" t="n">
        <v>45740.5701157407</v>
      </c>
      <c r="C9" s="0" t="s">
        <v>137</v>
      </c>
      <c r="D9" s="0" t="s">
        <v>50</v>
      </c>
      <c r="E9" s="0" t="s">
        <v>138</v>
      </c>
      <c r="F9" s="0" t="s">
        <v>101</v>
      </c>
      <c r="G9" s="92" t="n">
        <v>3417.5</v>
      </c>
    </row>
    <row r="10" customFormat="false" ht="13.8" hidden="false" customHeight="false" outlineLevel="0" collapsed="false">
      <c r="A10" s="23" t="n">
        <v>10007</v>
      </c>
      <c r="B10" s="91" t="n">
        <v>45740.5703819444</v>
      </c>
      <c r="C10" s="0" t="s">
        <v>95</v>
      </c>
      <c r="D10" s="0" t="s">
        <v>50</v>
      </c>
      <c r="F10" s="0" t="s">
        <v>101</v>
      </c>
      <c r="G10" s="92" t="n">
        <v>60</v>
      </c>
    </row>
    <row r="11" customFormat="false" ht="13.8" hidden="false" customHeight="false" outlineLevel="0" collapsed="false">
      <c r="A11" s="23" t="n">
        <v>10008</v>
      </c>
      <c r="B11" s="91" t="n">
        <v>45740.570625</v>
      </c>
      <c r="C11" s="0" t="s">
        <v>95</v>
      </c>
      <c r="D11" s="0" t="s">
        <v>50</v>
      </c>
      <c r="F11" s="0" t="s">
        <v>101</v>
      </c>
      <c r="G11" s="92" t="n">
        <v>30</v>
      </c>
    </row>
    <row r="12" customFormat="false" ht="13.8" hidden="false" customHeight="false" outlineLevel="0" collapsed="false">
      <c r="A12" s="23" t="n">
        <v>10009</v>
      </c>
      <c r="B12" s="91" t="n">
        <v>45740.5708680556</v>
      </c>
      <c r="C12" s="0" t="s">
        <v>137</v>
      </c>
      <c r="D12" s="0" t="s">
        <v>50</v>
      </c>
      <c r="E12" s="0" t="s">
        <v>138</v>
      </c>
      <c r="F12" s="0" t="s">
        <v>101</v>
      </c>
      <c r="G12" s="92" t="n">
        <v>245</v>
      </c>
    </row>
    <row r="13" customFormat="false" ht="13.8" hidden="false" customHeight="false" outlineLevel="0" collapsed="false">
      <c r="A13" s="23" t="n">
        <v>10010</v>
      </c>
      <c r="B13" s="91" t="n">
        <v>45739.8203819444</v>
      </c>
      <c r="C13" s="0" t="s">
        <v>95</v>
      </c>
      <c r="D13" s="0" t="s">
        <v>50</v>
      </c>
      <c r="F13" s="0" t="s">
        <v>101</v>
      </c>
      <c r="G13" s="92" t="n">
        <v>730</v>
      </c>
    </row>
    <row r="14" customFormat="false" ht="13.8" hidden="false" customHeight="false" outlineLevel="0" collapsed="false">
      <c r="A14" s="23" t="n">
        <v>10011</v>
      </c>
      <c r="B14" s="91" t="n">
        <v>45739.8264467593</v>
      </c>
      <c r="C14" s="0" t="s">
        <v>95</v>
      </c>
      <c r="D14" s="0" t="s">
        <v>50</v>
      </c>
      <c r="F14" s="0" t="s">
        <v>101</v>
      </c>
      <c r="G14" s="92" t="n">
        <v>35</v>
      </c>
    </row>
    <row r="15" customFormat="false" ht="13.8" hidden="false" customHeight="false" outlineLevel="0" collapsed="false">
      <c r="A15" s="23" t="n">
        <v>10012</v>
      </c>
      <c r="B15" s="91" t="n">
        <v>45739.8927777778</v>
      </c>
      <c r="C15" s="0" t="s">
        <v>95</v>
      </c>
      <c r="D15" s="0" t="s">
        <v>50</v>
      </c>
      <c r="F15" s="0" t="s">
        <v>101</v>
      </c>
      <c r="G15" s="92" t="n">
        <v>87</v>
      </c>
    </row>
    <row r="16" customFormat="false" ht="13.8" hidden="false" customHeight="false" outlineLevel="0" collapsed="false">
      <c r="A16" s="23" t="n">
        <v>10013</v>
      </c>
      <c r="B16" s="91" t="n">
        <v>45739.901712963</v>
      </c>
      <c r="C16" s="0" t="s">
        <v>95</v>
      </c>
      <c r="D16" s="0" t="s">
        <v>50</v>
      </c>
      <c r="F16" s="0" t="s">
        <v>101</v>
      </c>
      <c r="G16" s="92" t="n">
        <v>8</v>
      </c>
    </row>
    <row r="17" customFormat="false" ht="13.8" hidden="false" customHeight="false" outlineLevel="0" collapsed="false">
      <c r="A17" s="23" t="n">
        <v>10014</v>
      </c>
      <c r="B17" s="91" t="n">
        <v>45739.9046064815</v>
      </c>
      <c r="C17" s="0" t="s">
        <v>95</v>
      </c>
      <c r="D17" s="0" t="s">
        <v>50</v>
      </c>
      <c r="F17" s="0" t="s">
        <v>101</v>
      </c>
      <c r="G17" s="92" t="n">
        <v>20</v>
      </c>
    </row>
    <row r="18" customFormat="false" ht="13.8" hidden="false" customHeight="false" outlineLevel="0" collapsed="false">
      <c r="A18" s="23" t="n">
        <v>10015</v>
      </c>
      <c r="B18" s="91" t="n">
        <v>45739.9126388889</v>
      </c>
      <c r="C18" s="0" t="s">
        <v>95</v>
      </c>
      <c r="D18" s="0" t="s">
        <v>50</v>
      </c>
      <c r="F18" s="0" t="s">
        <v>101</v>
      </c>
      <c r="G18" s="92" t="n">
        <v>10</v>
      </c>
    </row>
    <row r="19" customFormat="false" ht="13.8" hidden="false" customHeight="false" outlineLevel="0" collapsed="false">
      <c r="A19" s="23" t="n">
        <v>10016</v>
      </c>
      <c r="B19" s="91" t="n">
        <v>45739.9195138889</v>
      </c>
      <c r="C19" s="0" t="s">
        <v>95</v>
      </c>
      <c r="D19" s="0" t="s">
        <v>50</v>
      </c>
      <c r="F19" s="0" t="s">
        <v>101</v>
      </c>
      <c r="G19" s="92" t="n">
        <v>48</v>
      </c>
    </row>
    <row r="20" customFormat="false" ht="13.8" hidden="false" customHeight="false" outlineLevel="0" collapsed="false">
      <c r="A20" s="23" t="n">
        <v>10017</v>
      </c>
      <c r="B20" s="91" t="n">
        <v>45739.9323032407</v>
      </c>
      <c r="C20" s="0" t="s">
        <v>95</v>
      </c>
      <c r="D20" s="0" t="s">
        <v>50</v>
      </c>
      <c r="F20" s="0" t="s">
        <v>101</v>
      </c>
      <c r="G20" s="92" t="n">
        <v>60</v>
      </c>
    </row>
    <row r="21" customFormat="false" ht="13.8" hidden="false" customHeight="false" outlineLevel="0" collapsed="false">
      <c r="A21" s="23" t="n">
        <v>10018</v>
      </c>
      <c r="B21" s="91" t="n">
        <v>45739.9486805556</v>
      </c>
      <c r="C21" s="0" t="s">
        <v>95</v>
      </c>
      <c r="D21" s="0" t="s">
        <v>50</v>
      </c>
      <c r="F21" s="0" t="s">
        <v>101</v>
      </c>
      <c r="G21" s="92" t="n">
        <v>33</v>
      </c>
    </row>
    <row r="22" customFormat="false" ht="13.8" hidden="false" customHeight="false" outlineLevel="0" collapsed="false">
      <c r="A22" s="23" t="n">
        <v>10019</v>
      </c>
      <c r="B22" s="91" t="n">
        <v>45739.9548263889</v>
      </c>
      <c r="C22" s="0" t="s">
        <v>95</v>
      </c>
      <c r="D22" s="0" t="s">
        <v>50</v>
      </c>
      <c r="F22" s="0" t="s">
        <v>101</v>
      </c>
      <c r="G22" s="92" t="n">
        <v>25</v>
      </c>
    </row>
    <row r="23" customFormat="false" ht="13.8" hidden="false" customHeight="false" outlineLevel="0" collapsed="false">
      <c r="A23" s="23" t="n">
        <v>10020</v>
      </c>
      <c r="B23" s="91" t="n">
        <v>45740.5738657407</v>
      </c>
      <c r="C23" s="0" t="s">
        <v>137</v>
      </c>
      <c r="D23" s="0" t="s">
        <v>50</v>
      </c>
      <c r="E23" s="0" t="s">
        <v>138</v>
      </c>
      <c r="F23" s="0" t="s">
        <v>101</v>
      </c>
      <c r="G23" s="92" t="n">
        <v>8065.6</v>
      </c>
    </row>
    <row r="24" customFormat="false" ht="13.8" hidden="false" customHeight="false" outlineLevel="0" collapsed="false">
      <c r="A24" s="23" t="n">
        <v>10021</v>
      </c>
      <c r="B24" s="91" t="n">
        <v>45739.9731828704</v>
      </c>
      <c r="C24" s="0" t="s">
        <v>95</v>
      </c>
      <c r="D24" s="0" t="s">
        <v>50</v>
      </c>
      <c r="F24" s="0" t="s">
        <v>101</v>
      </c>
      <c r="G24" s="92" t="n">
        <v>60</v>
      </c>
    </row>
    <row r="25" customFormat="false" ht="13.8" hidden="false" customHeight="false" outlineLevel="0" collapsed="false">
      <c r="A25" s="23" t="n">
        <v>10022</v>
      </c>
      <c r="B25" s="91" t="n">
        <v>45740.574212963</v>
      </c>
      <c r="C25" s="0" t="s">
        <v>137</v>
      </c>
      <c r="D25" s="0" t="s">
        <v>50</v>
      </c>
      <c r="E25" s="0" t="s">
        <v>138</v>
      </c>
      <c r="F25" s="0" t="s">
        <v>101</v>
      </c>
      <c r="G25" s="92" t="n">
        <v>696</v>
      </c>
    </row>
    <row r="26" customFormat="false" ht="13.8" hidden="false" customHeight="false" outlineLevel="0" collapsed="false">
      <c r="A26" s="23" t="n">
        <v>10023</v>
      </c>
      <c r="B26" s="91" t="n">
        <v>45740.5665393519</v>
      </c>
      <c r="C26" s="0" t="s">
        <v>137</v>
      </c>
      <c r="D26" s="0" t="s">
        <v>50</v>
      </c>
      <c r="E26" s="0" t="s">
        <v>138</v>
      </c>
      <c r="F26" s="0" t="s">
        <v>101</v>
      </c>
      <c r="G26" s="92" t="n">
        <v>4812.5</v>
      </c>
    </row>
    <row r="27" customFormat="false" ht="13.8" hidden="false" customHeight="false" outlineLevel="0" collapsed="false">
      <c r="A27" s="23" t="n">
        <v>10024</v>
      </c>
      <c r="B27" s="91" t="n">
        <v>45740.574375</v>
      </c>
      <c r="C27" s="0" t="s">
        <v>95</v>
      </c>
      <c r="D27" s="0" t="s">
        <v>50</v>
      </c>
      <c r="F27" s="0" t="s">
        <v>101</v>
      </c>
      <c r="G27" s="92" t="n">
        <v>75</v>
      </c>
    </row>
    <row r="28" customFormat="false" ht="13.8" hidden="false" customHeight="false" outlineLevel="0" collapsed="false">
      <c r="A28" s="23" t="n">
        <v>10025</v>
      </c>
      <c r="B28" s="91" t="n">
        <v>45740.5329282407</v>
      </c>
      <c r="C28" s="0" t="s">
        <v>95</v>
      </c>
      <c r="D28" s="0" t="s">
        <v>50</v>
      </c>
      <c r="F28" s="0" t="s">
        <v>101</v>
      </c>
      <c r="G28" s="92" t="n">
        <v>73</v>
      </c>
    </row>
    <row r="29" customFormat="false" ht="13.8" hidden="false" customHeight="false" outlineLevel="0" collapsed="false">
      <c r="A29" s="23" t="n">
        <v>10026</v>
      </c>
      <c r="B29" s="91" t="n">
        <v>45740.5500115741</v>
      </c>
      <c r="C29" s="0" t="s">
        <v>95</v>
      </c>
      <c r="D29" s="0" t="s">
        <v>50</v>
      </c>
      <c r="F29" s="0" t="s">
        <v>101</v>
      </c>
      <c r="G29" s="92" t="n">
        <v>67</v>
      </c>
    </row>
    <row r="30" customFormat="false" ht="13.8" hidden="false" customHeight="false" outlineLevel="0" collapsed="false">
      <c r="A30" s="23" t="n">
        <v>10027</v>
      </c>
      <c r="B30" s="91" t="n">
        <v>45740.5746296296</v>
      </c>
      <c r="C30" s="0" t="s">
        <v>95</v>
      </c>
      <c r="D30" s="0" t="s">
        <v>50</v>
      </c>
      <c r="F30" s="0" t="s">
        <v>101</v>
      </c>
      <c r="G30" s="92" t="n">
        <v>328</v>
      </c>
    </row>
    <row r="31" customFormat="false" ht="13.8" hidden="false" customHeight="false" outlineLevel="0" collapsed="false">
      <c r="A31" s="23" t="n">
        <v>10028</v>
      </c>
      <c r="B31" s="91" t="n">
        <v>45740.5758449074</v>
      </c>
      <c r="C31" s="0" t="s">
        <v>95</v>
      </c>
      <c r="D31" s="0" t="s">
        <v>50</v>
      </c>
      <c r="F31" s="0" t="s">
        <v>101</v>
      </c>
      <c r="G31" s="92" t="n">
        <v>30</v>
      </c>
    </row>
    <row r="32" customFormat="false" ht="13.8" hidden="false" customHeight="false" outlineLevel="0" collapsed="false">
      <c r="A32" s="23" t="n">
        <v>10029</v>
      </c>
      <c r="B32" s="91" t="n">
        <v>45740.5860185185</v>
      </c>
      <c r="C32" s="0" t="s">
        <v>95</v>
      </c>
      <c r="D32" s="0" t="s">
        <v>50</v>
      </c>
      <c r="F32" s="0" t="s">
        <v>101</v>
      </c>
      <c r="G32" s="92" t="n">
        <v>45</v>
      </c>
    </row>
    <row r="33" customFormat="false" ht="13.8" hidden="false" customHeight="false" outlineLevel="0" collapsed="false">
      <c r="A33" s="23" t="n">
        <v>10030</v>
      </c>
      <c r="B33" s="91" t="n">
        <v>45740.5858796296</v>
      </c>
      <c r="C33" s="0" t="s">
        <v>137</v>
      </c>
      <c r="D33" s="0" t="s">
        <v>50</v>
      </c>
      <c r="F33" s="0" t="s">
        <v>101</v>
      </c>
      <c r="G33" s="92" t="n">
        <v>1194</v>
      </c>
    </row>
    <row r="34" customFormat="false" ht="13.8" hidden="false" customHeight="false" outlineLevel="0" collapsed="false">
      <c r="A34" s="23" t="n">
        <v>10031</v>
      </c>
      <c r="B34" s="91" t="n">
        <v>45741.5805555556</v>
      </c>
      <c r="C34" s="0" t="s">
        <v>95</v>
      </c>
      <c r="D34" s="0" t="s">
        <v>43</v>
      </c>
      <c r="E34" s="94" t="s">
        <v>140</v>
      </c>
      <c r="F34" s="0" t="s">
        <v>101</v>
      </c>
      <c r="G34" s="92"/>
    </row>
    <row r="35" customFormat="false" ht="13.8" hidden="false" customHeight="false" outlineLevel="0" collapsed="false">
      <c r="A35" s="0" t="n">
        <v>10032</v>
      </c>
      <c r="B35" s="91" t="n">
        <v>45740.6237037037</v>
      </c>
      <c r="C35" s="0" t="s">
        <v>137</v>
      </c>
      <c r="D35" s="0" t="s">
        <v>50</v>
      </c>
      <c r="E35" s="0" t="s">
        <v>138</v>
      </c>
      <c r="F35" s="0" t="s">
        <v>101</v>
      </c>
      <c r="G35" s="92" t="n">
        <v>3515.885</v>
      </c>
    </row>
    <row r="36" customFormat="false" ht="13.8" hidden="false" customHeight="false" outlineLevel="0" collapsed="false">
      <c r="A36" s="0" t="n">
        <v>10033</v>
      </c>
      <c r="B36" s="91" t="n">
        <v>45740.6188657407</v>
      </c>
      <c r="C36" s="0" t="s">
        <v>95</v>
      </c>
      <c r="D36" s="0" t="s">
        <v>50</v>
      </c>
      <c r="F36" s="0" t="s">
        <v>101</v>
      </c>
      <c r="G36" s="92" t="n">
        <v>117</v>
      </c>
    </row>
    <row r="37" customFormat="false" ht="13.8" hidden="false" customHeight="false" outlineLevel="0" collapsed="false">
      <c r="A37" s="0" t="n">
        <v>10034</v>
      </c>
      <c r="B37" s="91" t="n">
        <v>45740.6205902778</v>
      </c>
      <c r="C37" s="0" t="s">
        <v>95</v>
      </c>
      <c r="D37" s="0" t="s">
        <v>50</v>
      </c>
      <c r="F37" s="0" t="s">
        <v>101</v>
      </c>
      <c r="G37" s="92" t="n">
        <v>72</v>
      </c>
    </row>
    <row r="38" customFormat="false" ht="13.8" hidden="false" customHeight="false" outlineLevel="0" collapsed="false">
      <c r="A38" s="0" t="n">
        <v>10035</v>
      </c>
      <c r="B38" s="91" t="n">
        <v>45741.580150463</v>
      </c>
      <c r="C38" s="0" t="s">
        <v>95</v>
      </c>
      <c r="D38" s="0" t="s">
        <v>43</v>
      </c>
      <c r="E38" s="94" t="s">
        <v>141</v>
      </c>
      <c r="F38" s="0" t="s">
        <v>101</v>
      </c>
      <c r="G38" s="92"/>
    </row>
    <row r="39" customFormat="false" ht="13.8" hidden="false" customHeight="false" outlineLevel="0" collapsed="false">
      <c r="A39" s="0" t="n">
        <v>10036</v>
      </c>
      <c r="B39" s="91" t="n">
        <v>45741.8138310185</v>
      </c>
      <c r="C39" s="0" t="s">
        <v>95</v>
      </c>
      <c r="D39" s="0" t="s">
        <v>50</v>
      </c>
      <c r="E39" s="94" t="s">
        <v>142</v>
      </c>
      <c r="F39" s="0" t="s">
        <v>101</v>
      </c>
      <c r="G39" s="92" t="n">
        <v>385</v>
      </c>
    </row>
    <row r="40" customFormat="false" ht="13.8" hidden="false" customHeight="false" outlineLevel="0" collapsed="false">
      <c r="A40" s="0" t="n">
        <v>10037</v>
      </c>
      <c r="B40" s="91" t="n">
        <v>45740.748125</v>
      </c>
      <c r="C40" s="0" t="s">
        <v>95</v>
      </c>
      <c r="D40" s="0" t="s">
        <v>50</v>
      </c>
      <c r="F40" s="0" t="s">
        <v>101</v>
      </c>
      <c r="G40" s="92" t="n">
        <v>60</v>
      </c>
    </row>
    <row r="41" customFormat="false" ht="13.8" hidden="false" customHeight="false" outlineLevel="0" collapsed="false">
      <c r="A41" s="0" t="n">
        <v>10038</v>
      </c>
      <c r="B41" s="91" t="n">
        <v>45740.7503240741</v>
      </c>
      <c r="C41" s="0" t="s">
        <v>95</v>
      </c>
      <c r="D41" s="0" t="s">
        <v>50</v>
      </c>
      <c r="F41" s="0" t="s">
        <v>101</v>
      </c>
      <c r="G41" s="92" t="n">
        <v>85</v>
      </c>
    </row>
    <row r="42" customFormat="false" ht="13.8" hidden="false" customHeight="false" outlineLevel="0" collapsed="false">
      <c r="A42" s="0" t="n">
        <v>10039</v>
      </c>
      <c r="B42" s="91" t="n">
        <v>45741.5808101852</v>
      </c>
      <c r="C42" s="0" t="s">
        <v>95</v>
      </c>
      <c r="D42" s="0" t="s">
        <v>43</v>
      </c>
      <c r="E42" s="0" t="n">
        <v>2145</v>
      </c>
      <c r="F42" s="0" t="s">
        <v>101</v>
      </c>
      <c r="G42" s="92"/>
    </row>
    <row r="43" customFormat="false" ht="13.8" hidden="false" customHeight="false" outlineLevel="0" collapsed="false">
      <c r="A43" s="0" t="n">
        <v>10040</v>
      </c>
      <c r="B43" s="91" t="n">
        <v>45740.8416666667</v>
      </c>
      <c r="C43" s="0" t="s">
        <v>95</v>
      </c>
      <c r="D43" s="0" t="s">
        <v>50</v>
      </c>
      <c r="F43" s="0" t="s">
        <v>101</v>
      </c>
      <c r="G43" s="92" t="n">
        <v>298.5</v>
      </c>
    </row>
    <row r="44" customFormat="false" ht="13.8" hidden="false" customHeight="false" outlineLevel="0" collapsed="false">
      <c r="A44" s="0" t="n">
        <v>10041</v>
      </c>
      <c r="B44" s="91" t="n">
        <v>45740.865474537</v>
      </c>
      <c r="C44" s="0" t="s">
        <v>95</v>
      </c>
      <c r="D44" s="0" t="s">
        <v>50</v>
      </c>
      <c r="F44" s="0" t="s">
        <v>101</v>
      </c>
      <c r="G44" s="92" t="n">
        <v>136</v>
      </c>
    </row>
    <row r="45" customFormat="false" ht="13.8" hidden="false" customHeight="false" outlineLevel="0" collapsed="false">
      <c r="A45" s="0" t="n">
        <v>10042</v>
      </c>
      <c r="B45" s="91" t="n">
        <v>45741.5809375</v>
      </c>
      <c r="C45" s="0" t="s">
        <v>137</v>
      </c>
      <c r="D45" s="0" t="s">
        <v>50</v>
      </c>
      <c r="F45" s="0" t="s">
        <v>101</v>
      </c>
      <c r="G45" s="92" t="n">
        <v>2240</v>
      </c>
    </row>
    <row r="46" customFormat="false" ht="13.8" hidden="false" customHeight="false" outlineLevel="0" collapsed="false">
      <c r="A46" s="0" t="n">
        <v>10043</v>
      </c>
      <c r="B46" s="91" t="n">
        <v>45740.8232407407</v>
      </c>
      <c r="C46" s="0" t="s">
        <v>95</v>
      </c>
      <c r="D46" s="0" t="s">
        <v>50</v>
      </c>
      <c r="F46" s="0" t="s">
        <v>101</v>
      </c>
      <c r="G46" s="92" t="n">
        <v>60</v>
      </c>
    </row>
    <row r="47" customFormat="false" ht="13.8" hidden="false" customHeight="false" outlineLevel="0" collapsed="false">
      <c r="A47" s="0" t="n">
        <v>10044</v>
      </c>
      <c r="B47" s="91" t="n">
        <v>45740.8656365741</v>
      </c>
      <c r="C47" s="0" t="s">
        <v>137</v>
      </c>
      <c r="D47" s="0" t="s">
        <v>50</v>
      </c>
      <c r="F47" s="0" t="s">
        <v>101</v>
      </c>
      <c r="G47" s="92" t="n">
        <v>1270</v>
      </c>
    </row>
    <row r="48" customFormat="false" ht="13.8" hidden="false" customHeight="false" outlineLevel="0" collapsed="false">
      <c r="A48" s="0" t="n">
        <v>10045</v>
      </c>
      <c r="B48" s="91" t="n">
        <v>45740.8495138889</v>
      </c>
      <c r="C48" s="0" t="s">
        <v>95</v>
      </c>
      <c r="D48" s="0" t="s">
        <v>50</v>
      </c>
      <c r="F48" s="0" t="s">
        <v>101</v>
      </c>
      <c r="G48" s="92" t="n">
        <v>20</v>
      </c>
    </row>
    <row r="49" customFormat="false" ht="13.8" hidden="false" customHeight="false" outlineLevel="0" collapsed="false">
      <c r="A49" s="0" t="n">
        <v>10046</v>
      </c>
      <c r="B49" s="91" t="n">
        <v>45741.5790046296</v>
      </c>
      <c r="C49" s="0" t="s">
        <v>137</v>
      </c>
      <c r="D49" s="0" t="s">
        <v>50</v>
      </c>
      <c r="F49" s="0" t="s">
        <v>101</v>
      </c>
      <c r="G49" s="92" t="n">
        <v>346</v>
      </c>
    </row>
    <row r="50" customFormat="false" ht="13.8" hidden="false" customHeight="false" outlineLevel="0" collapsed="false">
      <c r="A50" s="0" t="n">
        <v>10047</v>
      </c>
      <c r="B50" s="91" t="n">
        <v>45741.5775810185</v>
      </c>
      <c r="C50" s="0" t="s">
        <v>95</v>
      </c>
      <c r="D50" s="0" t="s">
        <v>43</v>
      </c>
      <c r="E50" s="94" t="s">
        <v>143</v>
      </c>
      <c r="F50" s="0" t="s">
        <v>101</v>
      </c>
      <c r="G50" s="92"/>
    </row>
    <row r="51" customFormat="false" ht="13.8" hidden="false" customHeight="false" outlineLevel="0" collapsed="false">
      <c r="A51" s="0" t="n">
        <v>10048</v>
      </c>
      <c r="B51" s="91" t="n">
        <v>45741.8745833333</v>
      </c>
      <c r="C51" s="0" t="s">
        <v>95</v>
      </c>
      <c r="D51" s="0" t="s">
        <v>50</v>
      </c>
      <c r="E51" s="94" t="s">
        <v>144</v>
      </c>
      <c r="F51" s="0" t="s">
        <v>101</v>
      </c>
      <c r="G51" s="92" t="n">
        <v>35</v>
      </c>
    </row>
    <row r="52" customFormat="false" ht="13.8" hidden="false" customHeight="false" outlineLevel="0" collapsed="false">
      <c r="A52" s="0" t="n">
        <v>10049</v>
      </c>
      <c r="B52" s="91" t="n">
        <v>45740.8614467593</v>
      </c>
      <c r="C52" s="0" t="s">
        <v>95</v>
      </c>
      <c r="D52" s="0" t="s">
        <v>50</v>
      </c>
      <c r="F52" s="0" t="s">
        <v>101</v>
      </c>
      <c r="G52" s="92" t="n">
        <v>42</v>
      </c>
    </row>
    <row r="53" customFormat="false" ht="13.8" hidden="false" customHeight="false" outlineLevel="0" collapsed="false">
      <c r="A53" s="0" t="n">
        <v>10050</v>
      </c>
      <c r="B53" s="91" t="n">
        <v>45740.8646990741</v>
      </c>
      <c r="C53" s="0" t="s">
        <v>95</v>
      </c>
      <c r="D53" s="0" t="s">
        <v>50</v>
      </c>
      <c r="F53" s="0" t="s">
        <v>101</v>
      </c>
      <c r="G53" s="92" t="n">
        <v>100</v>
      </c>
    </row>
    <row r="54" customFormat="false" ht="13.8" hidden="false" customHeight="false" outlineLevel="0" collapsed="false">
      <c r="A54" s="0" t="n">
        <v>10051</v>
      </c>
      <c r="B54" s="91" t="n">
        <v>45740.8916087963</v>
      </c>
      <c r="C54" s="0" t="s">
        <v>95</v>
      </c>
      <c r="D54" s="0" t="s">
        <v>50</v>
      </c>
      <c r="F54" s="0" t="s">
        <v>101</v>
      </c>
      <c r="G54" s="92" t="n">
        <v>171</v>
      </c>
    </row>
    <row r="55" customFormat="false" ht="13.8" hidden="false" customHeight="false" outlineLevel="0" collapsed="false">
      <c r="A55" s="0" t="n">
        <v>10052</v>
      </c>
      <c r="B55" s="91" t="n">
        <v>45740.8852777778</v>
      </c>
      <c r="C55" s="0" t="s">
        <v>95</v>
      </c>
      <c r="D55" s="0" t="s">
        <v>50</v>
      </c>
      <c r="F55" s="0" t="s">
        <v>101</v>
      </c>
      <c r="G55" s="92" t="n">
        <v>30</v>
      </c>
    </row>
    <row r="56" customFormat="false" ht="13.8" hidden="false" customHeight="false" outlineLevel="0" collapsed="false">
      <c r="A56" s="0" t="n">
        <v>10053</v>
      </c>
      <c r="B56" s="91" t="n">
        <v>45740.8862152778</v>
      </c>
      <c r="C56" s="0" t="s">
        <v>95</v>
      </c>
      <c r="D56" s="0" t="s">
        <v>145</v>
      </c>
      <c r="F56" s="0" t="s">
        <v>101</v>
      </c>
      <c r="G56" s="92" t="n">
        <v>0</v>
      </c>
    </row>
    <row r="57" customFormat="false" ht="13.8" hidden="false" customHeight="false" outlineLevel="0" collapsed="false">
      <c r="A57" s="0" t="n">
        <v>10054</v>
      </c>
      <c r="B57" s="91" t="n">
        <v>45740.8900925926</v>
      </c>
      <c r="C57" s="0" t="s">
        <v>95</v>
      </c>
      <c r="D57" s="0" t="s">
        <v>50</v>
      </c>
      <c r="F57" s="0" t="s">
        <v>101</v>
      </c>
      <c r="G57" s="92" t="n">
        <v>85</v>
      </c>
    </row>
    <row r="58" customFormat="false" ht="13.8" hidden="false" customHeight="false" outlineLevel="0" collapsed="false">
      <c r="A58" s="0" t="n">
        <v>10055</v>
      </c>
      <c r="B58" s="91" t="n">
        <v>45740.8903472222</v>
      </c>
      <c r="C58" s="0" t="s">
        <v>137</v>
      </c>
      <c r="D58" s="0" t="s">
        <v>50</v>
      </c>
      <c r="F58" s="0" t="s">
        <v>101</v>
      </c>
      <c r="G58" s="92" t="n">
        <v>90</v>
      </c>
    </row>
    <row r="59" customFormat="false" ht="13.8" hidden="false" customHeight="false" outlineLevel="0" collapsed="false">
      <c r="A59" s="0" t="n">
        <v>10056</v>
      </c>
      <c r="B59" s="91" t="n">
        <v>45741.5786921296</v>
      </c>
      <c r="C59" s="0" t="s">
        <v>95</v>
      </c>
      <c r="D59" s="0" t="s">
        <v>43</v>
      </c>
      <c r="E59" s="0" t="n">
        <v>2145</v>
      </c>
      <c r="F59" s="0" t="s">
        <v>101</v>
      </c>
      <c r="G59" s="92"/>
    </row>
    <row r="60" customFormat="false" ht="13.8" hidden="false" customHeight="false" outlineLevel="0" collapsed="false">
      <c r="A60" s="0" t="n">
        <v>10057</v>
      </c>
      <c r="B60" s="91" t="n">
        <v>45741.5816203704</v>
      </c>
      <c r="C60" s="0" t="s">
        <v>95</v>
      </c>
      <c r="D60" s="0" t="s">
        <v>50</v>
      </c>
      <c r="F60" s="0" t="s">
        <v>101</v>
      </c>
      <c r="G60" s="92" t="n">
        <v>36</v>
      </c>
    </row>
    <row r="61" customFormat="false" ht="13.8" hidden="false" customHeight="false" outlineLevel="0" collapsed="false">
      <c r="A61" s="0" t="n">
        <v>10058</v>
      </c>
      <c r="B61" s="91" t="n">
        <v>45744.5777083333</v>
      </c>
      <c r="C61" s="0" t="s">
        <v>95</v>
      </c>
      <c r="D61" s="0" t="s">
        <v>50</v>
      </c>
      <c r="E61" s="94" t="s">
        <v>146</v>
      </c>
      <c r="F61" s="0" t="s">
        <v>101</v>
      </c>
      <c r="G61" s="92" t="n">
        <v>9</v>
      </c>
    </row>
    <row r="62" customFormat="false" ht="13.8" hidden="false" customHeight="false" outlineLevel="0" collapsed="false">
      <c r="A62" s="0" t="n">
        <v>10059</v>
      </c>
      <c r="B62" s="91" t="n">
        <v>45740.9213657407</v>
      </c>
      <c r="C62" s="0" t="s">
        <v>137</v>
      </c>
      <c r="D62" s="0" t="s">
        <v>43</v>
      </c>
      <c r="F62" s="0" t="s">
        <v>101</v>
      </c>
      <c r="G62" s="92"/>
    </row>
    <row r="63" customFormat="false" ht="13.8" hidden="false" customHeight="false" outlineLevel="0" collapsed="false">
      <c r="A63" s="0" t="n">
        <v>10060</v>
      </c>
      <c r="B63" s="91" t="n">
        <v>45740.9232986111</v>
      </c>
      <c r="C63" s="0" t="s">
        <v>95</v>
      </c>
      <c r="D63" s="0" t="s">
        <v>50</v>
      </c>
      <c r="F63" s="0" t="s">
        <v>101</v>
      </c>
      <c r="G63" s="92" t="n">
        <v>165</v>
      </c>
    </row>
    <row r="64" customFormat="false" ht="13.8" hidden="false" customHeight="false" outlineLevel="0" collapsed="false">
      <c r="A64" s="0" t="n">
        <v>10061</v>
      </c>
      <c r="B64" s="91" t="n">
        <v>45740.9235069444</v>
      </c>
      <c r="C64" s="0" t="s">
        <v>95</v>
      </c>
      <c r="D64" s="0" t="s">
        <v>43</v>
      </c>
      <c r="F64" s="0" t="s">
        <v>101</v>
      </c>
      <c r="G64" s="92"/>
    </row>
    <row r="65" customFormat="false" ht="13.8" hidden="false" customHeight="false" outlineLevel="0" collapsed="false">
      <c r="A65" s="0" t="n">
        <v>10062</v>
      </c>
      <c r="B65" s="91" t="n">
        <v>45740.9324652778</v>
      </c>
      <c r="C65" s="0" t="s">
        <v>95</v>
      </c>
      <c r="D65" s="0" t="s">
        <v>50</v>
      </c>
      <c r="F65" s="0" t="s">
        <v>101</v>
      </c>
      <c r="G65" s="92" t="n">
        <v>70</v>
      </c>
    </row>
    <row r="66" customFormat="false" ht="13.8" hidden="false" customHeight="false" outlineLevel="0" collapsed="false">
      <c r="A66" s="0" t="n">
        <v>10063</v>
      </c>
      <c r="B66" s="91" t="n">
        <v>45740.9558333333</v>
      </c>
      <c r="C66" s="0" t="s">
        <v>95</v>
      </c>
      <c r="D66" s="0" t="s">
        <v>50</v>
      </c>
      <c r="F66" s="0" t="s">
        <v>101</v>
      </c>
      <c r="G66" s="92" t="n">
        <v>48</v>
      </c>
    </row>
    <row r="67" customFormat="false" ht="13.8" hidden="false" customHeight="false" outlineLevel="0" collapsed="false">
      <c r="A67" s="0" t="n">
        <v>10064</v>
      </c>
      <c r="B67" s="91" t="n">
        <v>45741.5502893519</v>
      </c>
      <c r="C67" s="0" t="s">
        <v>95</v>
      </c>
      <c r="D67" s="0" t="s">
        <v>43</v>
      </c>
      <c r="F67" s="0" t="s">
        <v>147</v>
      </c>
      <c r="G67" s="92"/>
    </row>
    <row r="68" customFormat="false" ht="13.8" hidden="false" customHeight="false" outlineLevel="0" collapsed="false">
      <c r="A68" s="0" t="n">
        <v>10065</v>
      </c>
      <c r="B68" s="91" t="n">
        <v>45741.5771527778</v>
      </c>
      <c r="C68" s="0" t="s">
        <v>95</v>
      </c>
      <c r="D68" s="0" t="s">
        <v>50</v>
      </c>
      <c r="F68" s="0" t="s">
        <v>147</v>
      </c>
      <c r="G68" s="92" t="n">
        <v>134</v>
      </c>
    </row>
    <row r="69" customFormat="false" ht="13.8" hidden="false" customHeight="false" outlineLevel="0" collapsed="false">
      <c r="A69" s="0" t="n">
        <v>10066</v>
      </c>
      <c r="B69" s="91" t="n">
        <v>45741.5599768519</v>
      </c>
      <c r="C69" s="0" t="s">
        <v>95</v>
      </c>
      <c r="D69" s="0" t="s">
        <v>50</v>
      </c>
      <c r="F69" s="0" t="s">
        <v>147</v>
      </c>
      <c r="G69" s="92" t="n">
        <v>25</v>
      </c>
    </row>
    <row r="70" customFormat="false" ht="13.8" hidden="false" customHeight="false" outlineLevel="0" collapsed="false">
      <c r="A70" s="0" t="n">
        <v>10067</v>
      </c>
      <c r="B70" s="91" t="n">
        <v>45741.5821064815</v>
      </c>
      <c r="C70" s="0" t="s">
        <v>95</v>
      </c>
      <c r="D70" s="0" t="s">
        <v>50</v>
      </c>
      <c r="F70" s="0" t="s">
        <v>147</v>
      </c>
      <c r="G70" s="92" t="n">
        <v>20</v>
      </c>
    </row>
    <row r="71" customFormat="false" ht="13.8" hidden="false" customHeight="false" outlineLevel="0" collapsed="false">
      <c r="A71" s="0" t="n">
        <v>10068</v>
      </c>
      <c r="B71" s="91" t="n">
        <v>45741.5827083333</v>
      </c>
      <c r="C71" s="0" t="s">
        <v>95</v>
      </c>
      <c r="D71" s="0" t="s">
        <v>50</v>
      </c>
      <c r="F71" s="0" t="s">
        <v>147</v>
      </c>
      <c r="G71" s="92" t="n">
        <v>40</v>
      </c>
    </row>
    <row r="72" customFormat="false" ht="13.8" hidden="false" customHeight="false" outlineLevel="0" collapsed="false">
      <c r="A72" s="0" t="n">
        <v>10069</v>
      </c>
      <c r="B72" s="91" t="n">
        <v>45741.5640740741</v>
      </c>
      <c r="C72" s="0" t="s">
        <v>95</v>
      </c>
      <c r="D72" s="0" t="s">
        <v>50</v>
      </c>
      <c r="F72" s="0" t="s">
        <v>147</v>
      </c>
      <c r="G72" s="92" t="n">
        <v>200</v>
      </c>
    </row>
    <row r="73" customFormat="false" ht="13.8" hidden="false" customHeight="false" outlineLevel="0" collapsed="false">
      <c r="A73" s="0" t="n">
        <v>10070</v>
      </c>
      <c r="B73" s="91" t="n">
        <v>45741.5701967593</v>
      </c>
      <c r="C73" s="0" t="s">
        <v>95</v>
      </c>
      <c r="D73" s="0" t="s">
        <v>43</v>
      </c>
      <c r="E73" s="0" t="n">
        <v>2145</v>
      </c>
      <c r="F73" s="0" t="s">
        <v>147</v>
      </c>
      <c r="G73" s="92"/>
    </row>
    <row r="74" customFormat="false" ht="13.8" hidden="false" customHeight="false" outlineLevel="0" collapsed="false">
      <c r="A74" s="0" t="n">
        <v>10071</v>
      </c>
      <c r="B74" s="91" t="n">
        <v>45741.5726736111</v>
      </c>
      <c r="C74" s="0" t="s">
        <v>95</v>
      </c>
      <c r="D74" s="0" t="s">
        <v>50</v>
      </c>
      <c r="F74" s="0" t="s">
        <v>147</v>
      </c>
      <c r="G74" s="92" t="n">
        <v>70</v>
      </c>
    </row>
    <row r="75" customFormat="false" ht="13.8" hidden="false" customHeight="false" outlineLevel="0" collapsed="false">
      <c r="A75" s="0" t="n">
        <v>10072</v>
      </c>
      <c r="B75" s="91" t="n">
        <v>45741.5761805556</v>
      </c>
      <c r="C75" s="0" t="s">
        <v>137</v>
      </c>
      <c r="D75" s="0" t="s">
        <v>50</v>
      </c>
      <c r="F75" s="0" t="s">
        <v>147</v>
      </c>
      <c r="G75" s="92" t="n">
        <v>840</v>
      </c>
    </row>
    <row r="76" customFormat="false" ht="13.8" hidden="false" customHeight="false" outlineLevel="0" collapsed="false">
      <c r="A76" s="0" t="n">
        <v>10073</v>
      </c>
      <c r="B76" s="91" t="n">
        <v>45741.5957986111</v>
      </c>
      <c r="C76" s="0" t="s">
        <v>95</v>
      </c>
      <c r="D76" s="0" t="s">
        <v>50</v>
      </c>
      <c r="F76" s="0" t="s">
        <v>101</v>
      </c>
      <c r="G76" s="92" t="n">
        <v>52</v>
      </c>
    </row>
    <row r="77" customFormat="false" ht="13.8" hidden="false" customHeight="false" outlineLevel="0" collapsed="false">
      <c r="A77" s="0" t="n">
        <v>10074</v>
      </c>
      <c r="B77" s="91" t="n">
        <v>45741.6065277778</v>
      </c>
      <c r="C77" s="0" t="s">
        <v>95</v>
      </c>
      <c r="D77" s="0" t="s">
        <v>50</v>
      </c>
      <c r="F77" s="0" t="s">
        <v>101</v>
      </c>
      <c r="G77" s="92" t="n">
        <v>12</v>
      </c>
    </row>
    <row r="78" customFormat="false" ht="13.8" hidden="false" customHeight="false" outlineLevel="0" collapsed="false">
      <c r="A78" s="0" t="n">
        <v>10075</v>
      </c>
      <c r="B78" s="91" t="n">
        <v>45741.7295717593</v>
      </c>
      <c r="C78" s="0" t="s">
        <v>95</v>
      </c>
      <c r="D78" s="0" t="s">
        <v>50</v>
      </c>
      <c r="F78" s="0" t="s">
        <v>101</v>
      </c>
      <c r="G78" s="92" t="n">
        <v>59</v>
      </c>
    </row>
    <row r="79" customFormat="false" ht="13.8" hidden="false" customHeight="false" outlineLevel="0" collapsed="false">
      <c r="A79" s="0" t="n">
        <v>10076</v>
      </c>
      <c r="B79" s="91" t="n">
        <v>45741.7378125</v>
      </c>
      <c r="C79" s="0" t="s">
        <v>95</v>
      </c>
      <c r="D79" s="0" t="s">
        <v>50</v>
      </c>
      <c r="F79" s="0" t="s">
        <v>101</v>
      </c>
      <c r="G79" s="92" t="n">
        <v>45</v>
      </c>
    </row>
    <row r="80" customFormat="false" ht="13.8" hidden="false" customHeight="false" outlineLevel="0" collapsed="false">
      <c r="A80" s="0" t="n">
        <v>10077</v>
      </c>
      <c r="B80" s="91" t="n">
        <v>45741.7410300926</v>
      </c>
      <c r="C80" s="0" t="s">
        <v>95</v>
      </c>
      <c r="D80" s="0" t="s">
        <v>50</v>
      </c>
      <c r="F80" s="0" t="s">
        <v>101</v>
      </c>
      <c r="G80" s="92" t="n">
        <v>8</v>
      </c>
    </row>
    <row r="81" customFormat="false" ht="13.8" hidden="false" customHeight="false" outlineLevel="0" collapsed="false">
      <c r="A81" s="0" t="n">
        <v>10078</v>
      </c>
      <c r="B81" s="91" t="n">
        <v>45741.7423726852</v>
      </c>
      <c r="C81" s="0" t="s">
        <v>95</v>
      </c>
      <c r="D81" s="0" t="s">
        <v>50</v>
      </c>
      <c r="F81" s="0" t="s">
        <v>101</v>
      </c>
      <c r="G81" s="92" t="n">
        <v>50</v>
      </c>
    </row>
    <row r="82" customFormat="false" ht="13.8" hidden="false" customHeight="false" outlineLevel="0" collapsed="false">
      <c r="A82" s="0" t="n">
        <v>10079</v>
      </c>
      <c r="B82" s="91" t="n">
        <v>45741.7435069444</v>
      </c>
      <c r="C82" s="0" t="s">
        <v>95</v>
      </c>
      <c r="D82" s="0" t="s">
        <v>50</v>
      </c>
      <c r="F82" s="0" t="s">
        <v>101</v>
      </c>
      <c r="G82" s="92" t="n">
        <v>30</v>
      </c>
    </row>
    <row r="83" customFormat="false" ht="13.8" hidden="false" customHeight="false" outlineLevel="0" collapsed="false">
      <c r="A83" s="0" t="n">
        <v>10080</v>
      </c>
      <c r="B83" s="91" t="n">
        <v>45741.7440740741</v>
      </c>
      <c r="C83" s="0" t="s">
        <v>95</v>
      </c>
      <c r="D83" s="0" t="s">
        <v>50</v>
      </c>
      <c r="F83" s="0" t="s">
        <v>101</v>
      </c>
      <c r="G83" s="92" t="n">
        <v>20</v>
      </c>
    </row>
    <row r="84" customFormat="false" ht="13.8" hidden="false" customHeight="false" outlineLevel="0" collapsed="false">
      <c r="A84" s="0" t="n">
        <v>10081</v>
      </c>
      <c r="B84" s="91" t="n">
        <v>45741.7459722222</v>
      </c>
      <c r="C84" s="0" t="s">
        <v>95</v>
      </c>
      <c r="D84" s="0" t="s">
        <v>50</v>
      </c>
      <c r="F84" s="0" t="s">
        <v>101</v>
      </c>
      <c r="G84" s="92" t="n">
        <v>20</v>
      </c>
    </row>
    <row r="85" customFormat="false" ht="13.8" hidden="false" customHeight="false" outlineLevel="0" collapsed="false">
      <c r="A85" s="0" t="n">
        <v>10082</v>
      </c>
      <c r="B85" s="91" t="n">
        <v>45741.7462847222</v>
      </c>
      <c r="C85" s="0" t="s">
        <v>95</v>
      </c>
      <c r="D85" s="0" t="s">
        <v>50</v>
      </c>
      <c r="F85" s="0" t="s">
        <v>101</v>
      </c>
      <c r="G85" s="92" t="n">
        <v>38</v>
      </c>
    </row>
    <row r="86" customFormat="false" ht="13.8" hidden="false" customHeight="false" outlineLevel="0" collapsed="false">
      <c r="A86" s="0" t="n">
        <v>10083</v>
      </c>
      <c r="B86" s="91" t="n">
        <v>45741.7572916667</v>
      </c>
      <c r="C86" s="0" t="s">
        <v>95</v>
      </c>
      <c r="D86" s="0" t="s">
        <v>50</v>
      </c>
      <c r="F86" s="0" t="s">
        <v>101</v>
      </c>
      <c r="G86" s="92" t="n">
        <v>30</v>
      </c>
    </row>
    <row r="87" customFormat="false" ht="13.8" hidden="false" customHeight="false" outlineLevel="0" collapsed="false">
      <c r="A87" s="0" t="n">
        <v>10084</v>
      </c>
      <c r="B87" s="91" t="n">
        <v>45741.7580555556</v>
      </c>
      <c r="C87" s="0" t="s">
        <v>95</v>
      </c>
      <c r="D87" s="0" t="s">
        <v>50</v>
      </c>
      <c r="F87" s="0" t="s">
        <v>101</v>
      </c>
      <c r="G87" s="92" t="n">
        <v>40</v>
      </c>
    </row>
    <row r="88" customFormat="false" ht="13.8" hidden="false" customHeight="false" outlineLevel="0" collapsed="false">
      <c r="A88" s="0" t="n">
        <v>10085</v>
      </c>
      <c r="B88" s="91" t="n">
        <v>45741.7607291667</v>
      </c>
      <c r="C88" s="0" t="s">
        <v>95</v>
      </c>
      <c r="D88" s="0" t="s">
        <v>50</v>
      </c>
      <c r="F88" s="0" t="s">
        <v>101</v>
      </c>
      <c r="G88" s="92" t="n">
        <v>56</v>
      </c>
    </row>
    <row r="89" customFormat="false" ht="13.8" hidden="false" customHeight="false" outlineLevel="0" collapsed="false">
      <c r="A89" s="0" t="n">
        <v>10086</v>
      </c>
      <c r="B89" s="91" t="n">
        <v>45741.7641666667</v>
      </c>
      <c r="C89" s="0" t="s">
        <v>95</v>
      </c>
      <c r="D89" s="0" t="s">
        <v>50</v>
      </c>
      <c r="F89" s="0" t="s">
        <v>101</v>
      </c>
      <c r="G89" s="92" t="n">
        <v>162</v>
      </c>
    </row>
    <row r="90" customFormat="false" ht="13.8" hidden="false" customHeight="false" outlineLevel="0" collapsed="false">
      <c r="A90" s="0" t="n">
        <v>10087</v>
      </c>
      <c r="B90" s="91" t="n">
        <v>45741.7643865741</v>
      </c>
      <c r="C90" s="0" t="s">
        <v>95</v>
      </c>
      <c r="D90" s="0" t="s">
        <v>43</v>
      </c>
      <c r="E90" s="0" t="n">
        <v>2145</v>
      </c>
      <c r="F90" s="0" t="s">
        <v>101</v>
      </c>
      <c r="G90" s="92"/>
    </row>
    <row r="91" customFormat="false" ht="13.8" hidden="false" customHeight="false" outlineLevel="0" collapsed="false">
      <c r="A91" s="0" t="n">
        <v>10088</v>
      </c>
      <c r="B91" s="91" t="n">
        <v>45741.8728125</v>
      </c>
      <c r="C91" s="0" t="s">
        <v>137</v>
      </c>
      <c r="D91" s="0" t="s">
        <v>50</v>
      </c>
      <c r="E91" s="94" t="s">
        <v>148</v>
      </c>
      <c r="F91" s="0" t="s">
        <v>101</v>
      </c>
      <c r="G91" s="92" t="n">
        <v>9335.8</v>
      </c>
    </row>
    <row r="92" customFormat="false" ht="13.8" hidden="false" customHeight="false" outlineLevel="0" collapsed="false">
      <c r="A92" s="0" t="n">
        <v>10089</v>
      </c>
      <c r="B92" s="91" t="n">
        <v>45741.7761458333</v>
      </c>
      <c r="C92" s="0" t="s">
        <v>95</v>
      </c>
      <c r="D92" s="0" t="s">
        <v>50</v>
      </c>
      <c r="F92" s="0" t="s">
        <v>101</v>
      </c>
      <c r="G92" s="92" t="n">
        <v>20</v>
      </c>
    </row>
    <row r="93" customFormat="false" ht="13.8" hidden="false" customHeight="false" outlineLevel="0" collapsed="false">
      <c r="A93" s="0" t="n">
        <v>10090</v>
      </c>
      <c r="B93" s="91" t="n">
        <v>45741.7820601852</v>
      </c>
      <c r="C93" s="0" t="s">
        <v>95</v>
      </c>
      <c r="D93" s="0" t="s">
        <v>43</v>
      </c>
      <c r="F93" s="0" t="s">
        <v>101</v>
      </c>
      <c r="G93" s="92"/>
    </row>
    <row r="94" customFormat="false" ht="13.8" hidden="false" customHeight="false" outlineLevel="0" collapsed="false">
      <c r="A94" s="0" t="n">
        <v>10091</v>
      </c>
      <c r="B94" s="91" t="n">
        <v>45741.7845138889</v>
      </c>
      <c r="C94" s="0" t="s">
        <v>95</v>
      </c>
      <c r="D94" s="0" t="s">
        <v>43</v>
      </c>
      <c r="F94" s="0" t="s">
        <v>101</v>
      </c>
      <c r="G94" s="92"/>
    </row>
    <row r="95" customFormat="false" ht="13.8" hidden="false" customHeight="false" outlineLevel="0" collapsed="false">
      <c r="A95" s="0" t="n">
        <v>10092</v>
      </c>
      <c r="B95" s="91" t="n">
        <v>45741.7849652778</v>
      </c>
      <c r="C95" s="0" t="s">
        <v>95</v>
      </c>
      <c r="D95" s="0" t="s">
        <v>50</v>
      </c>
      <c r="E95" s="94" t="s">
        <v>149</v>
      </c>
      <c r="F95" s="0" t="s">
        <v>101</v>
      </c>
      <c r="G95" s="92" t="n">
        <v>30</v>
      </c>
    </row>
    <row r="96" customFormat="false" ht="13.8" hidden="false" customHeight="false" outlineLevel="0" collapsed="false">
      <c r="A96" s="0" t="n">
        <v>10093</v>
      </c>
      <c r="B96" s="91" t="n">
        <v>45741.7865046296</v>
      </c>
      <c r="C96" s="0" t="s">
        <v>95</v>
      </c>
      <c r="D96" s="0" t="s">
        <v>50</v>
      </c>
      <c r="F96" s="0" t="s">
        <v>101</v>
      </c>
      <c r="G96" s="92" t="n">
        <v>50</v>
      </c>
    </row>
    <row r="97" customFormat="false" ht="13.8" hidden="false" customHeight="false" outlineLevel="0" collapsed="false">
      <c r="A97" s="0" t="n">
        <v>10094</v>
      </c>
      <c r="B97" s="91" t="n">
        <v>45741.7927546296</v>
      </c>
      <c r="C97" s="0" t="s">
        <v>95</v>
      </c>
      <c r="D97" s="0" t="s">
        <v>50</v>
      </c>
      <c r="F97" s="0" t="s">
        <v>101</v>
      </c>
      <c r="G97" s="92" t="n">
        <v>80</v>
      </c>
    </row>
    <row r="98" customFormat="false" ht="13.8" hidden="false" customHeight="false" outlineLevel="0" collapsed="false">
      <c r="A98" s="0" t="n">
        <v>10095</v>
      </c>
      <c r="B98" s="91" t="n">
        <v>45741.7996296296</v>
      </c>
      <c r="C98" s="0" t="s">
        <v>95</v>
      </c>
      <c r="D98" s="0" t="s">
        <v>43</v>
      </c>
      <c r="E98" s="94" t="s">
        <v>143</v>
      </c>
      <c r="F98" s="0" t="s">
        <v>101</v>
      </c>
      <c r="G98" s="92"/>
    </row>
    <row r="99" customFormat="false" ht="13.8" hidden="false" customHeight="false" outlineLevel="0" collapsed="false">
      <c r="A99" s="0" t="n">
        <v>10096</v>
      </c>
      <c r="B99" s="91" t="n">
        <v>45741.8047453704</v>
      </c>
      <c r="C99" s="0" t="s">
        <v>95</v>
      </c>
      <c r="D99" s="0" t="s">
        <v>50</v>
      </c>
      <c r="F99" s="0" t="s">
        <v>101</v>
      </c>
      <c r="G99" s="92" t="n">
        <v>80</v>
      </c>
    </row>
    <row r="100" customFormat="false" ht="13.8" hidden="false" customHeight="false" outlineLevel="0" collapsed="false">
      <c r="A100" s="0" t="n">
        <v>10097</v>
      </c>
      <c r="B100" s="91" t="n">
        <v>45741.8100694444</v>
      </c>
      <c r="C100" s="0" t="s">
        <v>95</v>
      </c>
      <c r="D100" s="0" t="s">
        <v>43</v>
      </c>
      <c r="E100" s="94" t="s">
        <v>140</v>
      </c>
      <c r="F100" s="0" t="s">
        <v>101</v>
      </c>
      <c r="G100" s="92"/>
    </row>
    <row r="101" customFormat="false" ht="13.8" hidden="false" customHeight="false" outlineLevel="0" collapsed="false">
      <c r="A101" s="0" t="n">
        <v>10098</v>
      </c>
      <c r="B101" s="91" t="n">
        <v>45741.8135763889</v>
      </c>
      <c r="C101" s="0" t="s">
        <v>95</v>
      </c>
      <c r="D101" s="0" t="s">
        <v>50</v>
      </c>
      <c r="F101" s="0" t="s">
        <v>101</v>
      </c>
      <c r="G101" s="92" t="n">
        <v>55</v>
      </c>
    </row>
    <row r="102" customFormat="false" ht="13.8" hidden="false" customHeight="false" outlineLevel="0" collapsed="false">
      <c r="A102" s="0" t="n">
        <v>10099</v>
      </c>
      <c r="B102" s="91" t="n">
        <v>45741.8188773148</v>
      </c>
      <c r="C102" s="0" t="s">
        <v>95</v>
      </c>
      <c r="D102" s="0" t="s">
        <v>50</v>
      </c>
      <c r="F102" s="0" t="s">
        <v>101</v>
      </c>
      <c r="G102" s="92" t="n">
        <v>30</v>
      </c>
    </row>
    <row r="103" customFormat="false" ht="13.8" hidden="false" customHeight="false" outlineLevel="0" collapsed="false">
      <c r="A103" s="0" t="n">
        <v>10100</v>
      </c>
      <c r="B103" s="91" t="n">
        <v>45741.8199537037</v>
      </c>
      <c r="C103" s="0" t="s">
        <v>95</v>
      </c>
      <c r="D103" s="0" t="s">
        <v>50</v>
      </c>
      <c r="F103" s="0" t="s">
        <v>101</v>
      </c>
      <c r="G103" s="92" t="n">
        <v>61</v>
      </c>
    </row>
    <row r="104" customFormat="false" ht="13.8" hidden="false" customHeight="false" outlineLevel="0" collapsed="false">
      <c r="A104" s="0" t="n">
        <v>10101</v>
      </c>
      <c r="B104" s="91" t="n">
        <v>45741.859224537</v>
      </c>
      <c r="C104" s="0" t="s">
        <v>95</v>
      </c>
      <c r="D104" s="0" t="s">
        <v>50</v>
      </c>
      <c r="F104" s="0" t="s">
        <v>101</v>
      </c>
      <c r="G104" s="92" t="n">
        <v>30</v>
      </c>
    </row>
    <row r="105" customFormat="false" ht="13.8" hidden="false" customHeight="false" outlineLevel="0" collapsed="false">
      <c r="A105" s="0" t="n">
        <v>10102</v>
      </c>
      <c r="B105" s="91" t="n">
        <v>45741.874212963</v>
      </c>
      <c r="C105" s="0" t="s">
        <v>95</v>
      </c>
      <c r="D105" s="0" t="s">
        <v>50</v>
      </c>
      <c r="F105" s="0" t="s">
        <v>101</v>
      </c>
      <c r="G105" s="92" t="n">
        <v>289</v>
      </c>
    </row>
    <row r="106" customFormat="false" ht="13.8" hidden="false" customHeight="false" outlineLevel="0" collapsed="false">
      <c r="A106" s="0" t="n">
        <v>10103</v>
      </c>
      <c r="B106" s="91" t="n">
        <v>45741.8751736111</v>
      </c>
      <c r="C106" s="0" t="s">
        <v>95</v>
      </c>
      <c r="D106" s="0" t="s">
        <v>43</v>
      </c>
      <c r="E106" s="0" t="n">
        <v>2145</v>
      </c>
      <c r="F106" s="0" t="s">
        <v>101</v>
      </c>
      <c r="G106" s="92"/>
    </row>
    <row r="107" customFormat="false" ht="13.8" hidden="false" customHeight="false" outlineLevel="0" collapsed="false">
      <c r="A107" s="0" t="n">
        <v>10104</v>
      </c>
      <c r="B107" s="91" t="n">
        <v>45741.8782175926</v>
      </c>
      <c r="C107" s="0" t="s">
        <v>95</v>
      </c>
      <c r="D107" s="0" t="s">
        <v>43</v>
      </c>
      <c r="E107" s="0" t="n">
        <v>2145</v>
      </c>
      <c r="F107" s="0" t="s">
        <v>101</v>
      </c>
      <c r="G107" s="92"/>
    </row>
    <row r="108" customFormat="false" ht="13.8" hidden="false" customHeight="false" outlineLevel="0" collapsed="false">
      <c r="A108" s="0" t="n">
        <v>10105</v>
      </c>
      <c r="B108" s="91" t="n">
        <v>45741.8931944445</v>
      </c>
      <c r="C108" s="0" t="s">
        <v>95</v>
      </c>
      <c r="D108" s="0" t="s">
        <v>50</v>
      </c>
      <c r="F108" s="0" t="s">
        <v>101</v>
      </c>
      <c r="G108" s="92" t="n">
        <v>42</v>
      </c>
    </row>
    <row r="109" customFormat="false" ht="13.8" hidden="false" customHeight="false" outlineLevel="0" collapsed="false">
      <c r="A109" s="0" t="n">
        <v>10106</v>
      </c>
      <c r="B109" s="91" t="n">
        <v>45741.8952199074</v>
      </c>
      <c r="C109" s="0" t="s">
        <v>137</v>
      </c>
      <c r="D109" s="0" t="s">
        <v>43</v>
      </c>
      <c r="F109" s="0" t="s">
        <v>101</v>
      </c>
      <c r="G109" s="92"/>
    </row>
    <row r="110" customFormat="false" ht="13.8" hidden="false" customHeight="false" outlineLevel="0" collapsed="false">
      <c r="A110" s="0" t="n">
        <v>10107</v>
      </c>
      <c r="B110" s="91" t="n">
        <v>45741.9093287037</v>
      </c>
      <c r="C110" s="0" t="s">
        <v>95</v>
      </c>
      <c r="D110" s="0" t="s">
        <v>43</v>
      </c>
      <c r="E110" s="94" t="s">
        <v>141</v>
      </c>
      <c r="F110" s="0" t="s">
        <v>101</v>
      </c>
      <c r="G110" s="92"/>
    </row>
    <row r="111" customFormat="false" ht="13.8" hidden="false" customHeight="false" outlineLevel="0" collapsed="false">
      <c r="A111" s="0" t="n">
        <v>10108</v>
      </c>
      <c r="B111" s="91" t="n">
        <v>45741.9146412037</v>
      </c>
      <c r="C111" s="0" t="s">
        <v>95</v>
      </c>
      <c r="D111" s="0" t="s">
        <v>50</v>
      </c>
      <c r="F111" s="0" t="s">
        <v>101</v>
      </c>
      <c r="G111" s="92" t="n">
        <v>20</v>
      </c>
    </row>
    <row r="112" customFormat="false" ht="13.8" hidden="false" customHeight="false" outlineLevel="0" collapsed="false">
      <c r="A112" s="0" t="n">
        <v>10109</v>
      </c>
      <c r="B112" s="91" t="n">
        <v>45741.9141898148</v>
      </c>
      <c r="C112" s="0" t="s">
        <v>95</v>
      </c>
      <c r="D112" s="0" t="s">
        <v>43</v>
      </c>
      <c r="F112" s="0" t="s">
        <v>101</v>
      </c>
      <c r="G112" s="92"/>
    </row>
    <row r="113" customFormat="false" ht="13.8" hidden="false" customHeight="false" outlineLevel="0" collapsed="false">
      <c r="A113" s="0" t="n">
        <v>10110</v>
      </c>
      <c r="B113" s="91" t="n">
        <v>45741.9164583333</v>
      </c>
      <c r="C113" s="0" t="s">
        <v>95</v>
      </c>
      <c r="D113" s="0" t="s">
        <v>50</v>
      </c>
      <c r="F113" s="0" t="s">
        <v>101</v>
      </c>
      <c r="G113" s="92" t="n">
        <v>39</v>
      </c>
    </row>
    <row r="114" customFormat="false" ht="13.8" hidden="false" customHeight="false" outlineLevel="0" collapsed="false">
      <c r="A114" s="0" t="n">
        <v>10111</v>
      </c>
      <c r="B114" s="91" t="n">
        <v>45741.920787037</v>
      </c>
      <c r="C114" s="0" t="s">
        <v>95</v>
      </c>
      <c r="D114" s="0" t="s">
        <v>50</v>
      </c>
      <c r="F114" s="0" t="s">
        <v>101</v>
      </c>
      <c r="G114" s="92" t="n">
        <v>60</v>
      </c>
    </row>
    <row r="115" customFormat="false" ht="13.8" hidden="false" customHeight="false" outlineLevel="0" collapsed="false">
      <c r="A115" s="0" t="n">
        <v>10112</v>
      </c>
      <c r="B115" s="91" t="n">
        <v>45742.5183680556</v>
      </c>
      <c r="C115" s="0" t="s">
        <v>137</v>
      </c>
      <c r="D115" s="0" t="s">
        <v>50</v>
      </c>
      <c r="F115" s="0" t="s">
        <v>101</v>
      </c>
      <c r="G115" s="92" t="n">
        <v>670</v>
      </c>
    </row>
    <row r="116" customFormat="false" ht="13.8" hidden="false" customHeight="false" outlineLevel="0" collapsed="false">
      <c r="A116" s="0" t="n">
        <v>10113</v>
      </c>
      <c r="B116" s="91" t="n">
        <v>45742.52625</v>
      </c>
      <c r="C116" s="0" t="s">
        <v>95</v>
      </c>
      <c r="D116" s="0" t="s">
        <v>50</v>
      </c>
      <c r="F116" s="0" t="s">
        <v>101</v>
      </c>
      <c r="G116" s="92" t="n">
        <v>40</v>
      </c>
    </row>
    <row r="117" customFormat="false" ht="13.8" hidden="false" customHeight="false" outlineLevel="0" collapsed="false">
      <c r="A117" s="0" t="n">
        <v>10114</v>
      </c>
      <c r="B117" s="91" t="n">
        <v>45742.5275925926</v>
      </c>
      <c r="C117" s="0" t="s">
        <v>95</v>
      </c>
      <c r="D117" s="0" t="s">
        <v>50</v>
      </c>
      <c r="F117" s="0" t="s">
        <v>101</v>
      </c>
      <c r="G117" s="92" t="n">
        <v>10</v>
      </c>
    </row>
    <row r="118" customFormat="false" ht="13.8" hidden="false" customHeight="false" outlineLevel="0" collapsed="false">
      <c r="A118" s="0" t="n">
        <v>10115</v>
      </c>
      <c r="B118" s="91" t="n">
        <v>45742.5309375</v>
      </c>
      <c r="C118" s="0" t="s">
        <v>137</v>
      </c>
      <c r="D118" s="0" t="s">
        <v>50</v>
      </c>
      <c r="F118" s="0" t="s">
        <v>101</v>
      </c>
      <c r="G118" s="92" t="n">
        <v>360</v>
      </c>
    </row>
    <row r="119" customFormat="false" ht="13.8" hidden="false" customHeight="false" outlineLevel="0" collapsed="false">
      <c r="A119" s="0" t="n">
        <v>10116</v>
      </c>
      <c r="B119" s="91" t="n">
        <v>45742.5480902778</v>
      </c>
      <c r="C119" s="0" t="s">
        <v>95</v>
      </c>
      <c r="D119" s="0" t="s">
        <v>50</v>
      </c>
      <c r="F119" s="0" t="s">
        <v>101</v>
      </c>
      <c r="G119" s="92" t="n">
        <v>1</v>
      </c>
    </row>
    <row r="120" customFormat="false" ht="13.8" hidden="false" customHeight="false" outlineLevel="0" collapsed="false">
      <c r="A120" s="0" t="n">
        <v>10117</v>
      </c>
      <c r="B120" s="91" t="n">
        <v>45742.5514351852</v>
      </c>
      <c r="C120" s="0" t="s">
        <v>95</v>
      </c>
      <c r="D120" s="0" t="s">
        <v>50</v>
      </c>
      <c r="F120" s="0" t="s">
        <v>101</v>
      </c>
      <c r="G120" s="92" t="n">
        <v>20</v>
      </c>
    </row>
    <row r="121" customFormat="false" ht="13.8" hidden="false" customHeight="false" outlineLevel="0" collapsed="false">
      <c r="A121" s="0" t="n">
        <v>10118</v>
      </c>
      <c r="B121" s="91" t="n">
        <v>45742.5678240741</v>
      </c>
      <c r="C121" s="0" t="s">
        <v>95</v>
      </c>
      <c r="D121" s="0" t="s">
        <v>43</v>
      </c>
      <c r="E121" s="94" t="s">
        <v>150</v>
      </c>
      <c r="F121" s="0" t="s">
        <v>101</v>
      </c>
      <c r="G121" s="92"/>
    </row>
    <row r="122" customFormat="false" ht="13.8" hidden="false" customHeight="false" outlineLevel="0" collapsed="false">
      <c r="A122" s="0" t="n">
        <v>10119</v>
      </c>
      <c r="B122" s="91" t="n">
        <v>45742.6893055556</v>
      </c>
      <c r="C122" s="0" t="s">
        <v>95</v>
      </c>
      <c r="D122" s="0" t="s">
        <v>43</v>
      </c>
      <c r="E122" s="94" t="s">
        <v>151</v>
      </c>
      <c r="F122" s="0" t="s">
        <v>101</v>
      </c>
      <c r="G122" s="92"/>
    </row>
    <row r="123" customFormat="false" ht="13.8" hidden="false" customHeight="false" outlineLevel="0" collapsed="false">
      <c r="A123" s="0" t="n">
        <v>10120</v>
      </c>
      <c r="B123" s="91" t="n">
        <v>45742.6897106482</v>
      </c>
      <c r="C123" s="0" t="s">
        <v>95</v>
      </c>
      <c r="D123" s="0" t="s">
        <v>50</v>
      </c>
      <c r="F123" s="0" t="s">
        <v>101</v>
      </c>
      <c r="G123" s="92" t="n">
        <v>20</v>
      </c>
    </row>
    <row r="124" customFormat="false" ht="13.8" hidden="false" customHeight="false" outlineLevel="0" collapsed="false">
      <c r="A124" s="0" t="n">
        <v>10121</v>
      </c>
      <c r="B124" s="91" t="n">
        <v>45742.6906018519</v>
      </c>
      <c r="C124" s="0" t="s">
        <v>95</v>
      </c>
      <c r="D124" s="0" t="s">
        <v>50</v>
      </c>
      <c r="F124" s="0" t="s">
        <v>101</v>
      </c>
      <c r="G124" s="92" t="n">
        <v>10</v>
      </c>
    </row>
    <row r="125" customFormat="false" ht="13.8" hidden="false" customHeight="false" outlineLevel="0" collapsed="false">
      <c r="A125" s="0" t="n">
        <v>10122</v>
      </c>
      <c r="B125" s="91" t="n">
        <v>45742.7080208333</v>
      </c>
      <c r="C125" s="0" t="s">
        <v>95</v>
      </c>
      <c r="D125" s="0" t="s">
        <v>43</v>
      </c>
      <c r="E125" s="0" t="n">
        <v>2145</v>
      </c>
      <c r="F125" s="0" t="s">
        <v>101</v>
      </c>
      <c r="G125" s="92"/>
    </row>
    <row r="126" customFormat="false" ht="13.8" hidden="false" customHeight="false" outlineLevel="0" collapsed="false">
      <c r="A126" s="0" t="n">
        <v>10123</v>
      </c>
      <c r="B126" s="91" t="n">
        <v>45742.7102893519</v>
      </c>
      <c r="C126" s="0" t="s">
        <v>95</v>
      </c>
      <c r="D126" s="0" t="s">
        <v>50</v>
      </c>
      <c r="F126" s="0" t="s">
        <v>101</v>
      </c>
      <c r="G126" s="92" t="n">
        <v>10</v>
      </c>
    </row>
    <row r="127" customFormat="false" ht="13.8" hidden="false" customHeight="false" outlineLevel="0" collapsed="false">
      <c r="A127" s="0" t="n">
        <v>10124</v>
      </c>
      <c r="B127" s="91" t="n">
        <v>45742.710474537</v>
      </c>
      <c r="C127" s="0" t="s">
        <v>95</v>
      </c>
      <c r="D127" s="0" t="s">
        <v>50</v>
      </c>
      <c r="F127" s="0" t="s">
        <v>101</v>
      </c>
      <c r="G127" s="92" t="n">
        <v>3</v>
      </c>
    </row>
    <row r="128" customFormat="false" ht="13.8" hidden="false" customHeight="false" outlineLevel="0" collapsed="false">
      <c r="A128" s="0" t="n">
        <v>10125</v>
      </c>
      <c r="B128" s="91" t="n">
        <v>45742.7368402778</v>
      </c>
      <c r="C128" s="0" t="s">
        <v>95</v>
      </c>
      <c r="D128" s="0" t="s">
        <v>50</v>
      </c>
      <c r="F128" s="0" t="s">
        <v>101</v>
      </c>
      <c r="G128" s="92" t="n">
        <v>150</v>
      </c>
    </row>
    <row r="129" customFormat="false" ht="13.8" hidden="false" customHeight="false" outlineLevel="0" collapsed="false">
      <c r="A129" s="0" t="n">
        <v>10126</v>
      </c>
      <c r="B129" s="91" t="n">
        <v>45742.7370486111</v>
      </c>
      <c r="C129" s="0" t="s">
        <v>95</v>
      </c>
      <c r="D129" s="0" t="s">
        <v>50</v>
      </c>
      <c r="F129" s="0" t="s">
        <v>101</v>
      </c>
      <c r="G129" s="92" t="n">
        <v>15</v>
      </c>
    </row>
    <row r="130" customFormat="false" ht="13.8" hidden="false" customHeight="false" outlineLevel="0" collapsed="false">
      <c r="A130" s="0" t="n">
        <v>10127</v>
      </c>
      <c r="B130" s="91" t="n">
        <v>45742.7412268519</v>
      </c>
      <c r="C130" s="0" t="s">
        <v>95</v>
      </c>
      <c r="D130" s="0" t="s">
        <v>50</v>
      </c>
      <c r="F130" s="0" t="s">
        <v>101</v>
      </c>
      <c r="G130" s="92" t="n">
        <v>105</v>
      </c>
    </row>
    <row r="131" customFormat="false" ht="13.8" hidden="false" customHeight="false" outlineLevel="0" collapsed="false">
      <c r="A131" s="0" t="n">
        <v>10128</v>
      </c>
      <c r="B131" s="91" t="n">
        <v>45742.7435416667</v>
      </c>
      <c r="C131" s="0" t="s">
        <v>95</v>
      </c>
      <c r="D131" s="0" t="s">
        <v>50</v>
      </c>
      <c r="F131" s="0" t="s">
        <v>101</v>
      </c>
      <c r="G131" s="92" t="n">
        <v>5</v>
      </c>
    </row>
    <row r="132" customFormat="false" ht="13.8" hidden="false" customHeight="false" outlineLevel="0" collapsed="false">
      <c r="A132" s="0" t="n">
        <v>10129</v>
      </c>
      <c r="B132" s="91" t="n">
        <v>45742.7554282407</v>
      </c>
      <c r="C132" s="0" t="s">
        <v>95</v>
      </c>
      <c r="D132" s="0" t="s">
        <v>50</v>
      </c>
      <c r="F132" s="0" t="s">
        <v>101</v>
      </c>
      <c r="G132" s="92" t="n">
        <v>70</v>
      </c>
    </row>
    <row r="133" customFormat="false" ht="13.8" hidden="false" customHeight="false" outlineLevel="0" collapsed="false">
      <c r="A133" s="0" t="n">
        <v>10130</v>
      </c>
      <c r="B133" s="91" t="n">
        <v>45742.7590393519</v>
      </c>
      <c r="C133" s="0" t="s">
        <v>95</v>
      </c>
      <c r="D133" s="0" t="s">
        <v>50</v>
      </c>
      <c r="F133" s="0" t="s">
        <v>101</v>
      </c>
      <c r="G133" s="92" t="n">
        <v>48</v>
      </c>
    </row>
    <row r="134" customFormat="false" ht="13.8" hidden="false" customHeight="false" outlineLevel="0" collapsed="false">
      <c r="A134" s="0" t="n">
        <v>10131</v>
      </c>
      <c r="B134" s="91" t="n">
        <v>45742.7627314815</v>
      </c>
      <c r="C134" s="0" t="s">
        <v>95</v>
      </c>
      <c r="D134" s="0" t="s">
        <v>50</v>
      </c>
      <c r="F134" s="0" t="s">
        <v>101</v>
      </c>
      <c r="G134" s="92" t="n">
        <v>55</v>
      </c>
    </row>
    <row r="135" customFormat="false" ht="13.8" hidden="false" customHeight="false" outlineLevel="0" collapsed="false">
      <c r="A135" s="0" t="n">
        <v>10132</v>
      </c>
      <c r="B135" s="91" t="n">
        <v>45742.7643402778</v>
      </c>
      <c r="C135" s="0" t="s">
        <v>95</v>
      </c>
      <c r="D135" s="0" t="s">
        <v>50</v>
      </c>
      <c r="F135" s="0" t="s">
        <v>101</v>
      </c>
      <c r="G135" s="92" t="n">
        <v>5</v>
      </c>
    </row>
    <row r="136" customFormat="false" ht="13.8" hidden="false" customHeight="false" outlineLevel="0" collapsed="false">
      <c r="A136" s="0" t="n">
        <v>10133</v>
      </c>
      <c r="B136" s="91" t="n">
        <v>45742.7668402778</v>
      </c>
      <c r="C136" s="0" t="s">
        <v>95</v>
      </c>
      <c r="D136" s="0" t="s">
        <v>50</v>
      </c>
      <c r="F136" s="0" t="s">
        <v>101</v>
      </c>
      <c r="G136" s="92" t="n">
        <v>50</v>
      </c>
    </row>
    <row r="137" customFormat="false" ht="13.8" hidden="false" customHeight="false" outlineLevel="0" collapsed="false">
      <c r="A137" s="0" t="n">
        <v>10134</v>
      </c>
      <c r="B137" s="91" t="n">
        <v>45742.7847569444</v>
      </c>
      <c r="C137" s="0" t="s">
        <v>95</v>
      </c>
      <c r="D137" s="0" t="s">
        <v>43</v>
      </c>
      <c r="E137" s="94" t="s">
        <v>141</v>
      </c>
      <c r="F137" s="0" t="s">
        <v>101</v>
      </c>
      <c r="G137" s="92"/>
    </row>
    <row r="138" customFormat="false" ht="13.8" hidden="false" customHeight="false" outlineLevel="0" collapsed="false">
      <c r="A138" s="0" t="n">
        <v>10135</v>
      </c>
      <c r="B138" s="91" t="n">
        <v>45742.7844444445</v>
      </c>
      <c r="C138" s="0" t="s">
        <v>95</v>
      </c>
      <c r="D138" s="0" t="s">
        <v>43</v>
      </c>
      <c r="E138" s="94" t="s">
        <v>152</v>
      </c>
      <c r="F138" s="0" t="s">
        <v>101</v>
      </c>
      <c r="G138" s="92"/>
    </row>
    <row r="139" customFormat="false" ht="13.8" hidden="false" customHeight="false" outlineLevel="0" collapsed="false">
      <c r="A139" s="0" t="n">
        <v>10136</v>
      </c>
      <c r="B139" s="91" t="n">
        <v>45742.7857291667</v>
      </c>
      <c r="C139" s="0" t="s">
        <v>95</v>
      </c>
      <c r="D139" s="0" t="s">
        <v>43</v>
      </c>
      <c r="E139" s="0" t="n">
        <v>2145</v>
      </c>
      <c r="F139" s="0" t="s">
        <v>101</v>
      </c>
      <c r="G139" s="92"/>
    </row>
    <row r="140" customFormat="false" ht="13.8" hidden="false" customHeight="false" outlineLevel="0" collapsed="false">
      <c r="A140" s="0" t="n">
        <v>10137</v>
      </c>
      <c r="B140" s="91" t="n">
        <v>45742.7862847222</v>
      </c>
      <c r="C140" s="0" t="s">
        <v>95</v>
      </c>
      <c r="D140" s="0" t="s">
        <v>43</v>
      </c>
      <c r="E140" s="94" t="s">
        <v>153</v>
      </c>
      <c r="F140" s="0" t="s">
        <v>101</v>
      </c>
      <c r="G140" s="92"/>
    </row>
    <row r="141" customFormat="false" ht="13.8" hidden="false" customHeight="false" outlineLevel="0" collapsed="false">
      <c r="A141" s="0" t="n">
        <v>10138</v>
      </c>
      <c r="B141" s="91" t="n">
        <v>45742.7962962963</v>
      </c>
      <c r="C141" s="0" t="s">
        <v>95</v>
      </c>
      <c r="D141" s="0" t="s">
        <v>50</v>
      </c>
      <c r="F141" s="0" t="s">
        <v>101</v>
      </c>
      <c r="G141" s="92" t="n">
        <v>150</v>
      </c>
    </row>
    <row r="142" customFormat="false" ht="13.8" hidden="false" customHeight="false" outlineLevel="0" collapsed="false">
      <c r="A142" s="0" t="n">
        <v>10139</v>
      </c>
      <c r="B142" s="91" t="n">
        <v>45742.7992939815</v>
      </c>
      <c r="C142" s="0" t="s">
        <v>95</v>
      </c>
      <c r="D142" s="0" t="s">
        <v>50</v>
      </c>
      <c r="F142" s="0" t="s">
        <v>101</v>
      </c>
      <c r="G142" s="92" t="n">
        <v>25</v>
      </c>
    </row>
    <row r="143" customFormat="false" ht="13.8" hidden="false" customHeight="false" outlineLevel="0" collapsed="false">
      <c r="A143" s="0" t="n">
        <v>10140</v>
      </c>
      <c r="B143" s="91" t="n">
        <v>45742.8031828704</v>
      </c>
      <c r="C143" s="0" t="s">
        <v>95</v>
      </c>
      <c r="D143" s="0" t="s">
        <v>50</v>
      </c>
      <c r="F143" s="0" t="s">
        <v>101</v>
      </c>
      <c r="G143" s="92" t="n">
        <v>45</v>
      </c>
    </row>
    <row r="144" customFormat="false" ht="13.8" hidden="false" customHeight="false" outlineLevel="0" collapsed="false">
      <c r="A144" s="0" t="n">
        <v>10141</v>
      </c>
      <c r="B144" s="91" t="n">
        <v>45742.8042708333</v>
      </c>
      <c r="C144" s="0" t="s">
        <v>95</v>
      </c>
      <c r="D144" s="0" t="s">
        <v>50</v>
      </c>
      <c r="F144" s="0" t="s">
        <v>101</v>
      </c>
      <c r="G144" s="92" t="n">
        <v>46</v>
      </c>
    </row>
    <row r="145" customFormat="false" ht="13.8" hidden="false" customHeight="false" outlineLevel="0" collapsed="false">
      <c r="A145" s="0" t="n">
        <v>10142</v>
      </c>
      <c r="B145" s="91" t="n">
        <v>45742.8109027778</v>
      </c>
      <c r="C145" s="0" t="s">
        <v>95</v>
      </c>
      <c r="D145" s="0" t="s">
        <v>50</v>
      </c>
      <c r="F145" s="0" t="s">
        <v>101</v>
      </c>
      <c r="G145" s="92" t="n">
        <v>110</v>
      </c>
    </row>
    <row r="146" customFormat="false" ht="13.8" hidden="false" customHeight="false" outlineLevel="0" collapsed="false">
      <c r="A146" s="0" t="n">
        <v>10143</v>
      </c>
      <c r="B146" s="91" t="n">
        <v>45742.815787037</v>
      </c>
      <c r="C146" s="0" t="s">
        <v>95</v>
      </c>
      <c r="D146" s="0" t="s">
        <v>50</v>
      </c>
      <c r="F146" s="0" t="s">
        <v>101</v>
      </c>
      <c r="G146" s="92" t="n">
        <v>21</v>
      </c>
    </row>
    <row r="147" customFormat="false" ht="13.8" hidden="false" customHeight="false" outlineLevel="0" collapsed="false">
      <c r="A147" s="0" t="n">
        <v>10144</v>
      </c>
      <c r="B147" s="91" t="n">
        <v>45742.894212963</v>
      </c>
      <c r="C147" s="0" t="s">
        <v>95</v>
      </c>
      <c r="D147" s="0" t="s">
        <v>50</v>
      </c>
      <c r="F147" s="0" t="s">
        <v>101</v>
      </c>
      <c r="G147" s="92" t="n">
        <v>20</v>
      </c>
    </row>
    <row r="148" customFormat="false" ht="13.8" hidden="false" customHeight="false" outlineLevel="0" collapsed="false">
      <c r="A148" s="0" t="n">
        <v>10145</v>
      </c>
      <c r="B148" s="91" t="n">
        <v>45742.8966435185</v>
      </c>
      <c r="C148" s="0" t="s">
        <v>95</v>
      </c>
      <c r="D148" s="0" t="s">
        <v>43</v>
      </c>
      <c r="E148" s="0" t="n">
        <v>2145</v>
      </c>
      <c r="F148" s="0" t="s">
        <v>101</v>
      </c>
      <c r="G148" s="92"/>
    </row>
    <row r="149" customFormat="false" ht="13.8" hidden="false" customHeight="false" outlineLevel="0" collapsed="false">
      <c r="A149" s="0" t="n">
        <v>10146</v>
      </c>
      <c r="B149" s="91" t="n">
        <v>45742.901099537</v>
      </c>
      <c r="C149" s="0" t="s">
        <v>95</v>
      </c>
      <c r="D149" s="0" t="s">
        <v>50</v>
      </c>
      <c r="F149" s="0" t="s">
        <v>101</v>
      </c>
      <c r="G149" s="92" t="n">
        <v>35</v>
      </c>
    </row>
    <row r="150" customFormat="false" ht="13.8" hidden="false" customHeight="false" outlineLevel="0" collapsed="false">
      <c r="A150" s="0" t="n">
        <v>10147</v>
      </c>
      <c r="B150" s="91" t="n">
        <v>45742.9170023148</v>
      </c>
      <c r="C150" s="0" t="s">
        <v>95</v>
      </c>
      <c r="D150" s="0" t="s">
        <v>50</v>
      </c>
      <c r="F150" s="0" t="s">
        <v>147</v>
      </c>
      <c r="G150" s="92" t="n">
        <v>50</v>
      </c>
    </row>
    <row r="151" customFormat="false" ht="13.8" hidden="false" customHeight="false" outlineLevel="0" collapsed="false">
      <c r="A151" s="0" t="n">
        <v>10148</v>
      </c>
      <c r="B151" s="91" t="n">
        <v>45742.9216203704</v>
      </c>
      <c r="C151" s="0" t="s">
        <v>95</v>
      </c>
      <c r="D151" s="0" t="s">
        <v>43</v>
      </c>
      <c r="E151" s="0" t="n">
        <v>2145</v>
      </c>
      <c r="F151" s="0" t="s">
        <v>147</v>
      </c>
      <c r="G151" s="92"/>
    </row>
    <row r="152" customFormat="false" ht="13.8" hidden="false" customHeight="false" outlineLevel="0" collapsed="false">
      <c r="A152" s="0" t="n">
        <v>10149</v>
      </c>
      <c r="B152" s="91" t="n">
        <v>45742.9221064815</v>
      </c>
      <c r="C152" s="0" t="s">
        <v>95</v>
      </c>
      <c r="D152" s="0" t="s">
        <v>50</v>
      </c>
      <c r="F152" s="0" t="s">
        <v>147</v>
      </c>
      <c r="G152" s="92" t="n">
        <v>43</v>
      </c>
    </row>
    <row r="153" customFormat="false" ht="13.8" hidden="false" customHeight="false" outlineLevel="0" collapsed="false">
      <c r="A153" s="0" t="n">
        <v>10150</v>
      </c>
      <c r="B153" s="91" t="n">
        <v>45742.9210300926</v>
      </c>
      <c r="C153" s="0" t="s">
        <v>95</v>
      </c>
      <c r="D153" s="0" t="s">
        <v>43</v>
      </c>
      <c r="F153" s="0" t="s">
        <v>147</v>
      </c>
      <c r="G153" s="92"/>
    </row>
    <row r="154" customFormat="false" ht="13.8" hidden="false" customHeight="false" outlineLevel="0" collapsed="false">
      <c r="A154" s="0" t="n">
        <v>10151</v>
      </c>
      <c r="B154" s="91" t="n">
        <v>45742.9393518519</v>
      </c>
      <c r="C154" s="0" t="s">
        <v>95</v>
      </c>
      <c r="D154" s="0" t="s">
        <v>43</v>
      </c>
      <c r="F154" s="0" t="s">
        <v>147</v>
      </c>
      <c r="G154" s="92"/>
    </row>
    <row r="155" customFormat="false" ht="13.8" hidden="false" customHeight="false" outlineLevel="0" collapsed="false">
      <c r="A155" s="0" t="n">
        <v>10152</v>
      </c>
      <c r="B155" s="91" t="n">
        <v>45742.9402893519</v>
      </c>
      <c r="C155" s="0" t="s">
        <v>95</v>
      </c>
      <c r="D155" s="0" t="s">
        <v>43</v>
      </c>
      <c r="F155" s="0" t="s">
        <v>147</v>
      </c>
      <c r="G155" s="92"/>
    </row>
    <row r="156" customFormat="false" ht="13.8" hidden="false" customHeight="false" outlineLevel="0" collapsed="false">
      <c r="A156" s="0" t="n">
        <v>10153</v>
      </c>
      <c r="B156" s="91" t="n">
        <v>45742.9466898148</v>
      </c>
      <c r="C156" s="0" t="s">
        <v>95</v>
      </c>
      <c r="D156" s="0" t="s">
        <v>43</v>
      </c>
      <c r="F156" s="0" t="s">
        <v>147</v>
      </c>
      <c r="G156" s="92"/>
    </row>
    <row r="157" customFormat="false" ht="13.8" hidden="false" customHeight="false" outlineLevel="0" collapsed="false">
      <c r="A157" s="0" t="n">
        <v>10154</v>
      </c>
      <c r="B157" s="91" t="n">
        <v>45743.0008680556</v>
      </c>
      <c r="C157" s="0" t="s">
        <v>95</v>
      </c>
      <c r="D157" s="0" t="s">
        <v>43</v>
      </c>
      <c r="F157" s="0" t="s">
        <v>147</v>
      </c>
      <c r="G157" s="92"/>
    </row>
    <row r="158" customFormat="false" ht="13.8" hidden="false" customHeight="false" outlineLevel="0" collapsed="false">
      <c r="A158" s="0" t="n">
        <v>10155</v>
      </c>
      <c r="B158" s="91" t="n">
        <v>45742.9496412037</v>
      </c>
      <c r="C158" s="0" t="s">
        <v>95</v>
      </c>
      <c r="D158" s="0" t="s">
        <v>43</v>
      </c>
      <c r="F158" s="0" t="s">
        <v>147</v>
      </c>
      <c r="G158" s="92"/>
    </row>
    <row r="159" customFormat="false" ht="13.8" hidden="false" customHeight="false" outlineLevel="0" collapsed="false">
      <c r="A159" s="0" t="n">
        <v>10156</v>
      </c>
      <c r="B159" s="91" t="n">
        <v>45742.9981018519</v>
      </c>
      <c r="C159" s="0" t="s">
        <v>95</v>
      </c>
      <c r="D159" s="0" t="s">
        <v>43</v>
      </c>
      <c r="F159" s="0" t="s">
        <v>147</v>
      </c>
      <c r="G159" s="92"/>
    </row>
    <row r="160" customFormat="false" ht="13.8" hidden="false" customHeight="false" outlineLevel="0" collapsed="false">
      <c r="A160" s="0" t="n">
        <v>10157</v>
      </c>
      <c r="B160" s="91" t="n">
        <v>45742.9997106482</v>
      </c>
      <c r="C160" s="0" t="s">
        <v>95</v>
      </c>
      <c r="D160" s="0" t="s">
        <v>50</v>
      </c>
      <c r="F160" s="0" t="s">
        <v>147</v>
      </c>
      <c r="G160" s="92" t="n">
        <v>45</v>
      </c>
    </row>
    <row r="161" customFormat="false" ht="13.8" hidden="false" customHeight="false" outlineLevel="0" collapsed="false">
      <c r="A161" s="0" t="n">
        <v>10158</v>
      </c>
      <c r="B161" s="91" t="n">
        <v>45743.7014467593</v>
      </c>
      <c r="C161" s="0" t="s">
        <v>95</v>
      </c>
      <c r="D161" s="0" t="s">
        <v>43</v>
      </c>
      <c r="F161" s="0" t="s">
        <v>147</v>
      </c>
      <c r="G161" s="92"/>
    </row>
    <row r="162" customFormat="false" ht="13.8" hidden="false" customHeight="false" outlineLevel="0" collapsed="false">
      <c r="A162" s="0" t="n">
        <v>10159</v>
      </c>
      <c r="B162" s="91" t="n">
        <v>45743.7007638889</v>
      </c>
      <c r="C162" s="0" t="s">
        <v>95</v>
      </c>
      <c r="D162" s="0" t="s">
        <v>50</v>
      </c>
      <c r="E162" s="0" t="n">
        <v>2145</v>
      </c>
      <c r="F162" s="0" t="s">
        <v>147</v>
      </c>
      <c r="G162" s="92" t="n">
        <v>115</v>
      </c>
    </row>
    <row r="163" customFormat="false" ht="13.8" hidden="false" customHeight="false" outlineLevel="0" collapsed="false">
      <c r="A163" s="0" t="n">
        <v>10160</v>
      </c>
      <c r="B163" s="91" t="n">
        <v>45743.6996643518</v>
      </c>
      <c r="C163" s="0" t="s">
        <v>95</v>
      </c>
      <c r="D163" s="0" t="s">
        <v>50</v>
      </c>
      <c r="F163" s="0" t="s">
        <v>147</v>
      </c>
      <c r="G163" s="92" t="n">
        <v>50</v>
      </c>
    </row>
    <row r="164" customFormat="false" ht="13.8" hidden="false" customHeight="false" outlineLevel="0" collapsed="false">
      <c r="A164" s="0" t="n">
        <v>10161</v>
      </c>
      <c r="B164" s="91" t="n">
        <v>45743.7029398148</v>
      </c>
      <c r="C164" s="0" t="s">
        <v>95</v>
      </c>
      <c r="D164" s="0" t="s">
        <v>43</v>
      </c>
      <c r="E164" s="94" t="s">
        <v>149</v>
      </c>
      <c r="F164" s="0" t="s">
        <v>147</v>
      </c>
      <c r="G164" s="92"/>
    </row>
    <row r="165" customFormat="false" ht="13.8" hidden="false" customHeight="false" outlineLevel="0" collapsed="false">
      <c r="A165" s="0" t="n">
        <v>10162</v>
      </c>
      <c r="B165" s="91" t="n">
        <v>45743.7066087963</v>
      </c>
      <c r="C165" s="0" t="s">
        <v>95</v>
      </c>
      <c r="D165" s="0" t="s">
        <v>50</v>
      </c>
      <c r="F165" s="0" t="s">
        <v>147</v>
      </c>
      <c r="G165" s="92" t="n">
        <v>10</v>
      </c>
    </row>
    <row r="166" customFormat="false" ht="13.8" hidden="false" customHeight="false" outlineLevel="0" collapsed="false">
      <c r="A166" s="0" t="n">
        <v>10163</v>
      </c>
      <c r="B166" s="91" t="n">
        <v>45743.7079050926</v>
      </c>
      <c r="C166" s="0" t="s">
        <v>95</v>
      </c>
      <c r="D166" s="0" t="s">
        <v>50</v>
      </c>
      <c r="F166" s="0" t="s">
        <v>147</v>
      </c>
      <c r="G166" s="92" t="n">
        <v>52</v>
      </c>
    </row>
    <row r="167" customFormat="false" ht="13.8" hidden="false" customHeight="false" outlineLevel="0" collapsed="false">
      <c r="A167" s="0" t="n">
        <v>10164</v>
      </c>
      <c r="B167" s="91" t="n">
        <v>45743.7101157407</v>
      </c>
      <c r="C167" s="0" t="s">
        <v>95</v>
      </c>
      <c r="D167" s="0" t="s">
        <v>43</v>
      </c>
      <c r="E167" s="0" t="n">
        <v>2145</v>
      </c>
      <c r="F167" s="0" t="s">
        <v>147</v>
      </c>
      <c r="G167" s="92"/>
    </row>
    <row r="168" customFormat="false" ht="13.8" hidden="false" customHeight="false" outlineLevel="0" collapsed="false">
      <c r="A168" s="0" t="n">
        <v>10165</v>
      </c>
      <c r="B168" s="91" t="n">
        <v>45743.7124652778</v>
      </c>
      <c r="C168" s="0" t="s">
        <v>95</v>
      </c>
      <c r="D168" s="0" t="s">
        <v>50</v>
      </c>
      <c r="F168" s="0" t="s">
        <v>147</v>
      </c>
      <c r="G168" s="92" t="n">
        <v>48</v>
      </c>
    </row>
    <row r="169" customFormat="false" ht="13.8" hidden="false" customHeight="false" outlineLevel="0" collapsed="false">
      <c r="A169" s="0" t="n">
        <v>10166</v>
      </c>
      <c r="B169" s="91" t="n">
        <v>45743.7273726852</v>
      </c>
      <c r="C169" s="0" t="s">
        <v>95</v>
      </c>
      <c r="D169" s="0" t="s">
        <v>43</v>
      </c>
      <c r="F169" s="0" t="s">
        <v>147</v>
      </c>
      <c r="G169" s="92"/>
    </row>
    <row r="170" customFormat="false" ht="13.8" hidden="false" customHeight="false" outlineLevel="0" collapsed="false">
      <c r="A170" s="0" t="n">
        <v>10167</v>
      </c>
      <c r="B170" s="91" t="n">
        <v>45743.7328240741</v>
      </c>
      <c r="C170" s="0" t="s">
        <v>95</v>
      </c>
      <c r="D170" s="0" t="s">
        <v>50</v>
      </c>
      <c r="F170" s="0" t="s">
        <v>147</v>
      </c>
      <c r="G170" s="92" t="n">
        <v>15</v>
      </c>
    </row>
    <row r="171" customFormat="false" ht="13.8" hidden="false" customHeight="false" outlineLevel="0" collapsed="false">
      <c r="A171" s="0" t="n">
        <v>10168</v>
      </c>
      <c r="B171" s="91" t="n">
        <v>45743.7388078704</v>
      </c>
      <c r="C171" s="0" t="s">
        <v>95</v>
      </c>
      <c r="D171" s="0" t="s">
        <v>50</v>
      </c>
      <c r="F171" s="0" t="s">
        <v>147</v>
      </c>
      <c r="G171" s="92" t="n">
        <v>62</v>
      </c>
    </row>
    <row r="172" customFormat="false" ht="13.8" hidden="false" customHeight="false" outlineLevel="0" collapsed="false">
      <c r="A172" s="0" t="n">
        <v>10169</v>
      </c>
      <c r="B172" s="91" t="n">
        <v>45743.7469907407</v>
      </c>
      <c r="C172" s="0" t="s">
        <v>95</v>
      </c>
      <c r="D172" s="0" t="s">
        <v>50</v>
      </c>
      <c r="F172" s="0" t="s">
        <v>147</v>
      </c>
      <c r="G172" s="92" t="n">
        <v>36</v>
      </c>
    </row>
    <row r="173" customFormat="false" ht="13.8" hidden="false" customHeight="false" outlineLevel="0" collapsed="false">
      <c r="A173" s="0" t="n">
        <v>10170</v>
      </c>
      <c r="B173" s="91" t="n">
        <v>45743.7520833333</v>
      </c>
      <c r="C173" s="0" t="s">
        <v>95</v>
      </c>
      <c r="D173" s="0" t="s">
        <v>50</v>
      </c>
      <c r="F173" s="0" t="s">
        <v>147</v>
      </c>
      <c r="G173" s="92" t="n">
        <v>66</v>
      </c>
    </row>
    <row r="174" customFormat="false" ht="13.8" hidden="false" customHeight="false" outlineLevel="0" collapsed="false">
      <c r="A174" s="0" t="n">
        <v>10171</v>
      </c>
      <c r="B174" s="91" t="n">
        <v>45743.7653125</v>
      </c>
      <c r="C174" s="0" t="s">
        <v>95</v>
      </c>
      <c r="D174" s="0" t="s">
        <v>50</v>
      </c>
      <c r="F174" s="0" t="s">
        <v>147</v>
      </c>
      <c r="G174" s="92" t="n">
        <v>55</v>
      </c>
    </row>
    <row r="175" customFormat="false" ht="13.8" hidden="false" customHeight="false" outlineLevel="0" collapsed="false">
      <c r="A175" s="0" t="n">
        <v>10172</v>
      </c>
      <c r="B175" s="91" t="n">
        <v>45743.7675578704</v>
      </c>
      <c r="C175" s="0" t="s">
        <v>95</v>
      </c>
      <c r="D175" s="0" t="s">
        <v>50</v>
      </c>
      <c r="F175" s="0" t="s">
        <v>147</v>
      </c>
      <c r="G175" s="92" t="n">
        <v>20</v>
      </c>
    </row>
    <row r="176" customFormat="false" ht="13.8" hidden="false" customHeight="false" outlineLevel="0" collapsed="false">
      <c r="A176" s="0" t="n">
        <v>10173</v>
      </c>
      <c r="B176" s="91" t="n">
        <v>45743.7775925926</v>
      </c>
      <c r="C176" s="0" t="s">
        <v>95</v>
      </c>
      <c r="D176" s="0" t="s">
        <v>50</v>
      </c>
      <c r="F176" s="0" t="s">
        <v>147</v>
      </c>
      <c r="G176" s="92" t="n">
        <v>84</v>
      </c>
    </row>
    <row r="177" customFormat="false" ht="13.8" hidden="false" customHeight="false" outlineLevel="0" collapsed="false">
      <c r="A177" s="0" t="n">
        <v>10174</v>
      </c>
      <c r="B177" s="91" t="n">
        <v>45743.7787615741</v>
      </c>
      <c r="C177" s="0" t="s">
        <v>95</v>
      </c>
      <c r="D177" s="0" t="s">
        <v>50</v>
      </c>
      <c r="E177" s="0" t="n">
        <v>2145</v>
      </c>
      <c r="F177" s="0" t="s">
        <v>147</v>
      </c>
      <c r="G177" s="92" t="n">
        <v>55</v>
      </c>
    </row>
    <row r="178" customFormat="false" ht="13.8" hidden="false" customHeight="false" outlineLevel="0" collapsed="false">
      <c r="A178" s="0" t="n">
        <v>10175</v>
      </c>
      <c r="B178" s="91" t="n">
        <v>45743.7837731482</v>
      </c>
      <c r="C178" s="0" t="s">
        <v>95</v>
      </c>
      <c r="D178" s="0" t="s">
        <v>43</v>
      </c>
      <c r="E178" s="0" t="n">
        <v>2145</v>
      </c>
      <c r="F178" s="0" t="s">
        <v>147</v>
      </c>
      <c r="G178" s="92"/>
    </row>
    <row r="179" customFormat="false" ht="13.8" hidden="false" customHeight="false" outlineLevel="0" collapsed="false">
      <c r="A179" s="0" t="n">
        <v>10176</v>
      </c>
      <c r="B179" s="91" t="n">
        <v>45743.7841435185</v>
      </c>
      <c r="C179" s="0" t="s">
        <v>95</v>
      </c>
      <c r="D179" s="0" t="s">
        <v>43</v>
      </c>
      <c r="F179" s="0" t="s">
        <v>147</v>
      </c>
      <c r="G179" s="92"/>
    </row>
    <row r="180" customFormat="false" ht="13.8" hidden="false" customHeight="false" outlineLevel="0" collapsed="false">
      <c r="A180" s="0" t="n">
        <v>10177</v>
      </c>
      <c r="B180" s="91" t="n">
        <v>45743.7846527778</v>
      </c>
      <c r="C180" s="0" t="s">
        <v>95</v>
      </c>
      <c r="D180" s="0" t="s">
        <v>50</v>
      </c>
      <c r="F180" s="0" t="s">
        <v>147</v>
      </c>
      <c r="G180" s="92" t="n">
        <v>10</v>
      </c>
    </row>
    <row r="181" customFormat="false" ht="13.8" hidden="false" customHeight="false" outlineLevel="0" collapsed="false">
      <c r="A181" s="0" t="n">
        <v>10178</v>
      </c>
      <c r="B181" s="91" t="n">
        <v>45743.7909143519</v>
      </c>
      <c r="C181" s="0" t="s">
        <v>95</v>
      </c>
      <c r="D181" s="0" t="s">
        <v>50</v>
      </c>
      <c r="F181" s="0" t="s">
        <v>147</v>
      </c>
      <c r="G181" s="92" t="n">
        <v>15</v>
      </c>
    </row>
    <row r="182" customFormat="false" ht="13.8" hidden="false" customHeight="false" outlineLevel="0" collapsed="false">
      <c r="A182" s="0" t="n">
        <v>10179</v>
      </c>
      <c r="B182" s="91" t="n">
        <v>45743.8011805556</v>
      </c>
      <c r="C182" s="0" t="s">
        <v>95</v>
      </c>
      <c r="D182" s="0" t="s">
        <v>50</v>
      </c>
      <c r="F182" s="0" t="s">
        <v>147</v>
      </c>
      <c r="G182" s="92" t="n">
        <v>20</v>
      </c>
    </row>
    <row r="183" customFormat="false" ht="13.8" hidden="false" customHeight="false" outlineLevel="0" collapsed="false">
      <c r="A183" s="0" t="n">
        <v>10180</v>
      </c>
      <c r="B183" s="91" t="n">
        <v>45743.8113657407</v>
      </c>
      <c r="C183" s="0" t="s">
        <v>95</v>
      </c>
      <c r="D183" s="0" t="s">
        <v>50</v>
      </c>
      <c r="F183" s="0" t="s">
        <v>147</v>
      </c>
      <c r="G183" s="92" t="n">
        <v>20</v>
      </c>
    </row>
    <row r="184" customFormat="false" ht="13.8" hidden="false" customHeight="false" outlineLevel="0" collapsed="false">
      <c r="A184" s="0" t="n">
        <v>10181</v>
      </c>
      <c r="B184" s="91" t="n">
        <v>45743.8149074074</v>
      </c>
      <c r="C184" s="0" t="s">
        <v>95</v>
      </c>
      <c r="D184" s="0" t="s">
        <v>50</v>
      </c>
      <c r="F184" s="0" t="s">
        <v>147</v>
      </c>
      <c r="G184" s="92" t="n">
        <v>8</v>
      </c>
    </row>
    <row r="185" customFormat="false" ht="13.8" hidden="false" customHeight="false" outlineLevel="0" collapsed="false">
      <c r="A185" s="0" t="n">
        <v>10182</v>
      </c>
      <c r="B185" s="91" t="n">
        <v>45743.8193865741</v>
      </c>
      <c r="C185" s="0" t="s">
        <v>95</v>
      </c>
      <c r="D185" s="0" t="s">
        <v>43</v>
      </c>
      <c r="F185" s="0" t="s">
        <v>147</v>
      </c>
      <c r="G185" s="92"/>
    </row>
    <row r="186" customFormat="false" ht="13.8" hidden="false" customHeight="false" outlineLevel="0" collapsed="false">
      <c r="A186" s="0" t="n">
        <v>10183</v>
      </c>
      <c r="B186" s="91" t="n">
        <v>45743.8209259259</v>
      </c>
      <c r="C186" s="0" t="s">
        <v>95</v>
      </c>
      <c r="D186" s="0" t="s">
        <v>50</v>
      </c>
      <c r="F186" s="0" t="s">
        <v>147</v>
      </c>
      <c r="G186" s="92" t="n">
        <v>100</v>
      </c>
    </row>
    <row r="187" customFormat="false" ht="13.8" hidden="false" customHeight="false" outlineLevel="0" collapsed="false">
      <c r="A187" s="0" t="n">
        <v>10184</v>
      </c>
      <c r="B187" s="91" t="n">
        <v>45743.8231481482</v>
      </c>
      <c r="C187" s="0" t="s">
        <v>95</v>
      </c>
      <c r="D187" s="0" t="s">
        <v>50</v>
      </c>
      <c r="F187" s="0" t="s">
        <v>147</v>
      </c>
      <c r="G187" s="92" t="n">
        <v>140</v>
      </c>
    </row>
    <row r="188" customFormat="false" ht="13.8" hidden="false" customHeight="false" outlineLevel="0" collapsed="false">
      <c r="A188" s="0" t="n">
        <v>10185</v>
      </c>
      <c r="B188" s="91" t="n">
        <v>45743.8302314815</v>
      </c>
      <c r="C188" s="0" t="s">
        <v>95</v>
      </c>
      <c r="D188" s="0" t="s">
        <v>50</v>
      </c>
      <c r="F188" s="0" t="s">
        <v>147</v>
      </c>
      <c r="G188" s="92" t="n">
        <v>203</v>
      </c>
    </row>
    <row r="189" customFormat="false" ht="13.8" hidden="false" customHeight="false" outlineLevel="0" collapsed="false">
      <c r="A189" s="0" t="n">
        <v>10186</v>
      </c>
      <c r="B189" s="91" t="n">
        <v>45743.8758101852</v>
      </c>
      <c r="C189" s="0" t="s">
        <v>95</v>
      </c>
      <c r="D189" s="0" t="s">
        <v>43</v>
      </c>
      <c r="E189" s="0" t="n">
        <v>2145</v>
      </c>
      <c r="F189" s="0" t="s">
        <v>147</v>
      </c>
      <c r="G189" s="92"/>
    </row>
    <row r="190" customFormat="false" ht="13.8" hidden="false" customHeight="false" outlineLevel="0" collapsed="false">
      <c r="A190" s="0" t="n">
        <v>10187</v>
      </c>
      <c r="B190" s="91" t="n">
        <v>45743.8851388889</v>
      </c>
      <c r="C190" s="0" t="s">
        <v>95</v>
      </c>
      <c r="D190" s="0" t="s">
        <v>50</v>
      </c>
      <c r="F190" s="0" t="s">
        <v>147</v>
      </c>
      <c r="G190" s="92" t="n">
        <v>40</v>
      </c>
    </row>
    <row r="191" customFormat="false" ht="13.8" hidden="false" customHeight="false" outlineLevel="0" collapsed="false">
      <c r="A191" s="0" t="n">
        <v>10188</v>
      </c>
      <c r="B191" s="91" t="n">
        <v>45743.8858217593</v>
      </c>
      <c r="C191" s="0" t="s">
        <v>95</v>
      </c>
      <c r="D191" s="0" t="s">
        <v>43</v>
      </c>
      <c r="E191" s="94" t="s">
        <v>149</v>
      </c>
      <c r="F191" s="0" t="s">
        <v>147</v>
      </c>
      <c r="G191" s="92"/>
    </row>
    <row r="192" customFormat="false" ht="13.8" hidden="false" customHeight="false" outlineLevel="0" collapsed="false">
      <c r="A192" s="0" t="n">
        <v>10189</v>
      </c>
      <c r="B192" s="91" t="n">
        <v>45743.8872685185</v>
      </c>
      <c r="C192" s="0" t="s">
        <v>95</v>
      </c>
      <c r="D192" s="0" t="s">
        <v>50</v>
      </c>
      <c r="F192" s="0" t="s">
        <v>147</v>
      </c>
      <c r="G192" s="92" t="n">
        <v>100</v>
      </c>
    </row>
    <row r="193" customFormat="false" ht="13.8" hidden="false" customHeight="false" outlineLevel="0" collapsed="false">
      <c r="A193" s="0" t="n">
        <v>10190</v>
      </c>
      <c r="B193" s="91" t="n">
        <v>45743.8888425926</v>
      </c>
      <c r="C193" s="0" t="s">
        <v>95</v>
      </c>
      <c r="D193" s="0" t="s">
        <v>50</v>
      </c>
      <c r="F193" s="0" t="s">
        <v>147</v>
      </c>
      <c r="G193" s="92" t="n">
        <v>39</v>
      </c>
    </row>
    <row r="194" customFormat="false" ht="13.8" hidden="false" customHeight="false" outlineLevel="0" collapsed="false">
      <c r="A194" s="0" t="n">
        <v>10191</v>
      </c>
      <c r="B194" s="91" t="n">
        <v>45743.8984375</v>
      </c>
      <c r="C194" s="0" t="s">
        <v>95</v>
      </c>
      <c r="D194" s="0" t="s">
        <v>50</v>
      </c>
      <c r="F194" s="0" t="s">
        <v>147</v>
      </c>
      <c r="G194" s="92" t="n">
        <v>188</v>
      </c>
    </row>
    <row r="195" customFormat="false" ht="13.8" hidden="false" customHeight="false" outlineLevel="0" collapsed="false">
      <c r="A195" s="0" t="n">
        <v>10192</v>
      </c>
      <c r="B195" s="91" t="n">
        <v>45743.8986689815</v>
      </c>
      <c r="C195" s="0" t="s">
        <v>95</v>
      </c>
      <c r="D195" s="0" t="s">
        <v>50</v>
      </c>
      <c r="F195" s="0" t="s">
        <v>147</v>
      </c>
      <c r="G195" s="92" t="n">
        <v>50</v>
      </c>
    </row>
    <row r="196" customFormat="false" ht="13.8" hidden="false" customHeight="false" outlineLevel="0" collapsed="false">
      <c r="A196" s="0" t="n">
        <v>10193</v>
      </c>
      <c r="B196" s="91" t="n">
        <v>45743.90125</v>
      </c>
      <c r="C196" s="0" t="s">
        <v>95</v>
      </c>
      <c r="D196" s="0" t="s">
        <v>50</v>
      </c>
      <c r="F196" s="0" t="s">
        <v>147</v>
      </c>
      <c r="G196" s="92" t="n">
        <v>15</v>
      </c>
    </row>
    <row r="197" customFormat="false" ht="13.8" hidden="false" customHeight="false" outlineLevel="0" collapsed="false">
      <c r="A197" s="0" t="n">
        <v>10194</v>
      </c>
      <c r="B197" s="91" t="n">
        <v>45743.9033912037</v>
      </c>
      <c r="C197" s="0" t="s">
        <v>95</v>
      </c>
      <c r="D197" s="0" t="s">
        <v>50</v>
      </c>
      <c r="F197" s="0" t="s">
        <v>147</v>
      </c>
      <c r="G197" s="92" t="n">
        <v>30</v>
      </c>
    </row>
    <row r="198" customFormat="false" ht="13.8" hidden="false" customHeight="false" outlineLevel="0" collapsed="false">
      <c r="A198" s="0" t="n">
        <v>10195</v>
      </c>
      <c r="B198" s="91" t="n">
        <v>45743.9142013889</v>
      </c>
      <c r="C198" s="0" t="s">
        <v>95</v>
      </c>
      <c r="D198" s="0" t="s">
        <v>50</v>
      </c>
      <c r="F198" s="0" t="s">
        <v>147</v>
      </c>
      <c r="G198" s="92" t="n">
        <v>600</v>
      </c>
    </row>
    <row r="199" customFormat="false" ht="13.8" hidden="false" customHeight="false" outlineLevel="0" collapsed="false">
      <c r="A199" s="0" t="n">
        <v>10196</v>
      </c>
      <c r="B199" s="91" t="n">
        <v>45743.9161342593</v>
      </c>
      <c r="C199" s="0" t="s">
        <v>95</v>
      </c>
      <c r="D199" s="0" t="s">
        <v>50</v>
      </c>
      <c r="F199" s="0" t="s">
        <v>147</v>
      </c>
      <c r="G199" s="92" t="n">
        <v>70</v>
      </c>
    </row>
    <row r="200" customFormat="false" ht="13.8" hidden="false" customHeight="false" outlineLevel="0" collapsed="false">
      <c r="A200" s="0" t="n">
        <v>10197</v>
      </c>
      <c r="B200" s="91" t="n">
        <v>45743.9182523148</v>
      </c>
      <c r="C200" s="0" t="s">
        <v>95</v>
      </c>
      <c r="D200" s="0" t="s">
        <v>43</v>
      </c>
      <c r="E200" s="0" t="n">
        <v>2145</v>
      </c>
      <c r="F200" s="0" t="s">
        <v>147</v>
      </c>
      <c r="G200" s="92"/>
    </row>
    <row r="201" customFormat="false" ht="13.8" hidden="false" customHeight="false" outlineLevel="0" collapsed="false">
      <c r="A201" s="0" t="n">
        <v>10198</v>
      </c>
      <c r="B201" s="91" t="n">
        <v>45743.9187268518</v>
      </c>
      <c r="C201" s="0" t="s">
        <v>95</v>
      </c>
      <c r="D201" s="0" t="s">
        <v>50</v>
      </c>
      <c r="F201" s="0" t="s">
        <v>147</v>
      </c>
      <c r="G201" s="92" t="n">
        <v>11</v>
      </c>
    </row>
    <row r="202" customFormat="false" ht="15" hidden="false" customHeight="false" outlineLevel="0" collapsed="false">
      <c r="A202" s="0" t="n">
        <v>10199</v>
      </c>
      <c r="B202" s="91" t="n">
        <v>45743.9192708333</v>
      </c>
      <c r="C202" s="0" t="s">
        <v>95</v>
      </c>
      <c r="D202" s="0" t="s">
        <v>43</v>
      </c>
      <c r="E202" s="0" t="n">
        <v>2145</v>
      </c>
      <c r="F202" s="0" t="s">
        <v>147</v>
      </c>
      <c r="G202" s="92"/>
    </row>
    <row r="203" customFormat="false" ht="15" hidden="false" customHeight="false" outlineLevel="0" collapsed="false">
      <c r="A203" s="0" t="n">
        <v>10200</v>
      </c>
      <c r="B203" s="91" t="n">
        <v>45743.9262152778</v>
      </c>
      <c r="C203" s="0" t="s">
        <v>95</v>
      </c>
      <c r="D203" s="0" t="s">
        <v>50</v>
      </c>
      <c r="F203" s="0" t="s">
        <v>147</v>
      </c>
      <c r="G203" s="92" t="n">
        <v>170</v>
      </c>
    </row>
    <row r="204" customFormat="false" ht="15" hidden="false" customHeight="false" outlineLevel="0" collapsed="false">
      <c r="A204" s="0" t="n">
        <v>10201</v>
      </c>
      <c r="B204" s="91" t="n">
        <v>45743.9836111111</v>
      </c>
      <c r="C204" s="0" t="s">
        <v>95</v>
      </c>
      <c r="D204" s="0" t="s">
        <v>43</v>
      </c>
      <c r="E204" s="94" t="s">
        <v>142</v>
      </c>
      <c r="F204" s="0" t="s">
        <v>147</v>
      </c>
      <c r="G204" s="92"/>
    </row>
    <row r="205" customFormat="false" ht="15" hidden="false" customHeight="false" outlineLevel="0" collapsed="false">
      <c r="A205" s="0" t="n">
        <v>10202</v>
      </c>
      <c r="B205" s="91" t="n">
        <v>45744.5590393519</v>
      </c>
      <c r="C205" s="0" t="s">
        <v>95</v>
      </c>
      <c r="D205" s="0" t="s">
        <v>50</v>
      </c>
      <c r="F205" s="0" t="s">
        <v>147</v>
      </c>
      <c r="G205" s="92" t="n">
        <v>258</v>
      </c>
    </row>
    <row r="206" customFormat="false" ht="15" hidden="false" customHeight="false" outlineLevel="0" collapsed="false">
      <c r="A206" s="0" t="n">
        <v>10203</v>
      </c>
      <c r="B206" s="91" t="n">
        <v>45744.5586689815</v>
      </c>
      <c r="C206" s="0" t="s">
        <v>95</v>
      </c>
      <c r="D206" s="0" t="s">
        <v>43</v>
      </c>
      <c r="E206" s="0" t="n">
        <v>2145</v>
      </c>
      <c r="F206" s="0" t="s">
        <v>147</v>
      </c>
      <c r="G206" s="92"/>
    </row>
    <row r="207" customFormat="false" ht="15" hidden="false" customHeight="false" outlineLevel="0" collapsed="false">
      <c r="A207" s="0" t="n">
        <v>10204</v>
      </c>
      <c r="B207" s="91" t="n">
        <v>45744.5595949074</v>
      </c>
      <c r="C207" s="0" t="s">
        <v>95</v>
      </c>
      <c r="D207" s="0" t="s">
        <v>50</v>
      </c>
      <c r="F207" s="0" t="s">
        <v>147</v>
      </c>
      <c r="G207" s="92" t="n">
        <v>180</v>
      </c>
    </row>
    <row r="208" customFormat="false" ht="15" hidden="false" customHeight="false" outlineLevel="0" collapsed="false">
      <c r="A208" s="0" t="n">
        <v>10205</v>
      </c>
      <c r="B208" s="91" t="n">
        <v>45744.5853009259</v>
      </c>
      <c r="C208" s="0" t="s">
        <v>95</v>
      </c>
      <c r="D208" s="0" t="s">
        <v>50</v>
      </c>
      <c r="F208" s="0" t="s">
        <v>101</v>
      </c>
      <c r="G208" s="92" t="n">
        <v>21</v>
      </c>
    </row>
    <row r="209" customFormat="false" ht="15" hidden="false" customHeight="false" outlineLevel="0" collapsed="false">
      <c r="A209" s="0" t="n">
        <v>10206</v>
      </c>
      <c r="B209" s="91" t="n">
        <v>45744.585474537</v>
      </c>
      <c r="C209" s="0" t="s">
        <v>95</v>
      </c>
      <c r="D209" s="0" t="s">
        <v>43</v>
      </c>
      <c r="E209" s="0" t="n">
        <v>2145</v>
      </c>
      <c r="F209" s="0" t="s">
        <v>101</v>
      </c>
      <c r="G209" s="92"/>
    </row>
    <row r="210" customFormat="false" ht="15" hidden="false" customHeight="false" outlineLevel="0" collapsed="false">
      <c r="A210" s="0" t="n">
        <v>10207</v>
      </c>
      <c r="B210" s="91" t="n">
        <v>45744.5911689815</v>
      </c>
      <c r="C210" s="0" t="s">
        <v>95</v>
      </c>
      <c r="D210" s="0" t="s">
        <v>50</v>
      </c>
      <c r="F210" s="0" t="s">
        <v>101</v>
      </c>
      <c r="G210" s="92" t="n">
        <v>60</v>
      </c>
    </row>
    <row r="211" customFormat="false" ht="15" hidden="false" customHeight="false" outlineLevel="0" collapsed="false">
      <c r="A211" s="0" t="n">
        <v>10208</v>
      </c>
      <c r="B211" s="91" t="n">
        <v>45744.5927777778</v>
      </c>
      <c r="C211" s="0" t="s">
        <v>95</v>
      </c>
      <c r="D211" s="0" t="s">
        <v>50</v>
      </c>
      <c r="F211" s="0" t="s">
        <v>101</v>
      </c>
      <c r="G211" s="92" t="n">
        <v>30</v>
      </c>
    </row>
    <row r="212" customFormat="false" ht="15" hidden="false" customHeight="false" outlineLevel="0" collapsed="false">
      <c r="A212" s="0" t="n">
        <v>10209</v>
      </c>
      <c r="B212" s="91" t="n">
        <v>45744.5954166667</v>
      </c>
      <c r="C212" s="0" t="s">
        <v>95</v>
      </c>
      <c r="D212" s="0" t="s">
        <v>43</v>
      </c>
      <c r="E212" s="94" t="s">
        <v>149</v>
      </c>
      <c r="F212" s="0" t="s">
        <v>101</v>
      </c>
      <c r="G212" s="92"/>
    </row>
    <row r="213" customFormat="false" ht="15" hidden="false" customHeight="false" outlineLevel="0" collapsed="false">
      <c r="A213" s="0" t="n">
        <v>10210</v>
      </c>
      <c r="B213" s="91" t="n">
        <v>45744.6059259259</v>
      </c>
      <c r="C213" s="0" t="s">
        <v>95</v>
      </c>
      <c r="D213" s="0" t="s">
        <v>50</v>
      </c>
      <c r="F213" s="0" t="s">
        <v>101</v>
      </c>
      <c r="G213" s="92" t="n">
        <v>80</v>
      </c>
    </row>
    <row r="214" customFormat="false" ht="15" hidden="false" customHeight="false" outlineLevel="0" collapsed="false">
      <c r="A214" s="0" t="n">
        <v>10211</v>
      </c>
      <c r="B214" s="91" t="n">
        <v>45744.6106944445</v>
      </c>
      <c r="C214" s="0" t="s">
        <v>95</v>
      </c>
      <c r="D214" s="0" t="s">
        <v>50</v>
      </c>
      <c r="F214" s="0" t="s">
        <v>101</v>
      </c>
      <c r="G214" s="92" t="n">
        <v>25</v>
      </c>
    </row>
    <row r="215" customFormat="false" ht="15" hidden="false" customHeight="false" outlineLevel="0" collapsed="false">
      <c r="A215" s="0" t="n">
        <v>10212</v>
      </c>
      <c r="B215" s="91" t="n">
        <v>45744.6297916667</v>
      </c>
      <c r="C215" s="0" t="s">
        <v>95</v>
      </c>
      <c r="D215" s="0" t="s">
        <v>50</v>
      </c>
      <c r="F215" s="0" t="s">
        <v>101</v>
      </c>
      <c r="G215" s="92" t="n">
        <v>150</v>
      </c>
    </row>
    <row r="216" customFormat="false" ht="15" hidden="false" customHeight="false" outlineLevel="0" collapsed="false">
      <c r="A216" s="0" t="n">
        <v>10213</v>
      </c>
      <c r="B216" s="91" t="n">
        <v>45744.6400578704</v>
      </c>
      <c r="C216" s="0" t="s">
        <v>95</v>
      </c>
      <c r="D216" s="0" t="s">
        <v>50</v>
      </c>
      <c r="F216" s="0" t="s">
        <v>101</v>
      </c>
      <c r="G216" s="92" t="n">
        <v>20</v>
      </c>
    </row>
    <row r="217" customFormat="false" ht="15" hidden="false" customHeight="false" outlineLevel="0" collapsed="false">
      <c r="A217" s="0" t="n">
        <v>10214</v>
      </c>
      <c r="B217" s="91" t="n">
        <v>45744.6440740741</v>
      </c>
      <c r="C217" s="0" t="s">
        <v>95</v>
      </c>
      <c r="D217" s="0" t="s">
        <v>50</v>
      </c>
      <c r="F217" s="0" t="s">
        <v>101</v>
      </c>
      <c r="G217" s="92" t="n">
        <v>36</v>
      </c>
    </row>
    <row r="218" customFormat="false" ht="15" hidden="false" customHeight="false" outlineLevel="0" collapsed="false">
      <c r="A218" s="0" t="n">
        <v>10215</v>
      </c>
      <c r="B218" s="91" t="n">
        <v>45744.6583564815</v>
      </c>
      <c r="C218" s="0" t="s">
        <v>95</v>
      </c>
      <c r="D218" s="0" t="s">
        <v>50</v>
      </c>
      <c r="F218" s="0" t="s">
        <v>101</v>
      </c>
      <c r="G218" s="92" t="n">
        <v>40</v>
      </c>
    </row>
    <row r="219" customFormat="false" ht="15" hidden="false" customHeight="false" outlineLevel="0" collapsed="false">
      <c r="A219" s="0" t="n">
        <v>10216</v>
      </c>
      <c r="B219" s="91" t="n">
        <v>45744.6680324074</v>
      </c>
      <c r="C219" s="0" t="s">
        <v>95</v>
      </c>
      <c r="D219" s="0" t="s">
        <v>50</v>
      </c>
      <c r="F219" s="0" t="s">
        <v>101</v>
      </c>
      <c r="G219" s="92" t="n">
        <v>80</v>
      </c>
    </row>
    <row r="220" customFormat="false" ht="15" hidden="false" customHeight="false" outlineLevel="0" collapsed="false">
      <c r="A220" s="0" t="n">
        <v>10217</v>
      </c>
      <c r="B220" s="91" t="n">
        <v>45744.6770486111</v>
      </c>
      <c r="C220" s="0" t="s">
        <v>95</v>
      </c>
      <c r="D220" s="0" t="s">
        <v>50</v>
      </c>
      <c r="F220" s="0" t="s">
        <v>101</v>
      </c>
      <c r="G220" s="92" t="n">
        <v>106</v>
      </c>
    </row>
    <row r="221" customFormat="false" ht="15" hidden="false" customHeight="false" outlineLevel="0" collapsed="false">
      <c r="A221" s="0" t="n">
        <v>10218</v>
      </c>
      <c r="B221" s="91" t="n">
        <v>45744.677974537</v>
      </c>
      <c r="C221" s="0" t="s">
        <v>95</v>
      </c>
      <c r="D221" s="0" t="s">
        <v>50</v>
      </c>
      <c r="F221" s="0" t="s">
        <v>101</v>
      </c>
      <c r="G221" s="92" t="n">
        <v>10</v>
      </c>
    </row>
    <row r="222" customFormat="false" ht="15" hidden="false" customHeight="false" outlineLevel="0" collapsed="false">
      <c r="A222" s="0" t="n">
        <v>10219</v>
      </c>
      <c r="B222" s="91" t="n">
        <v>45744.6943865741</v>
      </c>
      <c r="C222" s="0" t="s">
        <v>95</v>
      </c>
      <c r="D222" s="0" t="s">
        <v>50</v>
      </c>
      <c r="F222" s="0" t="s">
        <v>101</v>
      </c>
      <c r="G222" s="92" t="n">
        <v>5</v>
      </c>
    </row>
    <row r="223" customFormat="false" ht="15" hidden="false" customHeight="false" outlineLevel="0" collapsed="false">
      <c r="A223" s="0" t="n">
        <v>10220</v>
      </c>
      <c r="B223" s="91" t="n">
        <v>45744.6951157407</v>
      </c>
      <c r="C223" s="0" t="s">
        <v>95</v>
      </c>
      <c r="D223" s="0" t="s">
        <v>50</v>
      </c>
      <c r="E223" s="94" t="s">
        <v>154</v>
      </c>
      <c r="F223" s="0" t="s">
        <v>101</v>
      </c>
      <c r="G223" s="92" t="n">
        <v>10</v>
      </c>
    </row>
    <row r="224" customFormat="false" ht="15" hidden="false" customHeight="false" outlineLevel="0" collapsed="false">
      <c r="A224" s="0" t="n">
        <v>10221</v>
      </c>
      <c r="B224" s="91" t="n">
        <v>45744.7065856481</v>
      </c>
      <c r="C224" s="0" t="s">
        <v>95</v>
      </c>
      <c r="D224" s="0" t="s">
        <v>50</v>
      </c>
      <c r="F224" s="0" t="s">
        <v>101</v>
      </c>
      <c r="G224" s="92" t="n">
        <v>58</v>
      </c>
    </row>
    <row r="225" customFormat="false" ht="15" hidden="false" customHeight="false" outlineLevel="0" collapsed="false">
      <c r="A225" s="0" t="n">
        <v>10222</v>
      </c>
      <c r="B225" s="91" t="n">
        <v>45744.7178356482</v>
      </c>
      <c r="C225" s="0" t="s">
        <v>95</v>
      </c>
      <c r="D225" s="0" t="s">
        <v>50</v>
      </c>
      <c r="F225" s="0" t="s">
        <v>101</v>
      </c>
      <c r="G225" s="92" t="n">
        <v>26</v>
      </c>
    </row>
    <row r="226" customFormat="false" ht="15" hidden="false" customHeight="false" outlineLevel="0" collapsed="false">
      <c r="A226" s="0" t="n">
        <v>10223</v>
      </c>
      <c r="B226" s="91" t="n">
        <v>45744.770150463</v>
      </c>
      <c r="C226" s="0" t="s">
        <v>95</v>
      </c>
      <c r="D226" s="0" t="s">
        <v>43</v>
      </c>
      <c r="E226" s="94" t="s">
        <v>151</v>
      </c>
      <c r="F226" s="0" t="s">
        <v>101</v>
      </c>
      <c r="G226" s="92"/>
    </row>
    <row r="227" customFormat="false" ht="15" hidden="false" customHeight="false" outlineLevel="0" collapsed="false">
      <c r="A227" s="0" t="n">
        <v>10224</v>
      </c>
      <c r="B227" s="91" t="n">
        <v>45744.7707638889</v>
      </c>
      <c r="C227" s="0" t="s">
        <v>95</v>
      </c>
      <c r="D227" s="0" t="s">
        <v>50</v>
      </c>
      <c r="F227" s="0" t="s">
        <v>101</v>
      </c>
      <c r="G227" s="92" t="n">
        <v>30</v>
      </c>
    </row>
    <row r="228" customFormat="false" ht="15" hidden="false" customHeight="false" outlineLevel="0" collapsed="false">
      <c r="A228" s="0" t="n">
        <v>10225</v>
      </c>
      <c r="B228" s="91" t="n">
        <v>45744.7897569444</v>
      </c>
      <c r="C228" s="0" t="s">
        <v>95</v>
      </c>
      <c r="D228" s="0" t="s">
        <v>43</v>
      </c>
      <c r="E228" s="94" t="s">
        <v>140</v>
      </c>
      <c r="F228" s="0" t="s">
        <v>101</v>
      </c>
      <c r="G228" s="92"/>
    </row>
    <row r="229" customFormat="false" ht="15" hidden="false" customHeight="false" outlineLevel="0" collapsed="false">
      <c r="A229" s="0" t="n">
        <v>10226</v>
      </c>
      <c r="B229" s="91" t="n">
        <v>45744.790462963</v>
      </c>
      <c r="C229" s="0" t="s">
        <v>95</v>
      </c>
      <c r="D229" s="0" t="s">
        <v>50</v>
      </c>
      <c r="F229" s="0" t="s">
        <v>101</v>
      </c>
      <c r="G229" s="92" t="n">
        <v>10</v>
      </c>
    </row>
    <row r="230" customFormat="false" ht="15" hidden="false" customHeight="false" outlineLevel="0" collapsed="false">
      <c r="A230" s="0" t="n">
        <v>10227</v>
      </c>
      <c r="B230" s="91" t="n">
        <v>45744.7917476852</v>
      </c>
      <c r="C230" s="0" t="s">
        <v>95</v>
      </c>
      <c r="D230" s="0" t="s">
        <v>50</v>
      </c>
      <c r="F230" s="0" t="s">
        <v>101</v>
      </c>
      <c r="G230" s="92" t="n">
        <v>135</v>
      </c>
    </row>
    <row r="231" customFormat="false" ht="15" hidden="false" customHeight="false" outlineLevel="0" collapsed="false">
      <c r="A231" s="0" t="n">
        <v>10228</v>
      </c>
      <c r="B231" s="91" t="n">
        <v>45744.7947337963</v>
      </c>
      <c r="C231" s="0" t="s">
        <v>95</v>
      </c>
      <c r="D231" s="0" t="s">
        <v>50</v>
      </c>
      <c r="F231" s="0" t="s">
        <v>101</v>
      </c>
      <c r="G231" s="92" t="n">
        <v>21</v>
      </c>
    </row>
    <row r="232" customFormat="false" ht="15" hidden="false" customHeight="false" outlineLevel="0" collapsed="false">
      <c r="A232" s="0" t="n">
        <v>10229</v>
      </c>
      <c r="B232" s="91" t="n">
        <v>45744.7969907407</v>
      </c>
      <c r="C232" s="0" t="s">
        <v>95</v>
      </c>
      <c r="D232" s="0" t="s">
        <v>50</v>
      </c>
      <c r="F232" s="0" t="s">
        <v>101</v>
      </c>
      <c r="G232" s="92" t="n">
        <v>165</v>
      </c>
    </row>
    <row r="233" customFormat="false" ht="15" hidden="false" customHeight="false" outlineLevel="0" collapsed="false">
      <c r="A233" s="0" t="n">
        <v>10230</v>
      </c>
      <c r="B233" s="91" t="n">
        <v>45744.8017939815</v>
      </c>
      <c r="C233" s="0" t="s">
        <v>95</v>
      </c>
      <c r="D233" s="0" t="s">
        <v>43</v>
      </c>
      <c r="E233" s="0" t="n">
        <v>2145</v>
      </c>
      <c r="F233" s="0" t="s">
        <v>101</v>
      </c>
      <c r="G233" s="92"/>
    </row>
    <row r="234" customFormat="false" ht="15" hidden="false" customHeight="false" outlineLevel="0" collapsed="false">
      <c r="A234" s="0" t="n">
        <v>10231</v>
      </c>
      <c r="B234" s="91" t="n">
        <v>45744.802974537</v>
      </c>
      <c r="C234" s="0" t="s">
        <v>95</v>
      </c>
      <c r="D234" s="0" t="s">
        <v>50</v>
      </c>
      <c r="F234" s="0" t="s">
        <v>101</v>
      </c>
      <c r="G234" s="92" t="n">
        <v>16</v>
      </c>
    </row>
    <row r="235" customFormat="false" ht="15" hidden="false" customHeight="false" outlineLevel="0" collapsed="false">
      <c r="A235" s="0" t="n">
        <v>10232</v>
      </c>
      <c r="B235" s="91" t="n">
        <v>45744.8033912037</v>
      </c>
      <c r="C235" s="0" t="s">
        <v>95</v>
      </c>
      <c r="D235" s="0" t="s">
        <v>50</v>
      </c>
      <c r="F235" s="0" t="s">
        <v>101</v>
      </c>
      <c r="G235" s="92" t="n">
        <v>160</v>
      </c>
    </row>
    <row r="236" customFormat="false" ht="15" hidden="false" customHeight="false" outlineLevel="0" collapsed="false">
      <c r="A236" s="0" t="n">
        <v>10233</v>
      </c>
      <c r="B236" s="91" t="n">
        <v>45744.8068171296</v>
      </c>
      <c r="C236" s="0" t="s">
        <v>95</v>
      </c>
      <c r="D236" s="0" t="s">
        <v>50</v>
      </c>
      <c r="F236" s="0" t="s">
        <v>101</v>
      </c>
      <c r="G236" s="92" t="n">
        <v>46.5</v>
      </c>
    </row>
    <row r="237" customFormat="false" ht="15" hidden="false" customHeight="false" outlineLevel="0" collapsed="false">
      <c r="A237" s="0" t="n">
        <v>10234</v>
      </c>
      <c r="B237" s="91" t="n">
        <v>45744.8209606482</v>
      </c>
      <c r="C237" s="0" t="s">
        <v>95</v>
      </c>
      <c r="D237" s="0" t="s">
        <v>50</v>
      </c>
      <c r="F237" s="0" t="s">
        <v>101</v>
      </c>
      <c r="G237" s="92" t="n">
        <v>101</v>
      </c>
    </row>
    <row r="238" customFormat="false" ht="15" hidden="false" customHeight="false" outlineLevel="0" collapsed="false">
      <c r="A238" s="0" t="n">
        <v>10235</v>
      </c>
      <c r="B238" s="91" t="n">
        <v>45744.8238657407</v>
      </c>
      <c r="C238" s="0" t="s">
        <v>95</v>
      </c>
      <c r="D238" s="0" t="s">
        <v>43</v>
      </c>
      <c r="F238" s="0" t="s">
        <v>101</v>
      </c>
      <c r="G238" s="92"/>
    </row>
    <row r="239" customFormat="false" ht="15" hidden="false" customHeight="false" outlineLevel="0" collapsed="false">
      <c r="A239" s="0" t="n">
        <v>10236</v>
      </c>
      <c r="B239" s="91" t="n">
        <v>45744.8245486111</v>
      </c>
      <c r="C239" s="0" t="s">
        <v>95</v>
      </c>
      <c r="D239" s="0" t="s">
        <v>43</v>
      </c>
      <c r="F239" s="0" t="s">
        <v>101</v>
      </c>
      <c r="G239" s="92"/>
    </row>
    <row r="240" customFormat="false" ht="15" hidden="false" customHeight="false" outlineLevel="0" collapsed="false">
      <c r="A240" s="0" t="n">
        <v>10237</v>
      </c>
      <c r="B240" s="91" t="n">
        <v>45744.825462963</v>
      </c>
      <c r="C240" s="0" t="s">
        <v>95</v>
      </c>
      <c r="D240" s="0" t="s">
        <v>50</v>
      </c>
      <c r="F240" s="0" t="s">
        <v>101</v>
      </c>
      <c r="G240" s="92" t="n">
        <v>64</v>
      </c>
    </row>
    <row r="241" customFormat="false" ht="15" hidden="false" customHeight="false" outlineLevel="0" collapsed="false">
      <c r="G241" s="92"/>
    </row>
    <row r="242" customFormat="false" ht="15" hidden="false" customHeight="false" outlineLevel="0" collapsed="false">
      <c r="G242" s="92"/>
    </row>
    <row r="243" customFormat="false" ht="15" hidden="false" customHeight="false" outlineLevel="0" collapsed="false">
      <c r="G243" s="92"/>
    </row>
    <row r="244" customFormat="false" ht="15" hidden="false" customHeight="false" outlineLevel="0" collapsed="false">
      <c r="G244" s="92"/>
    </row>
    <row r="245" customFormat="false" ht="15" hidden="false" customHeight="false" outlineLevel="0" collapsed="false">
      <c r="G245" s="92"/>
    </row>
    <row r="246" customFormat="false" ht="15" hidden="false" customHeight="false" outlineLevel="0" collapsed="false">
      <c r="G246" s="92"/>
    </row>
    <row r="247" customFormat="false" ht="15" hidden="false" customHeight="false" outlineLevel="0" collapsed="false">
      <c r="G247" s="92"/>
    </row>
    <row r="248" customFormat="false" ht="15" hidden="false" customHeight="false" outlineLevel="0" collapsed="false">
      <c r="G248" s="92"/>
    </row>
    <row r="249" customFormat="false" ht="15" hidden="false" customHeight="false" outlineLevel="0" collapsed="false">
      <c r="G249" s="92"/>
    </row>
    <row r="250" customFormat="false" ht="15" hidden="false" customHeight="false" outlineLevel="0" collapsed="false">
      <c r="G250" s="92"/>
    </row>
    <row r="251" customFormat="false" ht="15" hidden="false" customHeight="false" outlineLevel="0" collapsed="false">
      <c r="G251" s="92"/>
    </row>
    <row r="252" customFormat="false" ht="15" hidden="false" customHeight="false" outlineLevel="0" collapsed="false">
      <c r="G252" s="92"/>
    </row>
    <row r="253" customFormat="false" ht="15" hidden="false" customHeight="false" outlineLevel="0" collapsed="false">
      <c r="G253" s="92"/>
    </row>
    <row r="254" customFormat="false" ht="15" hidden="false" customHeight="false" outlineLevel="0" collapsed="false">
      <c r="G254" s="92"/>
    </row>
    <row r="255" customFormat="false" ht="15" hidden="false" customHeight="false" outlineLevel="0" collapsed="false">
      <c r="G255" s="92"/>
    </row>
    <row r="256" customFormat="false" ht="15" hidden="false" customHeight="false" outlineLevel="0" collapsed="false">
      <c r="G256" s="92"/>
    </row>
    <row r="257" customFormat="false" ht="15" hidden="false" customHeight="false" outlineLevel="0" collapsed="false">
      <c r="G257" s="92"/>
    </row>
    <row r="258" customFormat="false" ht="15" hidden="false" customHeight="false" outlineLevel="0" collapsed="false">
      <c r="G258" s="92"/>
    </row>
    <row r="259" customFormat="false" ht="15" hidden="false" customHeight="false" outlineLevel="0" collapsed="false">
      <c r="G259" s="92"/>
    </row>
    <row r="260" customFormat="false" ht="15" hidden="false" customHeight="false" outlineLevel="0" collapsed="false">
      <c r="G260" s="92"/>
    </row>
    <row r="261" customFormat="false" ht="15" hidden="false" customHeight="false" outlineLevel="0" collapsed="false">
      <c r="G261" s="92"/>
    </row>
    <row r="262" customFormat="false" ht="15" hidden="false" customHeight="false" outlineLevel="0" collapsed="false">
      <c r="G262" s="92"/>
    </row>
    <row r="263" customFormat="false" ht="15" hidden="false" customHeight="false" outlineLevel="0" collapsed="false">
      <c r="G263" s="92"/>
    </row>
    <row r="264" customFormat="false" ht="15" hidden="false" customHeight="false" outlineLevel="0" collapsed="false">
      <c r="G264" s="92"/>
    </row>
    <row r="265" customFormat="false" ht="15" hidden="false" customHeight="false" outlineLevel="0" collapsed="false">
      <c r="G265" s="92"/>
    </row>
    <row r="266" customFormat="false" ht="15" hidden="false" customHeight="false" outlineLevel="0" collapsed="false">
      <c r="G266" s="92"/>
    </row>
    <row r="267" customFormat="false" ht="15" hidden="false" customHeight="false" outlineLevel="0" collapsed="false">
      <c r="G267" s="92"/>
    </row>
    <row r="268" customFormat="false" ht="15" hidden="false" customHeight="false" outlineLevel="0" collapsed="false">
      <c r="G268" s="92"/>
    </row>
    <row r="269" customFormat="false" ht="15" hidden="false" customHeight="false" outlineLevel="0" collapsed="false">
      <c r="G269" s="92"/>
    </row>
    <row r="270" customFormat="false" ht="15" hidden="false" customHeight="false" outlineLevel="0" collapsed="false">
      <c r="G270" s="92"/>
    </row>
    <row r="271" customFormat="false" ht="15" hidden="false" customHeight="false" outlineLevel="0" collapsed="false">
      <c r="G271" s="92"/>
    </row>
    <row r="272" customFormat="false" ht="15" hidden="false" customHeight="false" outlineLevel="0" collapsed="false">
      <c r="G272" s="92"/>
    </row>
    <row r="273" customFormat="false" ht="15" hidden="false" customHeight="false" outlineLevel="0" collapsed="false">
      <c r="G273" s="92"/>
    </row>
    <row r="274" customFormat="false" ht="15" hidden="false" customHeight="false" outlineLevel="0" collapsed="false">
      <c r="G274" s="92"/>
    </row>
    <row r="275" customFormat="false" ht="15" hidden="false" customHeight="false" outlineLevel="0" collapsed="false">
      <c r="G275" s="92"/>
    </row>
    <row r="276" customFormat="false" ht="15" hidden="false" customHeight="false" outlineLevel="0" collapsed="false">
      <c r="G276" s="92"/>
    </row>
    <row r="277" customFormat="false" ht="15" hidden="false" customHeight="false" outlineLevel="0" collapsed="false">
      <c r="G277" s="92"/>
    </row>
    <row r="278" customFormat="false" ht="15" hidden="false" customHeight="false" outlineLevel="0" collapsed="false">
      <c r="G278" s="92"/>
    </row>
    <row r="279" customFormat="false" ht="15" hidden="false" customHeight="false" outlineLevel="0" collapsed="false">
      <c r="G279" s="92"/>
    </row>
    <row r="280" customFormat="false" ht="15" hidden="false" customHeight="false" outlineLevel="0" collapsed="false">
      <c r="G280" s="92"/>
    </row>
    <row r="281" customFormat="false" ht="15" hidden="false" customHeight="false" outlineLevel="0" collapsed="false">
      <c r="G281" s="92"/>
    </row>
    <row r="282" customFormat="false" ht="15" hidden="false" customHeight="false" outlineLevel="0" collapsed="false">
      <c r="G282" s="92"/>
    </row>
    <row r="283" customFormat="false" ht="15" hidden="false" customHeight="false" outlineLevel="0" collapsed="false">
      <c r="G283" s="92"/>
    </row>
    <row r="284" customFormat="false" ht="15" hidden="false" customHeight="false" outlineLevel="0" collapsed="false">
      <c r="G284" s="92"/>
    </row>
    <row r="285" customFormat="false" ht="15" hidden="false" customHeight="false" outlineLevel="0" collapsed="false">
      <c r="G285" s="92"/>
    </row>
    <row r="286" customFormat="false" ht="15" hidden="false" customHeight="false" outlineLevel="0" collapsed="false">
      <c r="G286" s="92"/>
    </row>
    <row r="287" customFormat="false" ht="15" hidden="false" customHeight="false" outlineLevel="0" collapsed="false">
      <c r="G287" s="92"/>
    </row>
    <row r="288" customFormat="false" ht="15" hidden="false" customHeight="false" outlineLevel="0" collapsed="false">
      <c r="G288" s="92"/>
    </row>
    <row r="289" customFormat="false" ht="15" hidden="false" customHeight="false" outlineLevel="0" collapsed="false">
      <c r="G289" s="92"/>
    </row>
    <row r="290" customFormat="false" ht="15" hidden="false" customHeight="false" outlineLevel="0" collapsed="false">
      <c r="G290" s="92"/>
    </row>
    <row r="291" customFormat="false" ht="15" hidden="false" customHeight="false" outlineLevel="0" collapsed="false">
      <c r="G291" s="92"/>
    </row>
    <row r="292" customFormat="false" ht="15" hidden="false" customHeight="false" outlineLevel="0" collapsed="false">
      <c r="G292" s="92"/>
    </row>
    <row r="293" customFormat="false" ht="15" hidden="false" customHeight="false" outlineLevel="0" collapsed="false">
      <c r="G293" s="92"/>
    </row>
    <row r="294" customFormat="false" ht="15" hidden="false" customHeight="false" outlineLevel="0" collapsed="false">
      <c r="G294" s="92"/>
    </row>
    <row r="295" customFormat="false" ht="15" hidden="false" customHeight="false" outlineLevel="0" collapsed="false">
      <c r="G295" s="92"/>
    </row>
    <row r="296" customFormat="false" ht="15" hidden="false" customHeight="false" outlineLevel="0" collapsed="false">
      <c r="G296" s="92"/>
    </row>
    <row r="297" customFormat="false" ht="15" hidden="false" customHeight="false" outlineLevel="0" collapsed="false">
      <c r="G297" s="92"/>
    </row>
    <row r="298" customFormat="false" ht="15" hidden="false" customHeight="false" outlineLevel="0" collapsed="false">
      <c r="G298" s="92"/>
    </row>
    <row r="299" customFormat="false" ht="15" hidden="false" customHeight="false" outlineLevel="0" collapsed="false">
      <c r="G299" s="92"/>
    </row>
    <row r="300" customFormat="false" ht="15" hidden="false" customHeight="false" outlineLevel="0" collapsed="false">
      <c r="G300" s="92"/>
    </row>
    <row r="301" customFormat="false" ht="15" hidden="false" customHeight="false" outlineLevel="0" collapsed="false">
      <c r="G301" s="92"/>
    </row>
    <row r="302" customFormat="false" ht="15" hidden="false" customHeight="false" outlineLevel="0" collapsed="false">
      <c r="G302" s="92"/>
    </row>
    <row r="303" customFormat="false" ht="15" hidden="false" customHeight="false" outlineLevel="0" collapsed="false">
      <c r="G303" s="92"/>
    </row>
    <row r="304" customFormat="false" ht="15" hidden="false" customHeight="false" outlineLevel="0" collapsed="false">
      <c r="G304" s="92"/>
    </row>
    <row r="305" customFormat="false" ht="15" hidden="false" customHeight="false" outlineLevel="0" collapsed="false">
      <c r="G305" s="92"/>
    </row>
    <row r="306" customFormat="false" ht="15" hidden="false" customHeight="false" outlineLevel="0" collapsed="false">
      <c r="G306" s="92"/>
    </row>
    <row r="307" customFormat="false" ht="15" hidden="false" customHeight="false" outlineLevel="0" collapsed="false">
      <c r="G307" s="92"/>
    </row>
    <row r="308" customFormat="false" ht="15" hidden="false" customHeight="false" outlineLevel="0" collapsed="false">
      <c r="G308" s="92"/>
    </row>
    <row r="309" customFormat="false" ht="15" hidden="false" customHeight="false" outlineLevel="0" collapsed="false">
      <c r="G309" s="92"/>
    </row>
    <row r="310" customFormat="false" ht="15" hidden="false" customHeight="false" outlineLevel="0" collapsed="false">
      <c r="G310" s="92"/>
    </row>
    <row r="311" customFormat="false" ht="15" hidden="false" customHeight="false" outlineLevel="0" collapsed="false">
      <c r="G311" s="92"/>
    </row>
    <row r="312" customFormat="false" ht="15" hidden="false" customHeight="false" outlineLevel="0" collapsed="false">
      <c r="G312" s="92"/>
    </row>
    <row r="313" customFormat="false" ht="15" hidden="false" customHeight="false" outlineLevel="0" collapsed="false">
      <c r="G313" s="92"/>
    </row>
    <row r="314" customFormat="false" ht="15" hidden="false" customHeight="false" outlineLevel="0" collapsed="false">
      <c r="G314" s="92"/>
    </row>
    <row r="315" customFormat="false" ht="15" hidden="false" customHeight="false" outlineLevel="0" collapsed="false">
      <c r="G315" s="92"/>
    </row>
    <row r="316" customFormat="false" ht="15" hidden="false" customHeight="false" outlineLevel="0" collapsed="false">
      <c r="G316" s="92"/>
    </row>
    <row r="317" customFormat="false" ht="15" hidden="false" customHeight="false" outlineLevel="0" collapsed="false">
      <c r="G317" s="92"/>
    </row>
    <row r="318" customFormat="false" ht="15" hidden="false" customHeight="false" outlineLevel="0" collapsed="false">
      <c r="G318" s="92"/>
    </row>
    <row r="319" customFormat="false" ht="15" hidden="false" customHeight="false" outlineLevel="0" collapsed="false">
      <c r="G319" s="92"/>
    </row>
    <row r="320" customFormat="false" ht="15" hidden="false" customHeight="false" outlineLevel="0" collapsed="false">
      <c r="G320" s="92"/>
    </row>
    <row r="321" customFormat="false" ht="15" hidden="false" customHeight="false" outlineLevel="0" collapsed="false">
      <c r="G321" s="92"/>
    </row>
    <row r="322" customFormat="false" ht="15" hidden="false" customHeight="false" outlineLevel="0" collapsed="false">
      <c r="G322" s="92"/>
    </row>
    <row r="323" customFormat="false" ht="15" hidden="false" customHeight="false" outlineLevel="0" collapsed="false">
      <c r="G323" s="92"/>
    </row>
    <row r="324" customFormat="false" ht="15" hidden="false" customHeight="false" outlineLevel="0" collapsed="false">
      <c r="G324" s="92"/>
    </row>
    <row r="325" customFormat="false" ht="15" hidden="false" customHeight="false" outlineLevel="0" collapsed="false">
      <c r="G325" s="92"/>
    </row>
    <row r="326" customFormat="false" ht="15" hidden="false" customHeight="false" outlineLevel="0" collapsed="false">
      <c r="G326" s="92"/>
    </row>
    <row r="327" customFormat="false" ht="15" hidden="false" customHeight="false" outlineLevel="0" collapsed="false">
      <c r="G327" s="92"/>
    </row>
    <row r="328" customFormat="false" ht="15" hidden="false" customHeight="false" outlineLevel="0" collapsed="false">
      <c r="G328" s="92"/>
    </row>
    <row r="329" customFormat="false" ht="15" hidden="false" customHeight="false" outlineLevel="0" collapsed="false">
      <c r="G329" s="92"/>
    </row>
    <row r="330" customFormat="false" ht="15" hidden="false" customHeight="false" outlineLevel="0" collapsed="false">
      <c r="G330" s="92"/>
    </row>
    <row r="331" customFormat="false" ht="15" hidden="false" customHeight="false" outlineLevel="0" collapsed="false">
      <c r="G331" s="92"/>
    </row>
    <row r="332" customFormat="false" ht="15" hidden="false" customHeight="false" outlineLevel="0" collapsed="false">
      <c r="G332" s="92"/>
    </row>
    <row r="333" customFormat="false" ht="15" hidden="false" customHeight="false" outlineLevel="0" collapsed="false">
      <c r="G333" s="92"/>
    </row>
    <row r="334" customFormat="false" ht="15" hidden="false" customHeight="false" outlineLevel="0" collapsed="false">
      <c r="G334" s="92"/>
    </row>
    <row r="335" customFormat="false" ht="15" hidden="false" customHeight="false" outlineLevel="0" collapsed="false">
      <c r="G335" s="92"/>
    </row>
    <row r="336" customFormat="false" ht="15" hidden="false" customHeight="false" outlineLevel="0" collapsed="false">
      <c r="G336" s="92"/>
    </row>
    <row r="337" customFormat="false" ht="15" hidden="false" customHeight="false" outlineLevel="0" collapsed="false">
      <c r="G337" s="92"/>
    </row>
    <row r="338" customFormat="false" ht="15" hidden="false" customHeight="false" outlineLevel="0" collapsed="false">
      <c r="G338" s="92"/>
    </row>
    <row r="339" customFormat="false" ht="15" hidden="false" customHeight="false" outlineLevel="0" collapsed="false">
      <c r="G339" s="92"/>
    </row>
    <row r="340" customFormat="false" ht="15" hidden="false" customHeight="false" outlineLevel="0" collapsed="false">
      <c r="G340" s="92"/>
    </row>
    <row r="341" customFormat="false" ht="15" hidden="false" customHeight="false" outlineLevel="0" collapsed="false">
      <c r="G341" s="92"/>
    </row>
    <row r="342" customFormat="false" ht="15" hidden="false" customHeight="false" outlineLevel="0" collapsed="false">
      <c r="G342" s="92"/>
    </row>
    <row r="343" customFormat="false" ht="15" hidden="false" customHeight="false" outlineLevel="0" collapsed="false">
      <c r="G343" s="92"/>
    </row>
    <row r="344" customFormat="false" ht="15" hidden="false" customHeight="false" outlineLevel="0" collapsed="false">
      <c r="G344" s="92"/>
    </row>
    <row r="345" customFormat="false" ht="15" hidden="false" customHeight="false" outlineLevel="0" collapsed="false">
      <c r="G345" s="92"/>
    </row>
    <row r="346" customFormat="false" ht="15" hidden="false" customHeight="false" outlineLevel="0" collapsed="false">
      <c r="G346" s="92"/>
    </row>
    <row r="347" customFormat="false" ht="15" hidden="false" customHeight="false" outlineLevel="0" collapsed="false">
      <c r="G347" s="92"/>
    </row>
    <row r="348" customFormat="false" ht="15" hidden="false" customHeight="false" outlineLevel="0" collapsed="false">
      <c r="G348" s="92"/>
    </row>
    <row r="349" customFormat="false" ht="15" hidden="false" customHeight="false" outlineLevel="0" collapsed="false">
      <c r="G349" s="92"/>
    </row>
    <row r="350" customFormat="false" ht="15" hidden="false" customHeight="false" outlineLevel="0" collapsed="false">
      <c r="G350" s="92"/>
    </row>
    <row r="351" customFormat="false" ht="15" hidden="false" customHeight="false" outlineLevel="0" collapsed="false">
      <c r="G351" s="92"/>
    </row>
    <row r="352" customFormat="false" ht="15" hidden="false" customHeight="false" outlineLevel="0" collapsed="false">
      <c r="G352" s="92"/>
    </row>
    <row r="353" customFormat="false" ht="15" hidden="false" customHeight="false" outlineLevel="0" collapsed="false">
      <c r="G353" s="92"/>
    </row>
    <row r="354" customFormat="false" ht="15" hidden="false" customHeight="false" outlineLevel="0" collapsed="false">
      <c r="G354" s="92"/>
    </row>
    <row r="355" customFormat="false" ht="15" hidden="false" customHeight="false" outlineLevel="0" collapsed="false">
      <c r="G355" s="92"/>
    </row>
    <row r="356" customFormat="false" ht="15" hidden="false" customHeight="false" outlineLevel="0" collapsed="false">
      <c r="G356" s="92"/>
    </row>
    <row r="357" customFormat="false" ht="15" hidden="false" customHeight="false" outlineLevel="0" collapsed="false">
      <c r="G357" s="92"/>
    </row>
    <row r="358" customFormat="false" ht="15" hidden="false" customHeight="false" outlineLevel="0" collapsed="false">
      <c r="G358" s="92"/>
    </row>
    <row r="359" customFormat="false" ht="15" hidden="false" customHeight="false" outlineLevel="0" collapsed="false">
      <c r="G359" s="92"/>
    </row>
    <row r="360" customFormat="false" ht="15" hidden="false" customHeight="false" outlineLevel="0" collapsed="false">
      <c r="G360" s="92"/>
    </row>
    <row r="361" customFormat="false" ht="15" hidden="false" customHeight="false" outlineLevel="0" collapsed="false">
      <c r="G361" s="92"/>
    </row>
    <row r="362" customFormat="false" ht="15" hidden="false" customHeight="false" outlineLevel="0" collapsed="false">
      <c r="G362" s="92"/>
    </row>
    <row r="363" customFormat="false" ht="15" hidden="false" customHeight="false" outlineLevel="0" collapsed="false">
      <c r="G363" s="92"/>
    </row>
    <row r="364" customFormat="false" ht="15" hidden="false" customHeight="false" outlineLevel="0" collapsed="false">
      <c r="G364" s="92"/>
    </row>
    <row r="365" customFormat="false" ht="15" hidden="false" customHeight="false" outlineLevel="0" collapsed="false">
      <c r="G365" s="92"/>
    </row>
    <row r="366" customFormat="false" ht="15" hidden="false" customHeight="false" outlineLevel="0" collapsed="false">
      <c r="G366" s="92"/>
    </row>
    <row r="367" customFormat="false" ht="15" hidden="false" customHeight="false" outlineLevel="0" collapsed="false">
      <c r="G367" s="92"/>
    </row>
    <row r="368" customFormat="false" ht="15" hidden="false" customHeight="false" outlineLevel="0" collapsed="false">
      <c r="G368" s="92"/>
    </row>
    <row r="369" customFormat="false" ht="15" hidden="false" customHeight="false" outlineLevel="0" collapsed="false">
      <c r="G369" s="92"/>
    </row>
    <row r="370" customFormat="false" ht="15" hidden="false" customHeight="false" outlineLevel="0" collapsed="false">
      <c r="G370" s="92"/>
    </row>
    <row r="371" customFormat="false" ht="15" hidden="false" customHeight="false" outlineLevel="0" collapsed="false">
      <c r="G371" s="92"/>
    </row>
    <row r="372" customFormat="false" ht="15" hidden="false" customHeight="false" outlineLevel="0" collapsed="false">
      <c r="G372" s="92"/>
    </row>
    <row r="373" customFormat="false" ht="15" hidden="false" customHeight="false" outlineLevel="0" collapsed="false">
      <c r="G373" s="92"/>
    </row>
    <row r="374" customFormat="false" ht="15" hidden="false" customHeight="false" outlineLevel="0" collapsed="false">
      <c r="G374" s="92"/>
    </row>
    <row r="375" customFormat="false" ht="15" hidden="false" customHeight="false" outlineLevel="0" collapsed="false">
      <c r="G375" s="92"/>
    </row>
    <row r="376" customFormat="false" ht="15" hidden="false" customHeight="false" outlineLevel="0" collapsed="false">
      <c r="G376" s="92"/>
    </row>
    <row r="377" customFormat="false" ht="15" hidden="false" customHeight="false" outlineLevel="0" collapsed="false">
      <c r="G377" s="92"/>
    </row>
    <row r="378" customFormat="false" ht="15" hidden="false" customHeight="false" outlineLevel="0" collapsed="false">
      <c r="G378" s="92"/>
    </row>
    <row r="379" customFormat="false" ht="15" hidden="false" customHeight="false" outlineLevel="0" collapsed="false">
      <c r="G379" s="92"/>
    </row>
    <row r="380" customFormat="false" ht="15" hidden="false" customHeight="false" outlineLevel="0" collapsed="false">
      <c r="G380" s="92"/>
    </row>
    <row r="381" customFormat="false" ht="15" hidden="false" customHeight="false" outlineLevel="0" collapsed="false">
      <c r="G381" s="92"/>
    </row>
    <row r="382" customFormat="false" ht="15" hidden="false" customHeight="false" outlineLevel="0" collapsed="false">
      <c r="G382" s="92"/>
    </row>
    <row r="383" customFormat="false" ht="15" hidden="false" customHeight="false" outlineLevel="0" collapsed="false">
      <c r="G383" s="92"/>
    </row>
    <row r="384" customFormat="false" ht="15" hidden="false" customHeight="false" outlineLevel="0" collapsed="false">
      <c r="G384" s="92"/>
    </row>
    <row r="385" customFormat="false" ht="15" hidden="false" customHeight="false" outlineLevel="0" collapsed="false">
      <c r="G385" s="92"/>
    </row>
    <row r="386" customFormat="false" ht="15" hidden="false" customHeight="false" outlineLevel="0" collapsed="false">
      <c r="G386" s="92"/>
    </row>
    <row r="387" customFormat="false" ht="15" hidden="false" customHeight="false" outlineLevel="0" collapsed="false">
      <c r="G387" s="92"/>
    </row>
    <row r="388" customFormat="false" ht="15" hidden="false" customHeight="false" outlineLevel="0" collapsed="false">
      <c r="G388" s="92"/>
    </row>
    <row r="389" customFormat="false" ht="15" hidden="false" customHeight="false" outlineLevel="0" collapsed="false">
      <c r="G389" s="92"/>
    </row>
    <row r="390" customFormat="false" ht="15" hidden="false" customHeight="false" outlineLevel="0" collapsed="false">
      <c r="G390" s="92"/>
    </row>
    <row r="391" customFormat="false" ht="15" hidden="false" customHeight="false" outlineLevel="0" collapsed="false">
      <c r="G391" s="92"/>
    </row>
    <row r="392" customFormat="false" ht="15" hidden="false" customHeight="false" outlineLevel="0" collapsed="false">
      <c r="G392" s="92"/>
    </row>
    <row r="393" customFormat="false" ht="15" hidden="false" customHeight="false" outlineLevel="0" collapsed="false">
      <c r="G393" s="92"/>
    </row>
    <row r="394" customFormat="false" ht="15" hidden="false" customHeight="false" outlineLevel="0" collapsed="false">
      <c r="G394" s="92"/>
    </row>
    <row r="395" customFormat="false" ht="15" hidden="false" customHeight="false" outlineLevel="0" collapsed="false">
      <c r="G395" s="92"/>
    </row>
    <row r="396" customFormat="false" ht="15" hidden="false" customHeight="false" outlineLevel="0" collapsed="false">
      <c r="G396" s="92"/>
    </row>
    <row r="397" customFormat="false" ht="15" hidden="false" customHeight="false" outlineLevel="0" collapsed="false">
      <c r="G397" s="92"/>
    </row>
    <row r="398" customFormat="false" ht="15" hidden="false" customHeight="false" outlineLevel="0" collapsed="false">
      <c r="G398" s="92"/>
    </row>
    <row r="399" customFormat="false" ht="15" hidden="false" customHeight="false" outlineLevel="0" collapsed="false">
      <c r="G399" s="92"/>
    </row>
    <row r="400" customFormat="false" ht="15" hidden="false" customHeight="false" outlineLevel="0" collapsed="false">
      <c r="G400" s="92"/>
    </row>
    <row r="401" customFormat="false" ht="15" hidden="false" customHeight="false" outlineLevel="0" collapsed="false">
      <c r="G401" s="92"/>
    </row>
    <row r="402" customFormat="false" ht="15" hidden="false" customHeight="false" outlineLevel="0" collapsed="false">
      <c r="G402" s="92"/>
    </row>
    <row r="403" customFormat="false" ht="15" hidden="false" customHeight="false" outlineLevel="0" collapsed="false">
      <c r="G403" s="92"/>
    </row>
    <row r="404" customFormat="false" ht="15" hidden="false" customHeight="false" outlineLevel="0" collapsed="false">
      <c r="G404" s="92"/>
    </row>
    <row r="405" customFormat="false" ht="15" hidden="false" customHeight="false" outlineLevel="0" collapsed="false">
      <c r="G405" s="92"/>
    </row>
    <row r="406" customFormat="false" ht="15" hidden="false" customHeight="false" outlineLevel="0" collapsed="false">
      <c r="G406" s="92"/>
    </row>
    <row r="407" customFormat="false" ht="15" hidden="false" customHeight="false" outlineLevel="0" collapsed="false">
      <c r="G407" s="92"/>
    </row>
    <row r="408" customFormat="false" ht="15" hidden="false" customHeight="false" outlineLevel="0" collapsed="false">
      <c r="G408" s="92"/>
    </row>
    <row r="409" customFormat="false" ht="15" hidden="false" customHeight="false" outlineLevel="0" collapsed="false">
      <c r="G409" s="92"/>
    </row>
    <row r="410" customFormat="false" ht="15" hidden="false" customHeight="false" outlineLevel="0" collapsed="false">
      <c r="G410" s="92"/>
    </row>
    <row r="411" customFormat="false" ht="15" hidden="false" customHeight="false" outlineLevel="0" collapsed="false">
      <c r="G411" s="92"/>
    </row>
    <row r="412" customFormat="false" ht="15" hidden="false" customHeight="false" outlineLevel="0" collapsed="false">
      <c r="G412" s="92"/>
    </row>
    <row r="413" customFormat="false" ht="15" hidden="false" customHeight="false" outlineLevel="0" collapsed="false">
      <c r="G413" s="92"/>
    </row>
    <row r="414" customFormat="false" ht="15" hidden="false" customHeight="false" outlineLevel="0" collapsed="false">
      <c r="G414" s="92"/>
    </row>
    <row r="415" customFormat="false" ht="15" hidden="false" customHeight="false" outlineLevel="0" collapsed="false">
      <c r="G415" s="92"/>
    </row>
    <row r="416" customFormat="false" ht="15" hidden="false" customHeight="false" outlineLevel="0" collapsed="false">
      <c r="G416" s="92"/>
    </row>
    <row r="417" customFormat="false" ht="15" hidden="false" customHeight="false" outlineLevel="0" collapsed="false">
      <c r="G417" s="92"/>
    </row>
    <row r="418" customFormat="false" ht="15" hidden="false" customHeight="false" outlineLevel="0" collapsed="false">
      <c r="G418" s="92"/>
    </row>
    <row r="419" customFormat="false" ht="15" hidden="false" customHeight="false" outlineLevel="0" collapsed="false">
      <c r="G419" s="92"/>
    </row>
    <row r="420" customFormat="false" ht="15" hidden="false" customHeight="false" outlineLevel="0" collapsed="false">
      <c r="G420" s="92"/>
    </row>
    <row r="421" customFormat="false" ht="15" hidden="false" customHeight="false" outlineLevel="0" collapsed="false">
      <c r="G421" s="92"/>
    </row>
    <row r="422" customFormat="false" ht="15" hidden="false" customHeight="false" outlineLevel="0" collapsed="false">
      <c r="G422" s="92"/>
    </row>
    <row r="423" customFormat="false" ht="15" hidden="false" customHeight="false" outlineLevel="0" collapsed="false">
      <c r="G423" s="92"/>
    </row>
    <row r="424" customFormat="false" ht="15" hidden="false" customHeight="false" outlineLevel="0" collapsed="false">
      <c r="G424" s="92"/>
    </row>
    <row r="425" customFormat="false" ht="15" hidden="false" customHeight="false" outlineLevel="0" collapsed="false">
      <c r="G425" s="92"/>
    </row>
    <row r="426" customFormat="false" ht="15" hidden="false" customHeight="false" outlineLevel="0" collapsed="false">
      <c r="G426" s="92"/>
    </row>
    <row r="427" customFormat="false" ht="15" hidden="false" customHeight="false" outlineLevel="0" collapsed="false">
      <c r="G427" s="92"/>
    </row>
    <row r="428" customFormat="false" ht="15" hidden="false" customHeight="false" outlineLevel="0" collapsed="false">
      <c r="G428" s="92"/>
    </row>
    <row r="429" customFormat="false" ht="15" hidden="false" customHeight="false" outlineLevel="0" collapsed="false">
      <c r="G429" s="92"/>
    </row>
    <row r="430" customFormat="false" ht="15" hidden="false" customHeight="false" outlineLevel="0" collapsed="false">
      <c r="G430" s="92"/>
    </row>
    <row r="431" customFormat="false" ht="15" hidden="false" customHeight="false" outlineLevel="0" collapsed="false">
      <c r="G431" s="92"/>
    </row>
    <row r="432" customFormat="false" ht="15" hidden="false" customHeight="false" outlineLevel="0" collapsed="false">
      <c r="G432" s="92"/>
    </row>
    <row r="433" customFormat="false" ht="15" hidden="false" customHeight="false" outlineLevel="0" collapsed="false">
      <c r="G433" s="92"/>
    </row>
    <row r="434" customFormat="false" ht="15" hidden="false" customHeight="false" outlineLevel="0" collapsed="false">
      <c r="G434" s="92"/>
    </row>
    <row r="435" customFormat="false" ht="15" hidden="false" customHeight="false" outlineLevel="0" collapsed="false">
      <c r="G435" s="92"/>
    </row>
    <row r="436" customFormat="false" ht="15" hidden="false" customHeight="false" outlineLevel="0" collapsed="false">
      <c r="G436" s="92"/>
    </row>
    <row r="437" customFormat="false" ht="15" hidden="false" customHeight="false" outlineLevel="0" collapsed="false">
      <c r="G437" s="92"/>
    </row>
    <row r="438" customFormat="false" ht="15" hidden="false" customHeight="false" outlineLevel="0" collapsed="false">
      <c r="G438" s="92"/>
    </row>
    <row r="439" customFormat="false" ht="15" hidden="false" customHeight="false" outlineLevel="0" collapsed="false">
      <c r="G439" s="92"/>
    </row>
    <row r="440" customFormat="false" ht="15" hidden="false" customHeight="false" outlineLevel="0" collapsed="false">
      <c r="G440" s="92"/>
    </row>
    <row r="441" customFormat="false" ht="15" hidden="false" customHeight="false" outlineLevel="0" collapsed="false">
      <c r="G441" s="92"/>
    </row>
    <row r="442" customFormat="false" ht="15" hidden="false" customHeight="false" outlineLevel="0" collapsed="false">
      <c r="G442" s="92"/>
    </row>
    <row r="443" customFormat="false" ht="15" hidden="false" customHeight="false" outlineLevel="0" collapsed="false">
      <c r="G443" s="92"/>
    </row>
    <row r="444" customFormat="false" ht="15" hidden="false" customHeight="false" outlineLevel="0" collapsed="false">
      <c r="G444" s="92"/>
    </row>
    <row r="445" customFormat="false" ht="15" hidden="false" customHeight="false" outlineLevel="0" collapsed="false">
      <c r="G445" s="92"/>
    </row>
    <row r="446" customFormat="false" ht="15" hidden="false" customHeight="false" outlineLevel="0" collapsed="false">
      <c r="G446" s="92"/>
    </row>
    <row r="447" customFormat="false" ht="15" hidden="false" customHeight="false" outlineLevel="0" collapsed="false">
      <c r="G447" s="92"/>
    </row>
    <row r="448" customFormat="false" ht="15" hidden="false" customHeight="false" outlineLevel="0" collapsed="false">
      <c r="G448" s="92"/>
    </row>
    <row r="449" customFormat="false" ht="15" hidden="false" customHeight="false" outlineLevel="0" collapsed="false">
      <c r="G449" s="92"/>
    </row>
    <row r="450" customFormat="false" ht="15" hidden="false" customHeight="false" outlineLevel="0" collapsed="false">
      <c r="G450" s="92"/>
    </row>
    <row r="451" customFormat="false" ht="15" hidden="false" customHeight="false" outlineLevel="0" collapsed="false">
      <c r="G451" s="92"/>
    </row>
    <row r="452" customFormat="false" ht="15" hidden="false" customHeight="false" outlineLevel="0" collapsed="false">
      <c r="G452" s="92"/>
    </row>
    <row r="453" customFormat="false" ht="15" hidden="false" customHeight="false" outlineLevel="0" collapsed="false">
      <c r="G453" s="92"/>
    </row>
    <row r="454" customFormat="false" ht="15" hidden="false" customHeight="false" outlineLevel="0" collapsed="false">
      <c r="G454" s="92"/>
    </row>
    <row r="455" customFormat="false" ht="15" hidden="false" customHeight="false" outlineLevel="0" collapsed="false">
      <c r="G455" s="92"/>
    </row>
    <row r="456" customFormat="false" ht="15" hidden="false" customHeight="false" outlineLevel="0" collapsed="false">
      <c r="G456" s="92"/>
    </row>
    <row r="457" customFormat="false" ht="15" hidden="false" customHeight="false" outlineLevel="0" collapsed="false">
      <c r="G457" s="92"/>
    </row>
    <row r="458" customFormat="false" ht="15" hidden="false" customHeight="false" outlineLevel="0" collapsed="false">
      <c r="G458" s="92"/>
    </row>
    <row r="459" customFormat="false" ht="15" hidden="false" customHeight="false" outlineLevel="0" collapsed="false">
      <c r="G459" s="92"/>
    </row>
    <row r="460" customFormat="false" ht="15" hidden="false" customHeight="false" outlineLevel="0" collapsed="false">
      <c r="G460" s="92"/>
    </row>
    <row r="461" customFormat="false" ht="15" hidden="false" customHeight="false" outlineLevel="0" collapsed="false">
      <c r="G461" s="92"/>
    </row>
    <row r="462" customFormat="false" ht="15" hidden="false" customHeight="false" outlineLevel="0" collapsed="false">
      <c r="G462" s="92"/>
    </row>
    <row r="463" customFormat="false" ht="15" hidden="false" customHeight="false" outlineLevel="0" collapsed="false">
      <c r="G463" s="92"/>
    </row>
    <row r="464" customFormat="false" ht="15" hidden="false" customHeight="false" outlineLevel="0" collapsed="false">
      <c r="G464" s="92"/>
    </row>
    <row r="465" customFormat="false" ht="15" hidden="false" customHeight="false" outlineLevel="0" collapsed="false">
      <c r="G465" s="92"/>
    </row>
    <row r="466" customFormat="false" ht="15" hidden="false" customHeight="false" outlineLevel="0" collapsed="false">
      <c r="G466" s="92"/>
    </row>
    <row r="467" customFormat="false" ht="15" hidden="false" customHeight="false" outlineLevel="0" collapsed="false">
      <c r="G467" s="92"/>
    </row>
    <row r="468" customFormat="false" ht="15" hidden="false" customHeight="false" outlineLevel="0" collapsed="false">
      <c r="G468" s="92"/>
    </row>
    <row r="469" customFormat="false" ht="15" hidden="false" customHeight="false" outlineLevel="0" collapsed="false">
      <c r="G469" s="92"/>
    </row>
    <row r="470" customFormat="false" ht="15" hidden="false" customHeight="false" outlineLevel="0" collapsed="false">
      <c r="G470" s="92"/>
    </row>
    <row r="471" customFormat="false" ht="15" hidden="false" customHeight="false" outlineLevel="0" collapsed="false">
      <c r="G471" s="92"/>
    </row>
    <row r="472" customFormat="false" ht="15" hidden="false" customHeight="false" outlineLevel="0" collapsed="false">
      <c r="G472" s="92"/>
    </row>
    <row r="473" customFormat="false" ht="15" hidden="false" customHeight="false" outlineLevel="0" collapsed="false">
      <c r="G473" s="92"/>
    </row>
    <row r="474" customFormat="false" ht="15" hidden="false" customHeight="false" outlineLevel="0" collapsed="false">
      <c r="G474" s="92"/>
    </row>
    <row r="475" customFormat="false" ht="15" hidden="false" customHeight="false" outlineLevel="0" collapsed="false">
      <c r="G475" s="92"/>
    </row>
    <row r="476" customFormat="false" ht="15" hidden="false" customHeight="false" outlineLevel="0" collapsed="false">
      <c r="G476" s="92"/>
    </row>
    <row r="477" customFormat="false" ht="15" hidden="false" customHeight="false" outlineLevel="0" collapsed="false">
      <c r="G477" s="92"/>
    </row>
    <row r="478" customFormat="false" ht="15" hidden="false" customHeight="false" outlineLevel="0" collapsed="false">
      <c r="G478" s="92"/>
    </row>
    <row r="479" customFormat="false" ht="15" hidden="false" customHeight="false" outlineLevel="0" collapsed="false">
      <c r="G479" s="92"/>
    </row>
    <row r="480" customFormat="false" ht="15" hidden="false" customHeight="false" outlineLevel="0" collapsed="false">
      <c r="G480" s="92"/>
    </row>
    <row r="481" customFormat="false" ht="15" hidden="false" customHeight="false" outlineLevel="0" collapsed="false">
      <c r="G481" s="92"/>
    </row>
    <row r="482" customFormat="false" ht="15" hidden="false" customHeight="false" outlineLevel="0" collapsed="false">
      <c r="G482" s="92"/>
    </row>
    <row r="483" customFormat="false" ht="15" hidden="false" customHeight="false" outlineLevel="0" collapsed="false">
      <c r="G483" s="92"/>
    </row>
    <row r="484" customFormat="false" ht="15" hidden="false" customHeight="false" outlineLevel="0" collapsed="false">
      <c r="G484" s="92"/>
    </row>
    <row r="485" customFormat="false" ht="15" hidden="false" customHeight="false" outlineLevel="0" collapsed="false">
      <c r="G485" s="92"/>
    </row>
    <row r="486" customFormat="false" ht="15" hidden="false" customHeight="false" outlineLevel="0" collapsed="false">
      <c r="G486" s="92"/>
    </row>
    <row r="487" customFormat="false" ht="15" hidden="false" customHeight="false" outlineLevel="0" collapsed="false">
      <c r="G487" s="92"/>
    </row>
    <row r="488" customFormat="false" ht="15" hidden="false" customHeight="false" outlineLevel="0" collapsed="false">
      <c r="G488" s="92"/>
    </row>
    <row r="489" customFormat="false" ht="15" hidden="false" customHeight="false" outlineLevel="0" collapsed="false">
      <c r="G489" s="92"/>
    </row>
    <row r="490" customFormat="false" ht="15" hidden="false" customHeight="false" outlineLevel="0" collapsed="false">
      <c r="G490" s="92"/>
    </row>
    <row r="491" customFormat="false" ht="15" hidden="false" customHeight="false" outlineLevel="0" collapsed="false">
      <c r="G491" s="92"/>
    </row>
    <row r="492" customFormat="false" ht="15" hidden="false" customHeight="false" outlineLevel="0" collapsed="false">
      <c r="G492" s="92"/>
    </row>
    <row r="493" customFormat="false" ht="15" hidden="false" customHeight="false" outlineLevel="0" collapsed="false">
      <c r="G493" s="92"/>
    </row>
    <row r="494" customFormat="false" ht="15" hidden="false" customHeight="false" outlineLevel="0" collapsed="false">
      <c r="G494" s="92"/>
    </row>
    <row r="495" customFormat="false" ht="15" hidden="false" customHeight="false" outlineLevel="0" collapsed="false">
      <c r="G495" s="92"/>
    </row>
    <row r="496" customFormat="false" ht="15" hidden="false" customHeight="false" outlineLevel="0" collapsed="false">
      <c r="G496" s="92"/>
    </row>
    <row r="497" customFormat="false" ht="15" hidden="false" customHeight="false" outlineLevel="0" collapsed="false">
      <c r="G497" s="92"/>
    </row>
    <row r="498" customFormat="false" ht="15" hidden="false" customHeight="false" outlineLevel="0" collapsed="false">
      <c r="G498" s="92"/>
    </row>
    <row r="499" customFormat="false" ht="15" hidden="false" customHeight="false" outlineLevel="0" collapsed="false">
      <c r="G499" s="92"/>
    </row>
    <row r="500" customFormat="false" ht="15" hidden="false" customHeight="false" outlineLevel="0" collapsed="false">
      <c r="G500" s="92"/>
    </row>
    <row r="501" customFormat="false" ht="15" hidden="false" customHeight="false" outlineLevel="0" collapsed="false">
      <c r="G501" s="92"/>
    </row>
    <row r="502" customFormat="false" ht="15" hidden="false" customHeight="false" outlineLevel="0" collapsed="false">
      <c r="G502" s="92"/>
    </row>
    <row r="503" customFormat="false" ht="15" hidden="false" customHeight="false" outlineLevel="0" collapsed="false">
      <c r="G503" s="92"/>
    </row>
    <row r="504" customFormat="false" ht="15" hidden="false" customHeight="false" outlineLevel="0" collapsed="false">
      <c r="G504" s="92"/>
    </row>
    <row r="505" customFormat="false" ht="15" hidden="false" customHeight="false" outlineLevel="0" collapsed="false">
      <c r="G505" s="92"/>
    </row>
    <row r="506" customFormat="false" ht="15" hidden="false" customHeight="false" outlineLevel="0" collapsed="false">
      <c r="G506" s="92"/>
    </row>
    <row r="507" customFormat="false" ht="15" hidden="false" customHeight="false" outlineLevel="0" collapsed="false">
      <c r="G507" s="92"/>
    </row>
    <row r="508" customFormat="false" ht="15" hidden="false" customHeight="false" outlineLevel="0" collapsed="false">
      <c r="G508" s="92"/>
    </row>
    <row r="509" customFormat="false" ht="15" hidden="false" customHeight="false" outlineLevel="0" collapsed="false">
      <c r="G509" s="92"/>
    </row>
    <row r="510" customFormat="false" ht="15" hidden="false" customHeight="false" outlineLevel="0" collapsed="false">
      <c r="G510" s="92"/>
    </row>
    <row r="511" customFormat="false" ht="15" hidden="false" customHeight="false" outlineLevel="0" collapsed="false">
      <c r="G511" s="92"/>
    </row>
    <row r="512" customFormat="false" ht="15" hidden="false" customHeight="false" outlineLevel="0" collapsed="false">
      <c r="G512" s="92"/>
    </row>
    <row r="513" customFormat="false" ht="15" hidden="false" customHeight="false" outlineLevel="0" collapsed="false">
      <c r="G513" s="92"/>
    </row>
    <row r="514" customFormat="false" ht="15" hidden="false" customHeight="false" outlineLevel="0" collapsed="false">
      <c r="G514" s="92"/>
    </row>
    <row r="515" customFormat="false" ht="15" hidden="false" customHeight="false" outlineLevel="0" collapsed="false">
      <c r="G515" s="92"/>
    </row>
    <row r="516" customFormat="false" ht="15" hidden="false" customHeight="false" outlineLevel="0" collapsed="false">
      <c r="G516" s="92"/>
    </row>
    <row r="517" customFormat="false" ht="15" hidden="false" customHeight="false" outlineLevel="0" collapsed="false">
      <c r="G517" s="92"/>
    </row>
    <row r="518" customFormat="false" ht="15" hidden="false" customHeight="false" outlineLevel="0" collapsed="false">
      <c r="G518" s="92"/>
    </row>
    <row r="519" customFormat="false" ht="15" hidden="false" customHeight="false" outlineLevel="0" collapsed="false">
      <c r="G519" s="92"/>
    </row>
    <row r="520" customFormat="false" ht="15" hidden="false" customHeight="false" outlineLevel="0" collapsed="false">
      <c r="G520" s="92"/>
    </row>
    <row r="521" customFormat="false" ht="15" hidden="false" customHeight="false" outlineLevel="0" collapsed="false">
      <c r="G521" s="92"/>
    </row>
    <row r="522" customFormat="false" ht="15" hidden="false" customHeight="false" outlineLevel="0" collapsed="false">
      <c r="G522" s="92"/>
    </row>
    <row r="523" customFormat="false" ht="15" hidden="false" customHeight="false" outlineLevel="0" collapsed="false">
      <c r="G523" s="92"/>
    </row>
    <row r="524" customFormat="false" ht="15" hidden="false" customHeight="false" outlineLevel="0" collapsed="false">
      <c r="G524" s="92"/>
    </row>
    <row r="525" customFormat="false" ht="15" hidden="false" customHeight="false" outlineLevel="0" collapsed="false">
      <c r="G525" s="92"/>
    </row>
    <row r="526" customFormat="false" ht="15" hidden="false" customHeight="false" outlineLevel="0" collapsed="false">
      <c r="G526" s="92"/>
    </row>
    <row r="527" customFormat="false" ht="15" hidden="false" customHeight="false" outlineLevel="0" collapsed="false">
      <c r="G527" s="92"/>
    </row>
    <row r="528" customFormat="false" ht="15" hidden="false" customHeight="false" outlineLevel="0" collapsed="false">
      <c r="G528" s="92"/>
    </row>
    <row r="529" customFormat="false" ht="15" hidden="false" customHeight="false" outlineLevel="0" collapsed="false">
      <c r="G529" s="92"/>
    </row>
    <row r="530" customFormat="false" ht="15" hidden="false" customHeight="false" outlineLevel="0" collapsed="false">
      <c r="G530" s="92"/>
    </row>
    <row r="531" customFormat="false" ht="15" hidden="false" customHeight="false" outlineLevel="0" collapsed="false">
      <c r="G531" s="92"/>
    </row>
    <row r="532" customFormat="false" ht="15" hidden="false" customHeight="false" outlineLevel="0" collapsed="false">
      <c r="G532" s="92"/>
    </row>
    <row r="533" customFormat="false" ht="15" hidden="false" customHeight="false" outlineLevel="0" collapsed="false">
      <c r="G533" s="92"/>
    </row>
    <row r="534" customFormat="false" ht="15" hidden="false" customHeight="false" outlineLevel="0" collapsed="false">
      <c r="G534" s="92"/>
    </row>
    <row r="535" customFormat="false" ht="15" hidden="false" customHeight="false" outlineLevel="0" collapsed="false">
      <c r="G535" s="92"/>
    </row>
    <row r="536" customFormat="false" ht="15" hidden="false" customHeight="false" outlineLevel="0" collapsed="false">
      <c r="G536" s="92"/>
    </row>
    <row r="537" customFormat="false" ht="15" hidden="false" customHeight="false" outlineLevel="0" collapsed="false">
      <c r="G537" s="92"/>
    </row>
    <row r="538" customFormat="false" ht="15" hidden="false" customHeight="false" outlineLevel="0" collapsed="false">
      <c r="G538" s="92"/>
    </row>
    <row r="539" customFormat="false" ht="15" hidden="false" customHeight="false" outlineLevel="0" collapsed="false">
      <c r="G539" s="92"/>
    </row>
    <row r="540" customFormat="false" ht="15" hidden="false" customHeight="false" outlineLevel="0" collapsed="false">
      <c r="G540" s="92"/>
    </row>
    <row r="541" customFormat="false" ht="15" hidden="false" customHeight="false" outlineLevel="0" collapsed="false">
      <c r="G541" s="92"/>
    </row>
    <row r="542" customFormat="false" ht="15" hidden="false" customHeight="false" outlineLevel="0" collapsed="false">
      <c r="G542" s="92"/>
    </row>
    <row r="543" customFormat="false" ht="15" hidden="false" customHeight="false" outlineLevel="0" collapsed="false">
      <c r="G543" s="92"/>
    </row>
    <row r="544" customFormat="false" ht="15" hidden="false" customHeight="false" outlineLevel="0" collapsed="false">
      <c r="G544" s="92"/>
    </row>
    <row r="545" customFormat="false" ht="15" hidden="false" customHeight="false" outlineLevel="0" collapsed="false">
      <c r="G545" s="92"/>
    </row>
    <row r="546" customFormat="false" ht="15" hidden="false" customHeight="false" outlineLevel="0" collapsed="false">
      <c r="G546" s="92"/>
    </row>
    <row r="547" customFormat="false" ht="15" hidden="false" customHeight="false" outlineLevel="0" collapsed="false">
      <c r="G547" s="92"/>
    </row>
    <row r="548" customFormat="false" ht="15" hidden="false" customHeight="false" outlineLevel="0" collapsed="false">
      <c r="G548" s="92"/>
    </row>
    <row r="549" customFormat="false" ht="15" hidden="false" customHeight="false" outlineLevel="0" collapsed="false">
      <c r="G549" s="92"/>
    </row>
    <row r="550" customFormat="false" ht="15" hidden="false" customHeight="false" outlineLevel="0" collapsed="false">
      <c r="G550" s="92"/>
    </row>
    <row r="551" customFormat="false" ht="15" hidden="false" customHeight="false" outlineLevel="0" collapsed="false">
      <c r="G551" s="92"/>
    </row>
    <row r="552" customFormat="false" ht="15" hidden="false" customHeight="false" outlineLevel="0" collapsed="false">
      <c r="G552" s="92"/>
    </row>
    <row r="553" customFormat="false" ht="15" hidden="false" customHeight="false" outlineLevel="0" collapsed="false">
      <c r="G553" s="92"/>
    </row>
    <row r="554" customFormat="false" ht="15" hidden="false" customHeight="false" outlineLevel="0" collapsed="false">
      <c r="G554" s="92"/>
    </row>
    <row r="555" customFormat="false" ht="15" hidden="false" customHeight="false" outlineLevel="0" collapsed="false">
      <c r="G555" s="92"/>
    </row>
    <row r="556" customFormat="false" ht="15" hidden="false" customHeight="false" outlineLevel="0" collapsed="false">
      <c r="G556" s="92"/>
    </row>
    <row r="557" customFormat="false" ht="15" hidden="false" customHeight="false" outlineLevel="0" collapsed="false">
      <c r="G557" s="92"/>
    </row>
    <row r="558" customFormat="false" ht="15" hidden="false" customHeight="false" outlineLevel="0" collapsed="false">
      <c r="G558" s="92"/>
    </row>
    <row r="559" customFormat="false" ht="15" hidden="false" customHeight="false" outlineLevel="0" collapsed="false">
      <c r="G559" s="92"/>
    </row>
    <row r="560" customFormat="false" ht="15" hidden="false" customHeight="false" outlineLevel="0" collapsed="false">
      <c r="G560" s="92"/>
    </row>
    <row r="561" customFormat="false" ht="15" hidden="false" customHeight="false" outlineLevel="0" collapsed="false">
      <c r="G561" s="92"/>
    </row>
    <row r="562" customFormat="false" ht="15" hidden="false" customHeight="false" outlineLevel="0" collapsed="false">
      <c r="G562" s="92"/>
    </row>
    <row r="563" customFormat="false" ht="15" hidden="false" customHeight="false" outlineLevel="0" collapsed="false">
      <c r="G563" s="92"/>
    </row>
    <row r="564" customFormat="false" ht="15" hidden="false" customHeight="false" outlineLevel="0" collapsed="false">
      <c r="G564" s="92"/>
    </row>
    <row r="565" customFormat="false" ht="15" hidden="false" customHeight="false" outlineLevel="0" collapsed="false">
      <c r="G565" s="92"/>
    </row>
    <row r="566" customFormat="false" ht="15" hidden="false" customHeight="false" outlineLevel="0" collapsed="false">
      <c r="G566" s="92"/>
    </row>
    <row r="567" customFormat="false" ht="15" hidden="false" customHeight="false" outlineLevel="0" collapsed="false">
      <c r="G567" s="92"/>
    </row>
    <row r="568" customFormat="false" ht="15" hidden="false" customHeight="false" outlineLevel="0" collapsed="false">
      <c r="G568" s="92"/>
    </row>
    <row r="569" customFormat="false" ht="15" hidden="false" customHeight="false" outlineLevel="0" collapsed="false">
      <c r="G569" s="92"/>
    </row>
    <row r="570" customFormat="false" ht="15" hidden="false" customHeight="false" outlineLevel="0" collapsed="false">
      <c r="G570" s="92"/>
    </row>
    <row r="571" customFormat="false" ht="15" hidden="false" customHeight="false" outlineLevel="0" collapsed="false">
      <c r="G571" s="92"/>
    </row>
    <row r="572" customFormat="false" ht="15" hidden="false" customHeight="false" outlineLevel="0" collapsed="false">
      <c r="G572" s="92"/>
    </row>
    <row r="573" customFormat="false" ht="15" hidden="false" customHeight="false" outlineLevel="0" collapsed="false">
      <c r="G573" s="92"/>
    </row>
    <row r="574" customFormat="false" ht="15" hidden="false" customHeight="false" outlineLevel="0" collapsed="false">
      <c r="G574" s="92"/>
    </row>
    <row r="575" customFormat="false" ht="15" hidden="false" customHeight="false" outlineLevel="0" collapsed="false">
      <c r="G575" s="92"/>
    </row>
    <row r="576" customFormat="false" ht="15" hidden="false" customHeight="false" outlineLevel="0" collapsed="false">
      <c r="G576" s="92"/>
    </row>
    <row r="577" customFormat="false" ht="15" hidden="false" customHeight="false" outlineLevel="0" collapsed="false">
      <c r="G577" s="92"/>
    </row>
    <row r="578" customFormat="false" ht="15" hidden="false" customHeight="false" outlineLevel="0" collapsed="false">
      <c r="G578" s="92"/>
    </row>
    <row r="579" customFormat="false" ht="15" hidden="false" customHeight="false" outlineLevel="0" collapsed="false">
      <c r="G579" s="92"/>
    </row>
    <row r="580" customFormat="false" ht="15" hidden="false" customHeight="false" outlineLevel="0" collapsed="false">
      <c r="G580" s="92"/>
    </row>
    <row r="581" customFormat="false" ht="15" hidden="false" customHeight="false" outlineLevel="0" collapsed="false">
      <c r="G581" s="92"/>
    </row>
    <row r="582" customFormat="false" ht="15" hidden="false" customHeight="false" outlineLevel="0" collapsed="false">
      <c r="G582" s="92"/>
    </row>
    <row r="583" customFormat="false" ht="15" hidden="false" customHeight="false" outlineLevel="0" collapsed="false">
      <c r="G583" s="92"/>
    </row>
    <row r="584" customFormat="false" ht="15" hidden="false" customHeight="false" outlineLevel="0" collapsed="false">
      <c r="G584" s="92"/>
    </row>
    <row r="585" customFormat="false" ht="15" hidden="false" customHeight="false" outlineLevel="0" collapsed="false">
      <c r="G585" s="92"/>
    </row>
    <row r="586" customFormat="false" ht="15" hidden="false" customHeight="false" outlineLevel="0" collapsed="false">
      <c r="G586" s="92"/>
    </row>
    <row r="587" customFormat="false" ht="15" hidden="false" customHeight="false" outlineLevel="0" collapsed="false">
      <c r="G587" s="92"/>
    </row>
    <row r="588" customFormat="false" ht="15" hidden="false" customHeight="false" outlineLevel="0" collapsed="false">
      <c r="G588" s="92"/>
    </row>
    <row r="589" customFormat="false" ht="15" hidden="false" customHeight="false" outlineLevel="0" collapsed="false">
      <c r="G589" s="92"/>
    </row>
    <row r="590" customFormat="false" ht="15" hidden="false" customHeight="false" outlineLevel="0" collapsed="false">
      <c r="G590" s="92"/>
    </row>
    <row r="591" customFormat="false" ht="15" hidden="false" customHeight="false" outlineLevel="0" collapsed="false">
      <c r="G591" s="92"/>
    </row>
    <row r="592" customFormat="false" ht="15" hidden="false" customHeight="false" outlineLevel="0" collapsed="false">
      <c r="G592" s="92"/>
    </row>
    <row r="593" customFormat="false" ht="15" hidden="false" customHeight="false" outlineLevel="0" collapsed="false">
      <c r="G593" s="92"/>
    </row>
    <row r="594" customFormat="false" ht="15" hidden="false" customHeight="false" outlineLevel="0" collapsed="false">
      <c r="G594" s="92"/>
    </row>
    <row r="595" customFormat="false" ht="15" hidden="false" customHeight="false" outlineLevel="0" collapsed="false">
      <c r="G595" s="92"/>
    </row>
    <row r="596" customFormat="false" ht="15" hidden="false" customHeight="false" outlineLevel="0" collapsed="false">
      <c r="G596" s="92"/>
    </row>
    <row r="597" customFormat="false" ht="15" hidden="false" customHeight="false" outlineLevel="0" collapsed="false">
      <c r="G597" s="92"/>
    </row>
    <row r="598" customFormat="false" ht="15" hidden="false" customHeight="false" outlineLevel="0" collapsed="false">
      <c r="G598" s="92"/>
    </row>
    <row r="599" customFormat="false" ht="15" hidden="false" customHeight="false" outlineLevel="0" collapsed="false">
      <c r="G599" s="92"/>
    </row>
    <row r="600" customFormat="false" ht="15" hidden="false" customHeight="false" outlineLevel="0" collapsed="false">
      <c r="G600" s="92"/>
    </row>
    <row r="601" customFormat="false" ht="15" hidden="false" customHeight="false" outlineLevel="0" collapsed="false">
      <c r="G601" s="92"/>
    </row>
    <row r="602" customFormat="false" ht="15" hidden="false" customHeight="false" outlineLevel="0" collapsed="false">
      <c r="G602" s="92"/>
    </row>
    <row r="603" customFormat="false" ht="15" hidden="false" customHeight="false" outlineLevel="0" collapsed="false">
      <c r="G603" s="92"/>
    </row>
    <row r="604" customFormat="false" ht="15" hidden="false" customHeight="false" outlineLevel="0" collapsed="false">
      <c r="G604" s="92"/>
    </row>
    <row r="605" customFormat="false" ht="15" hidden="false" customHeight="false" outlineLevel="0" collapsed="false">
      <c r="G605" s="92"/>
    </row>
    <row r="606" customFormat="false" ht="15" hidden="false" customHeight="false" outlineLevel="0" collapsed="false">
      <c r="G606" s="92"/>
    </row>
    <row r="607" customFormat="false" ht="15" hidden="false" customHeight="false" outlineLevel="0" collapsed="false">
      <c r="G607" s="92"/>
    </row>
    <row r="608" customFormat="false" ht="15" hidden="false" customHeight="false" outlineLevel="0" collapsed="false">
      <c r="G608" s="92"/>
    </row>
    <row r="609" customFormat="false" ht="15" hidden="false" customHeight="false" outlineLevel="0" collapsed="false">
      <c r="G609" s="92"/>
    </row>
    <row r="610" customFormat="false" ht="15" hidden="false" customHeight="false" outlineLevel="0" collapsed="false">
      <c r="G610" s="92"/>
    </row>
    <row r="611" customFormat="false" ht="15" hidden="false" customHeight="false" outlineLevel="0" collapsed="false">
      <c r="G611" s="92"/>
    </row>
    <row r="612" customFormat="false" ht="15" hidden="false" customHeight="false" outlineLevel="0" collapsed="false">
      <c r="G612" s="92"/>
    </row>
    <row r="613" customFormat="false" ht="15" hidden="false" customHeight="false" outlineLevel="0" collapsed="false">
      <c r="G613" s="92"/>
    </row>
    <row r="614" customFormat="false" ht="15" hidden="false" customHeight="false" outlineLevel="0" collapsed="false">
      <c r="G614" s="92"/>
    </row>
    <row r="615" customFormat="false" ht="15" hidden="false" customHeight="false" outlineLevel="0" collapsed="false">
      <c r="G615" s="92"/>
    </row>
    <row r="616" customFormat="false" ht="15" hidden="false" customHeight="false" outlineLevel="0" collapsed="false">
      <c r="G616" s="92"/>
    </row>
    <row r="617" customFormat="false" ht="15" hidden="false" customHeight="false" outlineLevel="0" collapsed="false">
      <c r="G617" s="92"/>
    </row>
    <row r="618" customFormat="false" ht="15" hidden="false" customHeight="false" outlineLevel="0" collapsed="false">
      <c r="G618" s="92"/>
    </row>
    <row r="619" customFormat="false" ht="15" hidden="false" customHeight="false" outlineLevel="0" collapsed="false">
      <c r="G619" s="92"/>
    </row>
    <row r="620" customFormat="false" ht="15" hidden="false" customHeight="false" outlineLevel="0" collapsed="false">
      <c r="G620" s="92"/>
    </row>
    <row r="621" customFormat="false" ht="15" hidden="false" customHeight="false" outlineLevel="0" collapsed="false">
      <c r="G621" s="92"/>
    </row>
    <row r="622" customFormat="false" ht="15" hidden="false" customHeight="false" outlineLevel="0" collapsed="false">
      <c r="G622" s="92"/>
    </row>
    <row r="623" customFormat="false" ht="15" hidden="false" customHeight="false" outlineLevel="0" collapsed="false">
      <c r="G623" s="92"/>
    </row>
    <row r="624" customFormat="false" ht="15" hidden="false" customHeight="false" outlineLevel="0" collapsed="false">
      <c r="G624" s="92"/>
    </row>
    <row r="625" customFormat="false" ht="15" hidden="false" customHeight="false" outlineLevel="0" collapsed="false">
      <c r="G625" s="92"/>
    </row>
    <row r="626" customFormat="false" ht="15" hidden="false" customHeight="false" outlineLevel="0" collapsed="false">
      <c r="G626" s="92"/>
    </row>
    <row r="627" customFormat="false" ht="15" hidden="false" customHeight="false" outlineLevel="0" collapsed="false">
      <c r="G627" s="92"/>
    </row>
    <row r="628" customFormat="false" ht="15" hidden="false" customHeight="false" outlineLevel="0" collapsed="false">
      <c r="G628" s="92"/>
    </row>
    <row r="629" customFormat="false" ht="15" hidden="false" customHeight="false" outlineLevel="0" collapsed="false">
      <c r="G629" s="92"/>
    </row>
    <row r="630" customFormat="false" ht="15" hidden="false" customHeight="false" outlineLevel="0" collapsed="false">
      <c r="G630" s="92"/>
    </row>
    <row r="631" customFormat="false" ht="15" hidden="false" customHeight="false" outlineLevel="0" collapsed="false">
      <c r="G631" s="92"/>
    </row>
    <row r="632" customFormat="false" ht="15" hidden="false" customHeight="false" outlineLevel="0" collapsed="false">
      <c r="G632" s="92"/>
    </row>
    <row r="633" customFormat="false" ht="15" hidden="false" customHeight="false" outlineLevel="0" collapsed="false">
      <c r="G633" s="92"/>
    </row>
    <row r="634" customFormat="false" ht="15" hidden="false" customHeight="false" outlineLevel="0" collapsed="false">
      <c r="G634" s="92"/>
    </row>
    <row r="635" customFormat="false" ht="15" hidden="false" customHeight="false" outlineLevel="0" collapsed="false">
      <c r="G635" s="92"/>
    </row>
    <row r="636" customFormat="false" ht="15" hidden="false" customHeight="false" outlineLevel="0" collapsed="false">
      <c r="G636" s="92"/>
    </row>
    <row r="637" customFormat="false" ht="15" hidden="false" customHeight="false" outlineLevel="0" collapsed="false">
      <c r="G637" s="92"/>
    </row>
    <row r="638" customFormat="false" ht="15" hidden="false" customHeight="false" outlineLevel="0" collapsed="false">
      <c r="G638" s="92"/>
    </row>
    <row r="639" customFormat="false" ht="15" hidden="false" customHeight="false" outlineLevel="0" collapsed="false">
      <c r="G639" s="92"/>
    </row>
    <row r="640" customFormat="false" ht="15" hidden="false" customHeight="false" outlineLevel="0" collapsed="false">
      <c r="G640" s="92"/>
    </row>
    <row r="641" customFormat="false" ht="15" hidden="false" customHeight="false" outlineLevel="0" collapsed="false">
      <c r="G641" s="92"/>
    </row>
    <row r="642" customFormat="false" ht="15" hidden="false" customHeight="false" outlineLevel="0" collapsed="false">
      <c r="G642" s="92"/>
    </row>
    <row r="643" customFormat="false" ht="15" hidden="false" customHeight="false" outlineLevel="0" collapsed="false">
      <c r="G643" s="92"/>
    </row>
    <row r="644" customFormat="false" ht="15" hidden="false" customHeight="false" outlineLevel="0" collapsed="false">
      <c r="G644" s="92"/>
    </row>
    <row r="645" customFormat="false" ht="15" hidden="false" customHeight="false" outlineLevel="0" collapsed="false">
      <c r="G645" s="92"/>
    </row>
    <row r="646" customFormat="false" ht="15" hidden="false" customHeight="false" outlineLevel="0" collapsed="false">
      <c r="G646" s="92"/>
    </row>
    <row r="647" customFormat="false" ht="15" hidden="false" customHeight="false" outlineLevel="0" collapsed="false">
      <c r="G647" s="92"/>
    </row>
    <row r="648" customFormat="false" ht="15" hidden="false" customHeight="false" outlineLevel="0" collapsed="false">
      <c r="G648" s="92"/>
    </row>
    <row r="649" customFormat="false" ht="15" hidden="false" customHeight="false" outlineLevel="0" collapsed="false">
      <c r="G649" s="92"/>
    </row>
    <row r="650" customFormat="false" ht="15" hidden="false" customHeight="false" outlineLevel="0" collapsed="false">
      <c r="G650" s="92"/>
    </row>
    <row r="651" customFormat="false" ht="15" hidden="false" customHeight="false" outlineLevel="0" collapsed="false">
      <c r="G651" s="92"/>
    </row>
    <row r="652" customFormat="false" ht="15" hidden="false" customHeight="false" outlineLevel="0" collapsed="false">
      <c r="G652" s="92"/>
    </row>
    <row r="653" customFormat="false" ht="15" hidden="false" customHeight="false" outlineLevel="0" collapsed="false">
      <c r="G653" s="92"/>
    </row>
    <row r="654" customFormat="false" ht="15" hidden="false" customHeight="false" outlineLevel="0" collapsed="false">
      <c r="G654" s="92"/>
    </row>
    <row r="655" customFormat="false" ht="15" hidden="false" customHeight="false" outlineLevel="0" collapsed="false">
      <c r="G655" s="92"/>
    </row>
    <row r="656" customFormat="false" ht="15" hidden="false" customHeight="false" outlineLevel="0" collapsed="false">
      <c r="G656" s="92"/>
    </row>
    <row r="657" customFormat="false" ht="15" hidden="false" customHeight="false" outlineLevel="0" collapsed="false">
      <c r="G657" s="92"/>
    </row>
    <row r="658" customFormat="false" ht="15" hidden="false" customHeight="false" outlineLevel="0" collapsed="false">
      <c r="G658" s="92"/>
    </row>
    <row r="659" customFormat="false" ht="15" hidden="false" customHeight="false" outlineLevel="0" collapsed="false">
      <c r="G659" s="92"/>
    </row>
    <row r="660" customFormat="false" ht="15" hidden="false" customHeight="false" outlineLevel="0" collapsed="false">
      <c r="G660" s="92"/>
    </row>
    <row r="661" customFormat="false" ht="15" hidden="false" customHeight="false" outlineLevel="0" collapsed="false">
      <c r="G661" s="92"/>
    </row>
    <row r="662" customFormat="false" ht="15" hidden="false" customHeight="false" outlineLevel="0" collapsed="false">
      <c r="G662" s="92"/>
    </row>
    <row r="663" customFormat="false" ht="15" hidden="false" customHeight="false" outlineLevel="0" collapsed="false">
      <c r="G663" s="92"/>
    </row>
    <row r="664" customFormat="false" ht="15" hidden="false" customHeight="false" outlineLevel="0" collapsed="false">
      <c r="G664" s="92"/>
    </row>
    <row r="665" customFormat="false" ht="15" hidden="false" customHeight="false" outlineLevel="0" collapsed="false">
      <c r="G665" s="92"/>
    </row>
    <row r="666" customFormat="false" ht="15" hidden="false" customHeight="false" outlineLevel="0" collapsed="false">
      <c r="G666" s="92"/>
    </row>
    <row r="667" customFormat="false" ht="15" hidden="false" customHeight="false" outlineLevel="0" collapsed="false">
      <c r="G667" s="92"/>
    </row>
    <row r="668" customFormat="false" ht="15" hidden="false" customHeight="false" outlineLevel="0" collapsed="false">
      <c r="G668" s="92"/>
    </row>
    <row r="669" customFormat="false" ht="15" hidden="false" customHeight="false" outlineLevel="0" collapsed="false">
      <c r="G669" s="92"/>
    </row>
    <row r="670" customFormat="false" ht="15" hidden="false" customHeight="false" outlineLevel="0" collapsed="false">
      <c r="G670" s="92"/>
    </row>
    <row r="671" customFormat="false" ht="15" hidden="false" customHeight="false" outlineLevel="0" collapsed="false">
      <c r="G671" s="92"/>
    </row>
    <row r="672" customFormat="false" ht="15" hidden="false" customHeight="false" outlineLevel="0" collapsed="false">
      <c r="G672" s="92"/>
    </row>
    <row r="673" customFormat="false" ht="15" hidden="false" customHeight="false" outlineLevel="0" collapsed="false">
      <c r="G673" s="92"/>
    </row>
    <row r="674" customFormat="false" ht="15" hidden="false" customHeight="false" outlineLevel="0" collapsed="false">
      <c r="G674" s="92"/>
    </row>
    <row r="675" customFormat="false" ht="15" hidden="false" customHeight="false" outlineLevel="0" collapsed="false">
      <c r="G675" s="92"/>
    </row>
    <row r="676" customFormat="false" ht="15" hidden="false" customHeight="false" outlineLevel="0" collapsed="false">
      <c r="G676" s="92"/>
    </row>
    <row r="677" customFormat="false" ht="15" hidden="false" customHeight="false" outlineLevel="0" collapsed="false">
      <c r="G677" s="92"/>
    </row>
    <row r="678" customFormat="false" ht="15" hidden="false" customHeight="false" outlineLevel="0" collapsed="false">
      <c r="G678" s="92"/>
    </row>
    <row r="679" customFormat="false" ht="15" hidden="false" customHeight="false" outlineLevel="0" collapsed="false">
      <c r="G679" s="92"/>
    </row>
    <row r="680" customFormat="false" ht="15" hidden="false" customHeight="false" outlineLevel="0" collapsed="false">
      <c r="G680" s="92"/>
    </row>
    <row r="681" customFormat="false" ht="15" hidden="false" customHeight="false" outlineLevel="0" collapsed="false">
      <c r="G681" s="92"/>
    </row>
    <row r="682" customFormat="false" ht="15" hidden="false" customHeight="false" outlineLevel="0" collapsed="false">
      <c r="G682" s="92"/>
    </row>
    <row r="683" customFormat="false" ht="15" hidden="false" customHeight="false" outlineLevel="0" collapsed="false">
      <c r="G683" s="92"/>
    </row>
    <row r="684" customFormat="false" ht="15" hidden="false" customHeight="false" outlineLevel="0" collapsed="false">
      <c r="G684" s="92"/>
    </row>
    <row r="685" customFormat="false" ht="15" hidden="false" customHeight="false" outlineLevel="0" collapsed="false">
      <c r="G685" s="92"/>
    </row>
    <row r="686" customFormat="false" ht="15" hidden="false" customHeight="false" outlineLevel="0" collapsed="false">
      <c r="G686" s="92"/>
    </row>
    <row r="687" customFormat="false" ht="15" hidden="false" customHeight="false" outlineLevel="0" collapsed="false">
      <c r="G687" s="92"/>
    </row>
    <row r="688" customFormat="false" ht="15" hidden="false" customHeight="false" outlineLevel="0" collapsed="false">
      <c r="G688" s="92"/>
    </row>
    <row r="689" customFormat="false" ht="15" hidden="false" customHeight="false" outlineLevel="0" collapsed="false">
      <c r="G689" s="92"/>
    </row>
    <row r="690" customFormat="false" ht="15" hidden="false" customHeight="false" outlineLevel="0" collapsed="false">
      <c r="G690" s="92"/>
    </row>
    <row r="691" customFormat="false" ht="15" hidden="false" customHeight="false" outlineLevel="0" collapsed="false">
      <c r="G691" s="92"/>
    </row>
    <row r="692" customFormat="false" ht="15" hidden="false" customHeight="false" outlineLevel="0" collapsed="false">
      <c r="G692" s="92"/>
    </row>
    <row r="693" customFormat="false" ht="15" hidden="false" customHeight="false" outlineLevel="0" collapsed="false">
      <c r="G693" s="92"/>
    </row>
    <row r="694" customFormat="false" ht="15" hidden="false" customHeight="false" outlineLevel="0" collapsed="false">
      <c r="G694" s="92"/>
    </row>
    <row r="695" customFormat="false" ht="15" hidden="false" customHeight="false" outlineLevel="0" collapsed="false">
      <c r="G695" s="92"/>
    </row>
    <row r="696" customFormat="false" ht="15" hidden="false" customHeight="false" outlineLevel="0" collapsed="false">
      <c r="G696" s="92"/>
    </row>
    <row r="697" customFormat="false" ht="15" hidden="false" customHeight="false" outlineLevel="0" collapsed="false">
      <c r="G697" s="92"/>
    </row>
    <row r="698" customFormat="false" ht="15" hidden="false" customHeight="false" outlineLevel="0" collapsed="false">
      <c r="G698" s="92"/>
    </row>
    <row r="699" customFormat="false" ht="15" hidden="false" customHeight="false" outlineLevel="0" collapsed="false">
      <c r="G699" s="92"/>
    </row>
    <row r="700" customFormat="false" ht="15" hidden="false" customHeight="false" outlineLevel="0" collapsed="false">
      <c r="G700" s="92"/>
    </row>
    <row r="701" customFormat="false" ht="15" hidden="false" customHeight="false" outlineLevel="0" collapsed="false">
      <c r="G701" s="92"/>
    </row>
    <row r="702" customFormat="false" ht="15" hidden="false" customHeight="false" outlineLevel="0" collapsed="false">
      <c r="G702" s="92"/>
    </row>
    <row r="703" customFormat="false" ht="15" hidden="false" customHeight="false" outlineLevel="0" collapsed="false">
      <c r="G703" s="92"/>
    </row>
    <row r="704" customFormat="false" ht="15" hidden="false" customHeight="false" outlineLevel="0" collapsed="false">
      <c r="G704" s="92"/>
    </row>
    <row r="705" customFormat="false" ht="15" hidden="false" customHeight="false" outlineLevel="0" collapsed="false">
      <c r="G705" s="92"/>
    </row>
    <row r="706" customFormat="false" ht="15" hidden="false" customHeight="false" outlineLevel="0" collapsed="false">
      <c r="G706" s="92"/>
    </row>
    <row r="707" customFormat="false" ht="15" hidden="false" customHeight="false" outlineLevel="0" collapsed="false">
      <c r="G707" s="92"/>
    </row>
    <row r="708" customFormat="false" ht="15" hidden="false" customHeight="false" outlineLevel="0" collapsed="false">
      <c r="G708" s="92"/>
    </row>
    <row r="709" customFormat="false" ht="15" hidden="false" customHeight="false" outlineLevel="0" collapsed="false">
      <c r="G709" s="92"/>
    </row>
    <row r="710" customFormat="false" ht="15" hidden="false" customHeight="false" outlineLevel="0" collapsed="false">
      <c r="G710" s="92"/>
    </row>
    <row r="711" customFormat="false" ht="15" hidden="false" customHeight="false" outlineLevel="0" collapsed="false">
      <c r="G711" s="92"/>
    </row>
    <row r="712" customFormat="false" ht="15" hidden="false" customHeight="false" outlineLevel="0" collapsed="false">
      <c r="G712" s="92"/>
    </row>
    <row r="713" customFormat="false" ht="15" hidden="false" customHeight="false" outlineLevel="0" collapsed="false">
      <c r="G713" s="92"/>
    </row>
    <row r="714" customFormat="false" ht="15" hidden="false" customHeight="false" outlineLevel="0" collapsed="false">
      <c r="G714" s="92"/>
    </row>
    <row r="715" customFormat="false" ht="15" hidden="false" customHeight="false" outlineLevel="0" collapsed="false">
      <c r="G715" s="92"/>
    </row>
    <row r="716" customFormat="false" ht="15" hidden="false" customHeight="false" outlineLevel="0" collapsed="false">
      <c r="G716" s="92"/>
    </row>
    <row r="717" customFormat="false" ht="15" hidden="false" customHeight="false" outlineLevel="0" collapsed="false">
      <c r="G717" s="92"/>
    </row>
    <row r="718" customFormat="false" ht="15" hidden="false" customHeight="false" outlineLevel="0" collapsed="false">
      <c r="G718" s="92"/>
    </row>
    <row r="719" customFormat="false" ht="15" hidden="false" customHeight="false" outlineLevel="0" collapsed="false">
      <c r="G719" s="92"/>
    </row>
    <row r="720" customFormat="false" ht="15" hidden="false" customHeight="false" outlineLevel="0" collapsed="false">
      <c r="G720" s="92"/>
    </row>
    <row r="721" customFormat="false" ht="15" hidden="false" customHeight="false" outlineLevel="0" collapsed="false">
      <c r="G721" s="92"/>
    </row>
    <row r="722" customFormat="false" ht="15" hidden="false" customHeight="false" outlineLevel="0" collapsed="false">
      <c r="G722" s="92"/>
    </row>
    <row r="723" customFormat="false" ht="15" hidden="false" customHeight="false" outlineLevel="0" collapsed="false">
      <c r="G723" s="92"/>
    </row>
    <row r="724" customFormat="false" ht="15" hidden="false" customHeight="false" outlineLevel="0" collapsed="false">
      <c r="G724" s="92"/>
    </row>
    <row r="725" customFormat="false" ht="15" hidden="false" customHeight="false" outlineLevel="0" collapsed="false">
      <c r="G725" s="92"/>
    </row>
    <row r="726" customFormat="false" ht="15" hidden="false" customHeight="false" outlineLevel="0" collapsed="false">
      <c r="G726" s="92"/>
    </row>
    <row r="727" customFormat="false" ht="15" hidden="false" customHeight="false" outlineLevel="0" collapsed="false">
      <c r="G727" s="92"/>
    </row>
    <row r="728" customFormat="false" ht="15" hidden="false" customHeight="false" outlineLevel="0" collapsed="false">
      <c r="G728" s="92"/>
    </row>
    <row r="729" customFormat="false" ht="15" hidden="false" customHeight="false" outlineLevel="0" collapsed="false">
      <c r="G729" s="92"/>
    </row>
    <row r="730" customFormat="false" ht="15" hidden="false" customHeight="false" outlineLevel="0" collapsed="false">
      <c r="G730" s="92"/>
    </row>
    <row r="731" customFormat="false" ht="15" hidden="false" customHeight="false" outlineLevel="0" collapsed="false">
      <c r="G731" s="92"/>
    </row>
    <row r="732" customFormat="false" ht="15" hidden="false" customHeight="false" outlineLevel="0" collapsed="false">
      <c r="G732" s="92"/>
    </row>
    <row r="733" customFormat="false" ht="15" hidden="false" customHeight="false" outlineLevel="0" collapsed="false">
      <c r="G733" s="92"/>
    </row>
    <row r="734" customFormat="false" ht="15" hidden="false" customHeight="false" outlineLevel="0" collapsed="false">
      <c r="G734" s="92"/>
    </row>
    <row r="735" customFormat="false" ht="15" hidden="false" customHeight="false" outlineLevel="0" collapsed="false">
      <c r="G735" s="92"/>
    </row>
    <row r="736" customFormat="false" ht="15" hidden="false" customHeight="false" outlineLevel="0" collapsed="false">
      <c r="G736" s="92"/>
    </row>
    <row r="737" customFormat="false" ht="15" hidden="false" customHeight="false" outlineLevel="0" collapsed="false">
      <c r="G737" s="92"/>
    </row>
    <row r="738" customFormat="false" ht="15" hidden="false" customHeight="false" outlineLevel="0" collapsed="false">
      <c r="G738" s="92"/>
    </row>
    <row r="739" customFormat="false" ht="15" hidden="false" customHeight="false" outlineLevel="0" collapsed="false">
      <c r="G739" s="92"/>
    </row>
    <row r="740" customFormat="false" ht="15" hidden="false" customHeight="false" outlineLevel="0" collapsed="false">
      <c r="G740" s="92"/>
    </row>
    <row r="741" customFormat="false" ht="15" hidden="false" customHeight="false" outlineLevel="0" collapsed="false">
      <c r="G741" s="92"/>
    </row>
    <row r="742" customFormat="false" ht="15" hidden="false" customHeight="false" outlineLevel="0" collapsed="false">
      <c r="G742" s="92"/>
    </row>
    <row r="743" customFormat="false" ht="15" hidden="false" customHeight="false" outlineLevel="0" collapsed="false">
      <c r="G743" s="92"/>
    </row>
    <row r="744" customFormat="false" ht="15" hidden="false" customHeight="false" outlineLevel="0" collapsed="false">
      <c r="G744" s="92"/>
    </row>
    <row r="745" customFormat="false" ht="15" hidden="false" customHeight="false" outlineLevel="0" collapsed="false">
      <c r="G745" s="92"/>
    </row>
    <row r="746" customFormat="false" ht="15" hidden="false" customHeight="false" outlineLevel="0" collapsed="false">
      <c r="G746" s="92"/>
    </row>
    <row r="747" customFormat="false" ht="15" hidden="false" customHeight="false" outlineLevel="0" collapsed="false">
      <c r="G747" s="92"/>
    </row>
    <row r="748" customFormat="false" ht="15" hidden="false" customHeight="false" outlineLevel="0" collapsed="false">
      <c r="G748" s="92"/>
    </row>
    <row r="749" customFormat="false" ht="15" hidden="false" customHeight="false" outlineLevel="0" collapsed="false">
      <c r="G749" s="92"/>
    </row>
    <row r="750" customFormat="false" ht="15" hidden="false" customHeight="false" outlineLevel="0" collapsed="false">
      <c r="G750" s="92"/>
    </row>
    <row r="751" customFormat="false" ht="15" hidden="false" customHeight="false" outlineLevel="0" collapsed="false">
      <c r="G751" s="92"/>
    </row>
    <row r="752" customFormat="false" ht="15" hidden="false" customHeight="false" outlineLevel="0" collapsed="false">
      <c r="G752" s="92"/>
    </row>
    <row r="753" customFormat="false" ht="15" hidden="false" customHeight="false" outlineLevel="0" collapsed="false">
      <c r="G753" s="92"/>
    </row>
    <row r="754" customFormat="false" ht="15" hidden="false" customHeight="false" outlineLevel="0" collapsed="false">
      <c r="G754" s="92"/>
    </row>
    <row r="755" customFormat="false" ht="15" hidden="false" customHeight="false" outlineLevel="0" collapsed="false">
      <c r="G755" s="92"/>
    </row>
    <row r="756" customFormat="false" ht="15" hidden="false" customHeight="false" outlineLevel="0" collapsed="false">
      <c r="G756" s="92"/>
    </row>
    <row r="757" customFormat="false" ht="15" hidden="false" customHeight="false" outlineLevel="0" collapsed="false">
      <c r="G757" s="92"/>
    </row>
    <row r="758" customFormat="false" ht="15" hidden="false" customHeight="false" outlineLevel="0" collapsed="false">
      <c r="G758" s="92"/>
    </row>
    <row r="759" customFormat="false" ht="15" hidden="false" customHeight="false" outlineLevel="0" collapsed="false">
      <c r="G759" s="92"/>
    </row>
    <row r="760" customFormat="false" ht="15" hidden="false" customHeight="false" outlineLevel="0" collapsed="false">
      <c r="G760" s="92"/>
    </row>
    <row r="761" customFormat="false" ht="15" hidden="false" customHeight="false" outlineLevel="0" collapsed="false">
      <c r="G761" s="92"/>
    </row>
    <row r="762" customFormat="false" ht="15" hidden="false" customHeight="false" outlineLevel="0" collapsed="false">
      <c r="G762" s="92"/>
    </row>
    <row r="763" customFormat="false" ht="15" hidden="false" customHeight="false" outlineLevel="0" collapsed="false">
      <c r="G763" s="92"/>
    </row>
    <row r="764" customFormat="false" ht="15" hidden="false" customHeight="false" outlineLevel="0" collapsed="false">
      <c r="G764" s="92"/>
    </row>
    <row r="765" customFormat="false" ht="15" hidden="false" customHeight="false" outlineLevel="0" collapsed="false">
      <c r="G765" s="92"/>
    </row>
    <row r="766" customFormat="false" ht="15" hidden="false" customHeight="false" outlineLevel="0" collapsed="false">
      <c r="G766" s="92"/>
    </row>
    <row r="767" customFormat="false" ht="15" hidden="false" customHeight="false" outlineLevel="0" collapsed="false">
      <c r="G767" s="92"/>
    </row>
    <row r="768" customFormat="false" ht="15" hidden="false" customHeight="false" outlineLevel="0" collapsed="false">
      <c r="G768" s="92"/>
    </row>
    <row r="769" customFormat="false" ht="15" hidden="false" customHeight="false" outlineLevel="0" collapsed="false">
      <c r="G769" s="92"/>
    </row>
    <row r="770" customFormat="false" ht="15" hidden="false" customHeight="false" outlineLevel="0" collapsed="false">
      <c r="G770" s="92"/>
    </row>
    <row r="771" customFormat="false" ht="15" hidden="false" customHeight="false" outlineLevel="0" collapsed="false">
      <c r="G771" s="92"/>
    </row>
    <row r="772" customFormat="false" ht="15" hidden="false" customHeight="false" outlineLevel="0" collapsed="false">
      <c r="G772" s="92"/>
    </row>
    <row r="773" customFormat="false" ht="15" hidden="false" customHeight="false" outlineLevel="0" collapsed="false">
      <c r="G773" s="92"/>
    </row>
    <row r="774" customFormat="false" ht="15" hidden="false" customHeight="false" outlineLevel="0" collapsed="false">
      <c r="G774" s="92"/>
    </row>
    <row r="775" customFormat="false" ht="15" hidden="false" customHeight="false" outlineLevel="0" collapsed="false">
      <c r="G775" s="92"/>
    </row>
    <row r="776" customFormat="false" ht="15" hidden="false" customHeight="false" outlineLevel="0" collapsed="false">
      <c r="G776" s="92"/>
    </row>
    <row r="777" customFormat="false" ht="15" hidden="false" customHeight="false" outlineLevel="0" collapsed="false">
      <c r="G777" s="92"/>
    </row>
    <row r="778" customFormat="false" ht="15" hidden="false" customHeight="false" outlineLevel="0" collapsed="false">
      <c r="G778" s="92"/>
    </row>
    <row r="779" customFormat="false" ht="15" hidden="false" customHeight="false" outlineLevel="0" collapsed="false">
      <c r="G779" s="92"/>
    </row>
    <row r="780" customFormat="false" ht="15" hidden="false" customHeight="false" outlineLevel="0" collapsed="false">
      <c r="G780" s="92"/>
    </row>
    <row r="781" customFormat="false" ht="15" hidden="false" customHeight="false" outlineLevel="0" collapsed="false">
      <c r="G781" s="92"/>
    </row>
    <row r="782" customFormat="false" ht="15" hidden="false" customHeight="false" outlineLevel="0" collapsed="false">
      <c r="G782" s="92"/>
    </row>
    <row r="783" customFormat="false" ht="15" hidden="false" customHeight="false" outlineLevel="0" collapsed="false">
      <c r="G783" s="92"/>
    </row>
    <row r="784" customFormat="false" ht="15" hidden="false" customHeight="false" outlineLevel="0" collapsed="false">
      <c r="G784" s="92"/>
    </row>
    <row r="785" customFormat="false" ht="15" hidden="false" customHeight="false" outlineLevel="0" collapsed="false">
      <c r="G785" s="92"/>
    </row>
    <row r="786" customFormat="false" ht="15" hidden="false" customHeight="false" outlineLevel="0" collapsed="false">
      <c r="G786" s="92"/>
    </row>
    <row r="787" customFormat="false" ht="15" hidden="false" customHeight="false" outlineLevel="0" collapsed="false">
      <c r="G787" s="92"/>
    </row>
    <row r="788" customFormat="false" ht="15" hidden="false" customHeight="false" outlineLevel="0" collapsed="false">
      <c r="G788" s="92"/>
    </row>
    <row r="789" customFormat="false" ht="15" hidden="false" customHeight="false" outlineLevel="0" collapsed="false">
      <c r="G789" s="92"/>
    </row>
    <row r="790" customFormat="false" ht="15" hidden="false" customHeight="false" outlineLevel="0" collapsed="false">
      <c r="G790" s="92"/>
    </row>
    <row r="791" customFormat="false" ht="15" hidden="false" customHeight="false" outlineLevel="0" collapsed="false">
      <c r="G791" s="92"/>
    </row>
    <row r="792" customFormat="false" ht="15" hidden="false" customHeight="false" outlineLevel="0" collapsed="false">
      <c r="G792" s="92"/>
    </row>
    <row r="793" customFormat="false" ht="15" hidden="false" customHeight="false" outlineLevel="0" collapsed="false">
      <c r="G793" s="92"/>
    </row>
    <row r="794" customFormat="false" ht="15" hidden="false" customHeight="false" outlineLevel="0" collapsed="false">
      <c r="G794" s="92"/>
    </row>
    <row r="795" customFormat="false" ht="15" hidden="false" customHeight="false" outlineLevel="0" collapsed="false">
      <c r="G795" s="92"/>
    </row>
    <row r="796" customFormat="false" ht="15" hidden="false" customHeight="false" outlineLevel="0" collapsed="false">
      <c r="G796" s="92"/>
    </row>
    <row r="797" customFormat="false" ht="15" hidden="false" customHeight="false" outlineLevel="0" collapsed="false">
      <c r="G797" s="92"/>
    </row>
    <row r="798" customFormat="false" ht="15" hidden="false" customHeight="false" outlineLevel="0" collapsed="false">
      <c r="G798" s="92"/>
    </row>
    <row r="799" customFormat="false" ht="15" hidden="false" customHeight="false" outlineLevel="0" collapsed="false">
      <c r="G799" s="92"/>
    </row>
    <row r="800" customFormat="false" ht="15" hidden="false" customHeight="false" outlineLevel="0" collapsed="false">
      <c r="G800" s="92"/>
    </row>
    <row r="801" customFormat="false" ht="15" hidden="false" customHeight="false" outlineLevel="0" collapsed="false">
      <c r="G801" s="92"/>
    </row>
    <row r="802" customFormat="false" ht="15" hidden="false" customHeight="false" outlineLevel="0" collapsed="false">
      <c r="G802" s="92"/>
    </row>
    <row r="803" customFormat="false" ht="15" hidden="false" customHeight="false" outlineLevel="0" collapsed="false">
      <c r="G803" s="92"/>
    </row>
    <row r="804" customFormat="false" ht="15" hidden="false" customHeight="false" outlineLevel="0" collapsed="false">
      <c r="G804" s="92"/>
    </row>
    <row r="805" customFormat="false" ht="15" hidden="false" customHeight="false" outlineLevel="0" collapsed="false">
      <c r="G805" s="92"/>
    </row>
    <row r="806" customFormat="false" ht="15" hidden="false" customHeight="false" outlineLevel="0" collapsed="false">
      <c r="G806" s="92"/>
    </row>
    <row r="807" customFormat="false" ht="15" hidden="false" customHeight="false" outlineLevel="0" collapsed="false">
      <c r="G807" s="92"/>
    </row>
    <row r="808" customFormat="false" ht="15" hidden="false" customHeight="false" outlineLevel="0" collapsed="false">
      <c r="G808" s="92"/>
    </row>
    <row r="809" customFormat="false" ht="15" hidden="false" customHeight="false" outlineLevel="0" collapsed="false">
      <c r="G809" s="92"/>
    </row>
    <row r="810" customFormat="false" ht="15" hidden="false" customHeight="false" outlineLevel="0" collapsed="false">
      <c r="G810" s="92"/>
    </row>
    <row r="811" customFormat="false" ht="15" hidden="false" customHeight="false" outlineLevel="0" collapsed="false">
      <c r="G811" s="92"/>
    </row>
    <row r="812" customFormat="false" ht="15" hidden="false" customHeight="false" outlineLevel="0" collapsed="false">
      <c r="G812" s="92"/>
    </row>
    <row r="813" customFormat="false" ht="15" hidden="false" customHeight="false" outlineLevel="0" collapsed="false">
      <c r="G813" s="92"/>
    </row>
    <row r="814" customFormat="false" ht="15" hidden="false" customHeight="false" outlineLevel="0" collapsed="false">
      <c r="G814" s="92"/>
    </row>
    <row r="815" customFormat="false" ht="15" hidden="false" customHeight="false" outlineLevel="0" collapsed="false">
      <c r="G815" s="92"/>
    </row>
    <row r="816" customFormat="false" ht="15" hidden="false" customHeight="false" outlineLevel="0" collapsed="false">
      <c r="G816" s="92"/>
    </row>
    <row r="817" customFormat="false" ht="15" hidden="false" customHeight="false" outlineLevel="0" collapsed="false">
      <c r="G817" s="92"/>
    </row>
    <row r="818" customFormat="false" ht="15" hidden="false" customHeight="false" outlineLevel="0" collapsed="false">
      <c r="G818" s="92"/>
    </row>
    <row r="819" customFormat="false" ht="15" hidden="false" customHeight="false" outlineLevel="0" collapsed="false">
      <c r="G819" s="92"/>
    </row>
    <row r="820" customFormat="false" ht="15" hidden="false" customHeight="false" outlineLevel="0" collapsed="false">
      <c r="G820" s="92"/>
    </row>
    <row r="821" customFormat="false" ht="15" hidden="false" customHeight="false" outlineLevel="0" collapsed="false">
      <c r="G821" s="92"/>
    </row>
    <row r="822" customFormat="false" ht="15" hidden="false" customHeight="false" outlineLevel="0" collapsed="false">
      <c r="G822" s="92"/>
    </row>
    <row r="823" customFormat="false" ht="15" hidden="false" customHeight="false" outlineLevel="0" collapsed="false">
      <c r="G823" s="92"/>
    </row>
    <row r="824" customFormat="false" ht="15" hidden="false" customHeight="false" outlineLevel="0" collapsed="false">
      <c r="G824" s="92"/>
    </row>
    <row r="825" customFormat="false" ht="15" hidden="false" customHeight="false" outlineLevel="0" collapsed="false">
      <c r="G825" s="92"/>
    </row>
    <row r="826" customFormat="false" ht="15" hidden="false" customHeight="false" outlineLevel="0" collapsed="false">
      <c r="G826" s="92"/>
    </row>
    <row r="827" customFormat="false" ht="15" hidden="false" customHeight="false" outlineLevel="0" collapsed="false">
      <c r="G827" s="92"/>
    </row>
    <row r="828" customFormat="false" ht="15" hidden="false" customHeight="false" outlineLevel="0" collapsed="false">
      <c r="G828" s="92"/>
    </row>
    <row r="829" customFormat="false" ht="15" hidden="false" customHeight="false" outlineLevel="0" collapsed="false">
      <c r="G829" s="92"/>
    </row>
    <row r="830" customFormat="false" ht="15" hidden="false" customHeight="false" outlineLevel="0" collapsed="false">
      <c r="G830" s="92"/>
    </row>
    <row r="831" customFormat="false" ht="15" hidden="false" customHeight="false" outlineLevel="0" collapsed="false">
      <c r="G831" s="92"/>
    </row>
    <row r="832" customFormat="false" ht="15" hidden="false" customHeight="false" outlineLevel="0" collapsed="false">
      <c r="G832" s="92"/>
    </row>
    <row r="833" customFormat="false" ht="15" hidden="false" customHeight="false" outlineLevel="0" collapsed="false">
      <c r="G833" s="92"/>
    </row>
    <row r="834" customFormat="false" ht="15" hidden="false" customHeight="false" outlineLevel="0" collapsed="false">
      <c r="G834" s="92"/>
    </row>
    <row r="835" customFormat="false" ht="15" hidden="false" customHeight="false" outlineLevel="0" collapsed="false">
      <c r="G835" s="92"/>
    </row>
    <row r="836" customFormat="false" ht="15" hidden="false" customHeight="false" outlineLevel="0" collapsed="false">
      <c r="G836" s="92"/>
    </row>
    <row r="837" customFormat="false" ht="15" hidden="false" customHeight="false" outlineLevel="0" collapsed="false">
      <c r="G837" s="92"/>
    </row>
    <row r="838" customFormat="false" ht="15" hidden="false" customHeight="false" outlineLevel="0" collapsed="false">
      <c r="G838" s="92"/>
    </row>
    <row r="839" customFormat="false" ht="15" hidden="false" customHeight="false" outlineLevel="0" collapsed="false">
      <c r="G839" s="92"/>
    </row>
    <row r="840" customFormat="false" ht="15" hidden="false" customHeight="false" outlineLevel="0" collapsed="false">
      <c r="G840" s="92"/>
    </row>
    <row r="841" customFormat="false" ht="15" hidden="false" customHeight="false" outlineLevel="0" collapsed="false">
      <c r="G841" s="92"/>
    </row>
    <row r="842" customFormat="false" ht="15" hidden="false" customHeight="false" outlineLevel="0" collapsed="false">
      <c r="G842" s="92"/>
    </row>
    <row r="843" customFormat="false" ht="15" hidden="false" customHeight="false" outlineLevel="0" collapsed="false">
      <c r="G843" s="92"/>
    </row>
    <row r="844" customFormat="false" ht="15" hidden="false" customHeight="false" outlineLevel="0" collapsed="false">
      <c r="G844" s="92"/>
    </row>
    <row r="845" customFormat="false" ht="15" hidden="false" customHeight="false" outlineLevel="0" collapsed="false">
      <c r="G845" s="92"/>
    </row>
    <row r="846" customFormat="false" ht="15" hidden="false" customHeight="false" outlineLevel="0" collapsed="false">
      <c r="G846" s="92"/>
    </row>
    <row r="847" customFormat="false" ht="15" hidden="false" customHeight="false" outlineLevel="0" collapsed="false">
      <c r="G847" s="92"/>
    </row>
    <row r="848" customFormat="false" ht="15" hidden="false" customHeight="false" outlineLevel="0" collapsed="false">
      <c r="G848" s="92"/>
    </row>
    <row r="849" customFormat="false" ht="15" hidden="false" customHeight="false" outlineLevel="0" collapsed="false">
      <c r="G849" s="92"/>
    </row>
    <row r="850" customFormat="false" ht="15" hidden="false" customHeight="false" outlineLevel="0" collapsed="false">
      <c r="G850" s="92"/>
    </row>
    <row r="851" customFormat="false" ht="15" hidden="false" customHeight="false" outlineLevel="0" collapsed="false">
      <c r="G851" s="92"/>
    </row>
    <row r="852" customFormat="false" ht="15" hidden="false" customHeight="false" outlineLevel="0" collapsed="false">
      <c r="G852" s="92"/>
    </row>
    <row r="853" customFormat="false" ht="15" hidden="false" customHeight="false" outlineLevel="0" collapsed="false">
      <c r="G853" s="92"/>
    </row>
    <row r="854" customFormat="false" ht="15" hidden="false" customHeight="false" outlineLevel="0" collapsed="false">
      <c r="G854" s="92"/>
    </row>
    <row r="855" customFormat="false" ht="15" hidden="false" customHeight="false" outlineLevel="0" collapsed="false">
      <c r="G855" s="92"/>
    </row>
    <row r="856" customFormat="false" ht="15" hidden="false" customHeight="false" outlineLevel="0" collapsed="false">
      <c r="G856" s="92"/>
    </row>
    <row r="857" customFormat="false" ht="15" hidden="false" customHeight="false" outlineLevel="0" collapsed="false">
      <c r="G857" s="92"/>
    </row>
    <row r="858" customFormat="false" ht="15" hidden="false" customHeight="false" outlineLevel="0" collapsed="false">
      <c r="G858" s="92"/>
    </row>
    <row r="859" customFormat="false" ht="15" hidden="false" customHeight="false" outlineLevel="0" collapsed="false">
      <c r="G859" s="92"/>
    </row>
    <row r="860" customFormat="false" ht="15" hidden="false" customHeight="false" outlineLevel="0" collapsed="false">
      <c r="G860" s="92"/>
    </row>
    <row r="861" customFormat="false" ht="15" hidden="false" customHeight="false" outlineLevel="0" collapsed="false">
      <c r="G861" s="92"/>
    </row>
    <row r="862" customFormat="false" ht="15" hidden="false" customHeight="false" outlineLevel="0" collapsed="false">
      <c r="G862" s="92"/>
    </row>
    <row r="863" customFormat="false" ht="15" hidden="false" customHeight="false" outlineLevel="0" collapsed="false">
      <c r="G863" s="92"/>
    </row>
    <row r="864" customFormat="false" ht="15" hidden="false" customHeight="false" outlineLevel="0" collapsed="false">
      <c r="G864" s="92"/>
    </row>
    <row r="865" customFormat="false" ht="15" hidden="false" customHeight="false" outlineLevel="0" collapsed="false">
      <c r="G865" s="92"/>
    </row>
    <row r="866" customFormat="false" ht="15" hidden="false" customHeight="false" outlineLevel="0" collapsed="false">
      <c r="G866" s="92"/>
    </row>
    <row r="867" customFormat="false" ht="15" hidden="false" customHeight="false" outlineLevel="0" collapsed="false">
      <c r="G867" s="92"/>
    </row>
    <row r="868" customFormat="false" ht="15" hidden="false" customHeight="false" outlineLevel="0" collapsed="false">
      <c r="G868" s="92"/>
    </row>
    <row r="869" customFormat="false" ht="15" hidden="false" customHeight="false" outlineLevel="0" collapsed="false">
      <c r="G869" s="92"/>
    </row>
    <row r="870" customFormat="false" ht="15" hidden="false" customHeight="false" outlineLevel="0" collapsed="false">
      <c r="G870" s="92"/>
    </row>
    <row r="871" customFormat="false" ht="15" hidden="false" customHeight="false" outlineLevel="0" collapsed="false">
      <c r="G871" s="92"/>
    </row>
    <row r="872" customFormat="false" ht="15" hidden="false" customHeight="false" outlineLevel="0" collapsed="false">
      <c r="G872" s="92"/>
    </row>
    <row r="873" customFormat="false" ht="15" hidden="false" customHeight="false" outlineLevel="0" collapsed="false">
      <c r="G873" s="92"/>
    </row>
    <row r="874" customFormat="false" ht="15" hidden="false" customHeight="false" outlineLevel="0" collapsed="false">
      <c r="G874" s="92"/>
    </row>
    <row r="875" customFormat="false" ht="15" hidden="false" customHeight="false" outlineLevel="0" collapsed="false">
      <c r="G875" s="92"/>
    </row>
    <row r="876" customFormat="false" ht="15" hidden="false" customHeight="false" outlineLevel="0" collapsed="false">
      <c r="G876" s="92"/>
    </row>
    <row r="877" customFormat="false" ht="15" hidden="false" customHeight="false" outlineLevel="0" collapsed="false">
      <c r="G877" s="92"/>
    </row>
    <row r="878" customFormat="false" ht="15" hidden="false" customHeight="false" outlineLevel="0" collapsed="false">
      <c r="G878" s="92"/>
    </row>
    <row r="879" customFormat="false" ht="15" hidden="false" customHeight="false" outlineLevel="0" collapsed="false">
      <c r="G879" s="92"/>
    </row>
    <row r="880" customFormat="false" ht="15" hidden="false" customHeight="false" outlineLevel="0" collapsed="false">
      <c r="G880" s="92"/>
    </row>
    <row r="881" customFormat="false" ht="15" hidden="false" customHeight="false" outlineLevel="0" collapsed="false">
      <c r="G881" s="92"/>
    </row>
    <row r="882" customFormat="false" ht="15" hidden="false" customHeight="false" outlineLevel="0" collapsed="false">
      <c r="G882" s="92"/>
    </row>
    <row r="883" customFormat="false" ht="15" hidden="false" customHeight="false" outlineLevel="0" collapsed="false">
      <c r="G883" s="92"/>
    </row>
    <row r="884" customFormat="false" ht="15" hidden="false" customHeight="false" outlineLevel="0" collapsed="false">
      <c r="G884" s="92"/>
    </row>
    <row r="885" customFormat="false" ht="15" hidden="false" customHeight="false" outlineLevel="0" collapsed="false">
      <c r="G885" s="92"/>
    </row>
    <row r="886" customFormat="false" ht="15" hidden="false" customHeight="false" outlineLevel="0" collapsed="false">
      <c r="G886" s="92"/>
    </row>
    <row r="887" customFormat="false" ht="15" hidden="false" customHeight="false" outlineLevel="0" collapsed="false">
      <c r="G887" s="92"/>
    </row>
    <row r="888" customFormat="false" ht="15" hidden="false" customHeight="false" outlineLevel="0" collapsed="false">
      <c r="G888" s="92"/>
    </row>
    <row r="889" customFormat="false" ht="15" hidden="false" customHeight="false" outlineLevel="0" collapsed="false">
      <c r="G889" s="92"/>
    </row>
    <row r="890" customFormat="false" ht="15" hidden="false" customHeight="false" outlineLevel="0" collapsed="false">
      <c r="G890" s="92"/>
    </row>
    <row r="891" customFormat="false" ht="15" hidden="false" customHeight="false" outlineLevel="0" collapsed="false">
      <c r="G891" s="92"/>
    </row>
    <row r="892" customFormat="false" ht="15" hidden="false" customHeight="false" outlineLevel="0" collapsed="false">
      <c r="G892" s="92"/>
    </row>
    <row r="893" customFormat="false" ht="15" hidden="false" customHeight="false" outlineLevel="0" collapsed="false">
      <c r="G893" s="92"/>
    </row>
    <row r="894" customFormat="false" ht="15" hidden="false" customHeight="false" outlineLevel="0" collapsed="false">
      <c r="G894" s="92"/>
    </row>
    <row r="895" customFormat="false" ht="15" hidden="false" customHeight="false" outlineLevel="0" collapsed="false">
      <c r="G895" s="92"/>
    </row>
    <row r="896" customFormat="false" ht="15" hidden="false" customHeight="false" outlineLevel="0" collapsed="false">
      <c r="G896" s="92"/>
    </row>
    <row r="897" customFormat="false" ht="15" hidden="false" customHeight="false" outlineLevel="0" collapsed="false">
      <c r="G897" s="92"/>
    </row>
    <row r="898" customFormat="false" ht="15" hidden="false" customHeight="false" outlineLevel="0" collapsed="false">
      <c r="G898" s="92"/>
    </row>
    <row r="899" customFormat="false" ht="15" hidden="false" customHeight="false" outlineLevel="0" collapsed="false">
      <c r="G899" s="92"/>
    </row>
    <row r="900" customFormat="false" ht="15" hidden="false" customHeight="false" outlineLevel="0" collapsed="false">
      <c r="G900" s="92"/>
    </row>
    <row r="901" customFormat="false" ht="15" hidden="false" customHeight="false" outlineLevel="0" collapsed="false">
      <c r="G901" s="92"/>
    </row>
    <row r="902" customFormat="false" ht="15" hidden="false" customHeight="false" outlineLevel="0" collapsed="false">
      <c r="G902" s="92"/>
    </row>
    <row r="903" customFormat="false" ht="15" hidden="false" customHeight="false" outlineLevel="0" collapsed="false">
      <c r="G903" s="92"/>
    </row>
    <row r="904" customFormat="false" ht="15" hidden="false" customHeight="false" outlineLevel="0" collapsed="false">
      <c r="G904" s="92"/>
    </row>
    <row r="905" customFormat="false" ht="15" hidden="false" customHeight="false" outlineLevel="0" collapsed="false">
      <c r="G905" s="92"/>
    </row>
    <row r="906" customFormat="false" ht="15" hidden="false" customHeight="false" outlineLevel="0" collapsed="false">
      <c r="G906" s="92"/>
    </row>
    <row r="907" customFormat="false" ht="15" hidden="false" customHeight="false" outlineLevel="0" collapsed="false">
      <c r="G907" s="92"/>
    </row>
    <row r="908" customFormat="false" ht="15" hidden="false" customHeight="false" outlineLevel="0" collapsed="false">
      <c r="G908" s="92"/>
    </row>
    <row r="909" customFormat="false" ht="15" hidden="false" customHeight="false" outlineLevel="0" collapsed="false">
      <c r="G909" s="92"/>
    </row>
    <row r="910" customFormat="false" ht="15" hidden="false" customHeight="false" outlineLevel="0" collapsed="false">
      <c r="G910" s="92"/>
    </row>
    <row r="911" customFormat="false" ht="15" hidden="false" customHeight="false" outlineLevel="0" collapsed="false">
      <c r="G911" s="92"/>
    </row>
    <row r="912" customFormat="false" ht="15" hidden="false" customHeight="false" outlineLevel="0" collapsed="false">
      <c r="G912" s="92"/>
    </row>
    <row r="913" customFormat="false" ht="15" hidden="false" customHeight="false" outlineLevel="0" collapsed="false">
      <c r="G913" s="92"/>
    </row>
    <row r="914" customFormat="false" ht="15" hidden="false" customHeight="false" outlineLevel="0" collapsed="false">
      <c r="G914" s="92"/>
    </row>
    <row r="915" customFormat="false" ht="15" hidden="false" customHeight="false" outlineLevel="0" collapsed="false">
      <c r="G915" s="92"/>
    </row>
    <row r="916" customFormat="false" ht="15" hidden="false" customHeight="false" outlineLevel="0" collapsed="false">
      <c r="G916" s="92"/>
    </row>
    <row r="917" customFormat="false" ht="15" hidden="false" customHeight="false" outlineLevel="0" collapsed="false">
      <c r="G917" s="92"/>
    </row>
    <row r="918" customFormat="false" ht="15" hidden="false" customHeight="false" outlineLevel="0" collapsed="false">
      <c r="G918" s="92"/>
    </row>
    <row r="919" customFormat="false" ht="15" hidden="false" customHeight="false" outlineLevel="0" collapsed="false">
      <c r="G919" s="92"/>
    </row>
    <row r="920" customFormat="false" ht="15" hidden="false" customHeight="false" outlineLevel="0" collapsed="false">
      <c r="G920" s="92"/>
    </row>
    <row r="921" customFormat="false" ht="15" hidden="false" customHeight="false" outlineLevel="0" collapsed="false">
      <c r="G921" s="92"/>
    </row>
    <row r="922" customFormat="false" ht="15" hidden="false" customHeight="false" outlineLevel="0" collapsed="false">
      <c r="G922" s="92"/>
    </row>
    <row r="923" customFormat="false" ht="15" hidden="false" customHeight="false" outlineLevel="0" collapsed="false">
      <c r="G923" s="92"/>
    </row>
    <row r="924" customFormat="false" ht="15" hidden="false" customHeight="false" outlineLevel="0" collapsed="false">
      <c r="G924" s="92"/>
    </row>
    <row r="925" customFormat="false" ht="15" hidden="false" customHeight="false" outlineLevel="0" collapsed="false">
      <c r="G925" s="92"/>
    </row>
    <row r="926" customFormat="false" ht="15" hidden="false" customHeight="false" outlineLevel="0" collapsed="false">
      <c r="G926" s="92"/>
    </row>
    <row r="927" customFormat="false" ht="15" hidden="false" customHeight="false" outlineLevel="0" collapsed="false">
      <c r="G927" s="92"/>
    </row>
    <row r="928" customFormat="false" ht="15" hidden="false" customHeight="false" outlineLevel="0" collapsed="false">
      <c r="G928" s="92"/>
    </row>
    <row r="929" customFormat="false" ht="15" hidden="false" customHeight="false" outlineLevel="0" collapsed="false">
      <c r="G929" s="92"/>
    </row>
    <row r="930" customFormat="false" ht="15" hidden="false" customHeight="false" outlineLevel="0" collapsed="false">
      <c r="G930" s="92"/>
    </row>
    <row r="931" customFormat="false" ht="15" hidden="false" customHeight="false" outlineLevel="0" collapsed="false">
      <c r="G931" s="92"/>
    </row>
    <row r="932" customFormat="false" ht="15" hidden="false" customHeight="false" outlineLevel="0" collapsed="false">
      <c r="G932" s="92"/>
    </row>
    <row r="933" customFormat="false" ht="15" hidden="false" customHeight="false" outlineLevel="0" collapsed="false">
      <c r="G933" s="92"/>
    </row>
    <row r="934" customFormat="false" ht="15" hidden="false" customHeight="false" outlineLevel="0" collapsed="false">
      <c r="G934" s="92"/>
    </row>
    <row r="935" customFormat="false" ht="15" hidden="false" customHeight="false" outlineLevel="0" collapsed="false">
      <c r="G935" s="92"/>
    </row>
    <row r="936" customFormat="false" ht="15" hidden="false" customHeight="false" outlineLevel="0" collapsed="false">
      <c r="G936" s="92"/>
    </row>
    <row r="937" customFormat="false" ht="15" hidden="false" customHeight="false" outlineLevel="0" collapsed="false">
      <c r="G937" s="92"/>
    </row>
    <row r="938" customFormat="false" ht="15" hidden="false" customHeight="false" outlineLevel="0" collapsed="false">
      <c r="G938" s="92"/>
    </row>
    <row r="939" customFormat="false" ht="15" hidden="false" customHeight="false" outlineLevel="0" collapsed="false">
      <c r="G939" s="92"/>
    </row>
    <row r="940" customFormat="false" ht="15" hidden="false" customHeight="false" outlineLevel="0" collapsed="false">
      <c r="G940" s="92"/>
    </row>
    <row r="941" customFormat="false" ht="15" hidden="false" customHeight="false" outlineLevel="0" collapsed="false">
      <c r="G941" s="92"/>
    </row>
    <row r="942" customFormat="false" ht="15" hidden="false" customHeight="false" outlineLevel="0" collapsed="false">
      <c r="G942" s="92"/>
    </row>
    <row r="943" customFormat="false" ht="15" hidden="false" customHeight="false" outlineLevel="0" collapsed="false">
      <c r="G943" s="92"/>
    </row>
    <row r="944" customFormat="false" ht="15" hidden="false" customHeight="false" outlineLevel="0" collapsed="false">
      <c r="G944" s="92"/>
    </row>
    <row r="945" customFormat="false" ht="15" hidden="false" customHeight="false" outlineLevel="0" collapsed="false">
      <c r="G945" s="92"/>
    </row>
    <row r="946" customFormat="false" ht="15" hidden="false" customHeight="false" outlineLevel="0" collapsed="false">
      <c r="G946" s="92"/>
    </row>
    <row r="947" customFormat="false" ht="15" hidden="false" customHeight="false" outlineLevel="0" collapsed="false">
      <c r="G947" s="92"/>
    </row>
    <row r="948" customFormat="false" ht="15" hidden="false" customHeight="false" outlineLevel="0" collapsed="false">
      <c r="G948" s="92"/>
    </row>
    <row r="949" customFormat="false" ht="15" hidden="false" customHeight="false" outlineLevel="0" collapsed="false">
      <c r="G949" s="92"/>
    </row>
    <row r="950" customFormat="false" ht="15" hidden="false" customHeight="false" outlineLevel="0" collapsed="false">
      <c r="G950" s="92"/>
    </row>
    <row r="951" customFormat="false" ht="15" hidden="false" customHeight="false" outlineLevel="0" collapsed="false">
      <c r="G951" s="92"/>
    </row>
    <row r="952" customFormat="false" ht="15" hidden="false" customHeight="false" outlineLevel="0" collapsed="false">
      <c r="G952" s="92"/>
    </row>
    <row r="953" customFormat="false" ht="15" hidden="false" customHeight="false" outlineLevel="0" collapsed="false">
      <c r="G953" s="92"/>
    </row>
    <row r="954" customFormat="false" ht="15" hidden="false" customHeight="false" outlineLevel="0" collapsed="false">
      <c r="G954" s="92"/>
    </row>
    <row r="955" customFormat="false" ht="15" hidden="false" customHeight="false" outlineLevel="0" collapsed="false">
      <c r="G955" s="92"/>
    </row>
    <row r="956" customFormat="false" ht="15" hidden="false" customHeight="false" outlineLevel="0" collapsed="false">
      <c r="G956" s="92"/>
    </row>
    <row r="957" customFormat="false" ht="15" hidden="false" customHeight="false" outlineLevel="0" collapsed="false">
      <c r="G957" s="92"/>
    </row>
    <row r="958" customFormat="false" ht="15" hidden="false" customHeight="false" outlineLevel="0" collapsed="false">
      <c r="G958" s="92"/>
    </row>
    <row r="959" customFormat="false" ht="15" hidden="false" customHeight="false" outlineLevel="0" collapsed="false">
      <c r="G959" s="92"/>
    </row>
    <row r="960" customFormat="false" ht="15" hidden="false" customHeight="false" outlineLevel="0" collapsed="false">
      <c r="G960" s="92"/>
    </row>
    <row r="961" customFormat="false" ht="15" hidden="false" customHeight="false" outlineLevel="0" collapsed="false">
      <c r="G961" s="92"/>
    </row>
    <row r="962" customFormat="false" ht="15" hidden="false" customHeight="false" outlineLevel="0" collapsed="false">
      <c r="G962" s="92"/>
    </row>
    <row r="963" customFormat="false" ht="15" hidden="false" customHeight="false" outlineLevel="0" collapsed="false">
      <c r="G963" s="92"/>
    </row>
    <row r="964" customFormat="false" ht="15" hidden="false" customHeight="false" outlineLevel="0" collapsed="false">
      <c r="G964" s="92"/>
    </row>
    <row r="965" customFormat="false" ht="15" hidden="false" customHeight="false" outlineLevel="0" collapsed="false">
      <c r="G965" s="92"/>
    </row>
    <row r="966" customFormat="false" ht="15" hidden="false" customHeight="false" outlineLevel="0" collapsed="false">
      <c r="G966" s="92"/>
    </row>
    <row r="967" customFormat="false" ht="15" hidden="false" customHeight="false" outlineLevel="0" collapsed="false">
      <c r="G967" s="92"/>
    </row>
    <row r="968" customFormat="false" ht="15" hidden="false" customHeight="false" outlineLevel="0" collapsed="false">
      <c r="G968" s="92"/>
    </row>
    <row r="969" customFormat="false" ht="15" hidden="false" customHeight="false" outlineLevel="0" collapsed="false">
      <c r="G969" s="92"/>
    </row>
    <row r="970" customFormat="false" ht="15" hidden="false" customHeight="false" outlineLevel="0" collapsed="false">
      <c r="G970" s="92"/>
    </row>
    <row r="971" customFormat="false" ht="15" hidden="false" customHeight="false" outlineLevel="0" collapsed="false">
      <c r="G971" s="92"/>
    </row>
    <row r="972" customFormat="false" ht="15" hidden="false" customHeight="false" outlineLevel="0" collapsed="false">
      <c r="G972" s="92"/>
    </row>
    <row r="973" customFormat="false" ht="15" hidden="false" customHeight="false" outlineLevel="0" collapsed="false">
      <c r="G973" s="92"/>
    </row>
    <row r="974" customFormat="false" ht="15" hidden="false" customHeight="false" outlineLevel="0" collapsed="false">
      <c r="G974" s="92"/>
    </row>
    <row r="975" customFormat="false" ht="15" hidden="false" customHeight="false" outlineLevel="0" collapsed="false">
      <c r="G975" s="92"/>
    </row>
    <row r="976" customFormat="false" ht="15" hidden="false" customHeight="false" outlineLevel="0" collapsed="false">
      <c r="G976" s="92"/>
    </row>
    <row r="977" customFormat="false" ht="15" hidden="false" customHeight="false" outlineLevel="0" collapsed="false">
      <c r="G977" s="92"/>
    </row>
    <row r="978" customFormat="false" ht="15" hidden="false" customHeight="false" outlineLevel="0" collapsed="false">
      <c r="G978" s="92"/>
    </row>
    <row r="979" customFormat="false" ht="15" hidden="false" customHeight="false" outlineLevel="0" collapsed="false">
      <c r="G979" s="92"/>
    </row>
    <row r="980" customFormat="false" ht="15" hidden="false" customHeight="false" outlineLevel="0" collapsed="false">
      <c r="G980" s="92"/>
    </row>
    <row r="981" customFormat="false" ht="15" hidden="false" customHeight="false" outlineLevel="0" collapsed="false">
      <c r="G981" s="92"/>
    </row>
    <row r="982" customFormat="false" ht="15" hidden="false" customHeight="false" outlineLevel="0" collapsed="false">
      <c r="G982" s="92"/>
    </row>
    <row r="983" customFormat="false" ht="15" hidden="false" customHeight="false" outlineLevel="0" collapsed="false">
      <c r="G983" s="92"/>
    </row>
    <row r="984" customFormat="false" ht="15" hidden="false" customHeight="false" outlineLevel="0" collapsed="false">
      <c r="G984" s="92"/>
    </row>
    <row r="985" customFormat="false" ht="15" hidden="false" customHeight="false" outlineLevel="0" collapsed="false">
      <c r="G985" s="92"/>
    </row>
    <row r="986" customFormat="false" ht="15" hidden="false" customHeight="false" outlineLevel="0" collapsed="false">
      <c r="G986" s="92"/>
    </row>
    <row r="987" customFormat="false" ht="15" hidden="false" customHeight="false" outlineLevel="0" collapsed="false">
      <c r="G987" s="92"/>
    </row>
    <row r="988" customFormat="false" ht="15" hidden="false" customHeight="false" outlineLevel="0" collapsed="false">
      <c r="G988" s="92"/>
    </row>
    <row r="989" customFormat="false" ht="15" hidden="false" customHeight="false" outlineLevel="0" collapsed="false">
      <c r="G989" s="92"/>
    </row>
    <row r="990" customFormat="false" ht="15" hidden="false" customHeight="false" outlineLevel="0" collapsed="false">
      <c r="G990" s="92"/>
    </row>
    <row r="991" customFormat="false" ht="15" hidden="false" customHeight="false" outlineLevel="0" collapsed="false">
      <c r="G991" s="92"/>
    </row>
    <row r="992" customFormat="false" ht="15" hidden="false" customHeight="false" outlineLevel="0" collapsed="false">
      <c r="G992" s="92"/>
    </row>
    <row r="993" customFormat="false" ht="15" hidden="false" customHeight="false" outlineLevel="0" collapsed="false">
      <c r="G993" s="92"/>
    </row>
    <row r="994" customFormat="false" ht="15" hidden="false" customHeight="false" outlineLevel="0" collapsed="false">
      <c r="G994" s="92"/>
    </row>
    <row r="995" customFormat="false" ht="15" hidden="false" customHeight="false" outlineLevel="0" collapsed="false">
      <c r="G995" s="92"/>
    </row>
    <row r="996" customFormat="false" ht="15" hidden="false" customHeight="false" outlineLevel="0" collapsed="false">
      <c r="G996" s="92"/>
    </row>
    <row r="997" customFormat="false" ht="15" hidden="false" customHeight="false" outlineLevel="0" collapsed="false">
      <c r="G997" s="92"/>
    </row>
    <row r="998" customFormat="false" ht="15" hidden="false" customHeight="false" outlineLevel="0" collapsed="false">
      <c r="G998" s="92"/>
    </row>
    <row r="999" customFormat="false" ht="15" hidden="false" customHeight="false" outlineLevel="0" collapsed="false">
      <c r="G999" s="92"/>
    </row>
    <row r="1000" customFormat="false" ht="15" hidden="false" customHeight="false" outlineLevel="0" collapsed="false">
      <c r="G1000" s="92"/>
    </row>
    <row r="1001" customFormat="false" ht="15" hidden="false" customHeight="false" outlineLevel="0" collapsed="false">
      <c r="G1001" s="92"/>
    </row>
    <row r="1002" customFormat="false" ht="15" hidden="false" customHeight="false" outlineLevel="0" collapsed="false">
      <c r="G1002" s="92"/>
    </row>
    <row r="1003" customFormat="false" ht="15" hidden="false" customHeight="false" outlineLevel="0" collapsed="false">
      <c r="G1003" s="92"/>
    </row>
    <row r="1004" customFormat="false" ht="15" hidden="false" customHeight="false" outlineLevel="0" collapsed="false">
      <c r="G1004" s="92"/>
    </row>
    <row r="1005" customFormat="false" ht="15" hidden="false" customHeight="false" outlineLevel="0" collapsed="false">
      <c r="G1005" s="92"/>
    </row>
    <row r="1006" customFormat="false" ht="15" hidden="false" customHeight="false" outlineLevel="0" collapsed="false">
      <c r="G1006" s="92"/>
    </row>
    <row r="1007" customFormat="false" ht="15" hidden="false" customHeight="false" outlineLevel="0" collapsed="false">
      <c r="G1007" s="92"/>
    </row>
    <row r="1008" customFormat="false" ht="15" hidden="false" customHeight="false" outlineLevel="0" collapsed="false">
      <c r="G1008" s="92"/>
    </row>
    <row r="1009" customFormat="false" ht="15" hidden="false" customHeight="false" outlineLevel="0" collapsed="false">
      <c r="G1009" s="92"/>
    </row>
    <row r="1010" customFormat="false" ht="15" hidden="false" customHeight="false" outlineLevel="0" collapsed="false">
      <c r="G1010" s="92"/>
    </row>
    <row r="1011" customFormat="false" ht="15" hidden="false" customHeight="false" outlineLevel="0" collapsed="false">
      <c r="G1011" s="92"/>
    </row>
    <row r="1012" customFormat="false" ht="15" hidden="false" customHeight="false" outlineLevel="0" collapsed="false">
      <c r="G1012" s="92"/>
    </row>
    <row r="1013" customFormat="false" ht="15" hidden="false" customHeight="false" outlineLevel="0" collapsed="false">
      <c r="G1013" s="92"/>
    </row>
    <row r="1014" customFormat="false" ht="15" hidden="false" customHeight="false" outlineLevel="0" collapsed="false">
      <c r="G1014" s="92"/>
    </row>
    <row r="1015" customFormat="false" ht="15" hidden="false" customHeight="false" outlineLevel="0" collapsed="false">
      <c r="G1015" s="92"/>
    </row>
    <row r="1016" customFormat="false" ht="15" hidden="false" customHeight="false" outlineLevel="0" collapsed="false">
      <c r="G1016" s="92"/>
    </row>
    <row r="1017" customFormat="false" ht="15" hidden="false" customHeight="false" outlineLevel="0" collapsed="false">
      <c r="G1017" s="92"/>
    </row>
    <row r="1018" customFormat="false" ht="15" hidden="false" customHeight="false" outlineLevel="0" collapsed="false">
      <c r="G1018" s="92"/>
    </row>
    <row r="1019" customFormat="false" ht="15" hidden="false" customHeight="false" outlineLevel="0" collapsed="false">
      <c r="G1019" s="92"/>
    </row>
    <row r="1020" customFormat="false" ht="15" hidden="false" customHeight="false" outlineLevel="0" collapsed="false">
      <c r="G1020" s="92"/>
    </row>
    <row r="1021" customFormat="false" ht="15" hidden="false" customHeight="false" outlineLevel="0" collapsed="false">
      <c r="G1021" s="92"/>
    </row>
    <row r="1022" customFormat="false" ht="15" hidden="false" customHeight="false" outlineLevel="0" collapsed="false">
      <c r="G1022" s="92"/>
    </row>
    <row r="1023" customFormat="false" ht="15" hidden="false" customHeight="false" outlineLevel="0" collapsed="false">
      <c r="G1023" s="92"/>
    </row>
    <row r="1024" customFormat="false" ht="15" hidden="false" customHeight="false" outlineLevel="0" collapsed="false">
      <c r="G1024" s="92"/>
    </row>
    <row r="1025" customFormat="false" ht="15" hidden="false" customHeight="false" outlineLevel="0" collapsed="false">
      <c r="G1025" s="92"/>
    </row>
    <row r="1026" customFormat="false" ht="15" hidden="false" customHeight="false" outlineLevel="0" collapsed="false">
      <c r="G1026" s="92"/>
    </row>
    <row r="1027" customFormat="false" ht="15" hidden="false" customHeight="false" outlineLevel="0" collapsed="false">
      <c r="G1027" s="92"/>
    </row>
    <row r="1028" customFormat="false" ht="15" hidden="false" customHeight="false" outlineLevel="0" collapsed="false">
      <c r="G1028" s="92"/>
    </row>
    <row r="1029" customFormat="false" ht="15" hidden="false" customHeight="false" outlineLevel="0" collapsed="false">
      <c r="G1029" s="92"/>
    </row>
    <row r="1030" customFormat="false" ht="15" hidden="false" customHeight="false" outlineLevel="0" collapsed="false">
      <c r="G1030" s="92"/>
    </row>
    <row r="1031" customFormat="false" ht="15" hidden="false" customHeight="false" outlineLevel="0" collapsed="false">
      <c r="G1031" s="92"/>
    </row>
    <row r="1032" customFormat="false" ht="15" hidden="false" customHeight="false" outlineLevel="0" collapsed="false">
      <c r="G1032" s="92"/>
    </row>
    <row r="1033" customFormat="false" ht="15" hidden="false" customHeight="false" outlineLevel="0" collapsed="false">
      <c r="G1033" s="92"/>
    </row>
    <row r="1034" customFormat="false" ht="15" hidden="false" customHeight="false" outlineLevel="0" collapsed="false">
      <c r="G1034" s="92"/>
    </row>
    <row r="1035" customFormat="false" ht="15" hidden="false" customHeight="false" outlineLevel="0" collapsed="false">
      <c r="G1035" s="92"/>
    </row>
    <row r="1036" customFormat="false" ht="15" hidden="false" customHeight="false" outlineLevel="0" collapsed="false">
      <c r="G1036" s="92"/>
    </row>
    <row r="1037" customFormat="false" ht="15" hidden="false" customHeight="false" outlineLevel="0" collapsed="false">
      <c r="G1037" s="92"/>
    </row>
    <row r="1038" customFormat="false" ht="15" hidden="false" customHeight="false" outlineLevel="0" collapsed="false">
      <c r="G1038" s="92"/>
    </row>
    <row r="1039" customFormat="false" ht="15" hidden="false" customHeight="false" outlineLevel="0" collapsed="false">
      <c r="G1039" s="92"/>
    </row>
    <row r="1040" customFormat="false" ht="15" hidden="false" customHeight="false" outlineLevel="0" collapsed="false">
      <c r="G1040" s="92"/>
    </row>
    <row r="1041" customFormat="false" ht="15" hidden="false" customHeight="false" outlineLevel="0" collapsed="false">
      <c r="G1041" s="92"/>
    </row>
    <row r="1042" customFormat="false" ht="15" hidden="false" customHeight="false" outlineLevel="0" collapsed="false">
      <c r="G1042" s="92"/>
    </row>
    <row r="1043" customFormat="false" ht="15" hidden="false" customHeight="false" outlineLevel="0" collapsed="false">
      <c r="G1043" s="92"/>
    </row>
    <row r="1044" customFormat="false" ht="15" hidden="false" customHeight="false" outlineLevel="0" collapsed="false">
      <c r="G1044" s="92"/>
    </row>
    <row r="1045" customFormat="false" ht="15" hidden="false" customHeight="false" outlineLevel="0" collapsed="false">
      <c r="G1045" s="92"/>
    </row>
    <row r="1046" customFormat="false" ht="15" hidden="false" customHeight="false" outlineLevel="0" collapsed="false">
      <c r="G1046" s="92"/>
    </row>
    <row r="1047" customFormat="false" ht="15" hidden="false" customHeight="false" outlineLevel="0" collapsed="false">
      <c r="G1047" s="92"/>
    </row>
    <row r="1048" customFormat="false" ht="15" hidden="false" customHeight="false" outlineLevel="0" collapsed="false">
      <c r="G1048" s="92"/>
    </row>
    <row r="1049" customFormat="false" ht="15" hidden="false" customHeight="false" outlineLevel="0" collapsed="false">
      <c r="G1049" s="92"/>
    </row>
    <row r="1050" customFormat="false" ht="15" hidden="false" customHeight="false" outlineLevel="0" collapsed="false">
      <c r="G1050" s="92"/>
    </row>
    <row r="1051" customFormat="false" ht="15" hidden="false" customHeight="false" outlineLevel="0" collapsed="false">
      <c r="G1051" s="92"/>
    </row>
    <row r="1052" customFormat="false" ht="15" hidden="false" customHeight="false" outlineLevel="0" collapsed="false">
      <c r="G1052" s="92"/>
    </row>
    <row r="1053" customFormat="false" ht="15" hidden="false" customHeight="false" outlineLevel="0" collapsed="false">
      <c r="G1053" s="92"/>
    </row>
    <row r="1054" customFormat="false" ht="15" hidden="false" customHeight="false" outlineLevel="0" collapsed="false">
      <c r="G1054" s="92"/>
    </row>
    <row r="1055" customFormat="false" ht="15" hidden="false" customHeight="false" outlineLevel="0" collapsed="false">
      <c r="G1055" s="92"/>
    </row>
    <row r="1056" customFormat="false" ht="15" hidden="false" customHeight="false" outlineLevel="0" collapsed="false">
      <c r="G1056" s="92"/>
    </row>
    <row r="1057" customFormat="false" ht="15" hidden="false" customHeight="false" outlineLevel="0" collapsed="false">
      <c r="G1057" s="92"/>
    </row>
    <row r="1058" customFormat="false" ht="15" hidden="false" customHeight="false" outlineLevel="0" collapsed="false">
      <c r="G1058" s="92"/>
    </row>
    <row r="1059" customFormat="false" ht="15" hidden="false" customHeight="false" outlineLevel="0" collapsed="false">
      <c r="G1059" s="92"/>
    </row>
    <row r="1060" customFormat="false" ht="15" hidden="false" customHeight="false" outlineLevel="0" collapsed="false">
      <c r="G1060" s="92"/>
    </row>
    <row r="1061" customFormat="false" ht="15" hidden="false" customHeight="false" outlineLevel="0" collapsed="false">
      <c r="G1061" s="92"/>
    </row>
    <row r="1062" customFormat="false" ht="15" hidden="false" customHeight="false" outlineLevel="0" collapsed="false">
      <c r="G1062" s="92"/>
    </row>
    <row r="1063" customFormat="false" ht="15" hidden="false" customHeight="false" outlineLevel="0" collapsed="false">
      <c r="G1063" s="92"/>
    </row>
    <row r="1064" customFormat="false" ht="15" hidden="false" customHeight="false" outlineLevel="0" collapsed="false">
      <c r="G1064" s="92"/>
    </row>
    <row r="1065" customFormat="false" ht="15" hidden="false" customHeight="false" outlineLevel="0" collapsed="false">
      <c r="G1065" s="92"/>
    </row>
    <row r="1066" customFormat="false" ht="15" hidden="false" customHeight="false" outlineLevel="0" collapsed="false">
      <c r="G1066" s="92"/>
    </row>
    <row r="1067" customFormat="false" ht="15" hidden="false" customHeight="false" outlineLevel="0" collapsed="false">
      <c r="G1067" s="92"/>
    </row>
    <row r="1068" customFormat="false" ht="15" hidden="false" customHeight="false" outlineLevel="0" collapsed="false">
      <c r="G1068" s="92"/>
    </row>
    <row r="1069" customFormat="false" ht="15" hidden="false" customHeight="false" outlineLevel="0" collapsed="false">
      <c r="G1069" s="92"/>
    </row>
    <row r="1070" customFormat="false" ht="15" hidden="false" customHeight="false" outlineLevel="0" collapsed="false">
      <c r="G1070" s="92"/>
    </row>
    <row r="1071" customFormat="false" ht="15" hidden="false" customHeight="false" outlineLevel="0" collapsed="false">
      <c r="G1071" s="92"/>
    </row>
    <row r="1072" customFormat="false" ht="15" hidden="false" customHeight="false" outlineLevel="0" collapsed="false">
      <c r="G1072" s="92"/>
    </row>
    <row r="1073" customFormat="false" ht="15" hidden="false" customHeight="false" outlineLevel="0" collapsed="false">
      <c r="G1073" s="92"/>
    </row>
    <row r="1074" customFormat="false" ht="15" hidden="false" customHeight="false" outlineLevel="0" collapsed="false">
      <c r="G1074" s="92"/>
    </row>
    <row r="1075" customFormat="false" ht="15" hidden="false" customHeight="false" outlineLevel="0" collapsed="false">
      <c r="G1075" s="92"/>
    </row>
    <row r="1076" customFormat="false" ht="15" hidden="false" customHeight="false" outlineLevel="0" collapsed="false">
      <c r="G1076" s="92"/>
    </row>
    <row r="1077" customFormat="false" ht="15" hidden="false" customHeight="false" outlineLevel="0" collapsed="false">
      <c r="G1077" s="92"/>
    </row>
    <row r="1078" customFormat="false" ht="15" hidden="false" customHeight="false" outlineLevel="0" collapsed="false">
      <c r="G1078" s="92"/>
    </row>
    <row r="1079" customFormat="false" ht="15" hidden="false" customHeight="false" outlineLevel="0" collapsed="false">
      <c r="G1079" s="92"/>
    </row>
    <row r="1080" customFormat="false" ht="15" hidden="false" customHeight="false" outlineLevel="0" collapsed="false">
      <c r="G1080" s="92"/>
    </row>
    <row r="1081" customFormat="false" ht="15" hidden="false" customHeight="false" outlineLevel="0" collapsed="false">
      <c r="G1081" s="92"/>
    </row>
    <row r="1082" customFormat="false" ht="15" hidden="false" customHeight="false" outlineLevel="0" collapsed="false">
      <c r="G1082" s="92"/>
    </row>
    <row r="1083" customFormat="false" ht="15" hidden="false" customHeight="false" outlineLevel="0" collapsed="false">
      <c r="G1083" s="92"/>
    </row>
    <row r="1084" customFormat="false" ht="15" hidden="false" customHeight="false" outlineLevel="0" collapsed="false">
      <c r="G1084" s="92"/>
    </row>
    <row r="1085" customFormat="false" ht="15" hidden="false" customHeight="false" outlineLevel="0" collapsed="false">
      <c r="G1085" s="92"/>
    </row>
    <row r="1086" customFormat="false" ht="15" hidden="false" customHeight="false" outlineLevel="0" collapsed="false">
      <c r="G1086" s="92"/>
    </row>
    <row r="1087" customFormat="false" ht="15" hidden="false" customHeight="false" outlineLevel="0" collapsed="false">
      <c r="G1087" s="92"/>
    </row>
    <row r="1088" customFormat="false" ht="15" hidden="false" customHeight="false" outlineLevel="0" collapsed="false">
      <c r="G1088" s="92"/>
    </row>
    <row r="1089" customFormat="false" ht="15" hidden="false" customHeight="false" outlineLevel="0" collapsed="false">
      <c r="G1089" s="92"/>
    </row>
    <row r="1090" customFormat="false" ht="15" hidden="false" customHeight="false" outlineLevel="0" collapsed="false">
      <c r="G1090" s="92"/>
    </row>
    <row r="1091" customFormat="false" ht="15" hidden="false" customHeight="false" outlineLevel="0" collapsed="false">
      <c r="G1091" s="92"/>
    </row>
    <row r="1092" customFormat="false" ht="15" hidden="false" customHeight="false" outlineLevel="0" collapsed="false">
      <c r="G1092" s="92"/>
    </row>
    <row r="1093" customFormat="false" ht="15" hidden="false" customHeight="false" outlineLevel="0" collapsed="false">
      <c r="G1093" s="92"/>
    </row>
    <row r="1094" customFormat="false" ht="15" hidden="false" customHeight="false" outlineLevel="0" collapsed="false">
      <c r="G1094" s="92"/>
    </row>
    <row r="1095" customFormat="false" ht="15" hidden="false" customHeight="false" outlineLevel="0" collapsed="false">
      <c r="G1095" s="92"/>
    </row>
    <row r="1096" customFormat="false" ht="15" hidden="false" customHeight="false" outlineLevel="0" collapsed="false">
      <c r="G1096" s="92"/>
    </row>
    <row r="1097" customFormat="false" ht="15" hidden="false" customHeight="false" outlineLevel="0" collapsed="false">
      <c r="G1097" s="92"/>
    </row>
    <row r="1098" customFormat="false" ht="15" hidden="false" customHeight="false" outlineLevel="0" collapsed="false">
      <c r="G1098" s="92"/>
    </row>
    <row r="1099" customFormat="false" ht="15" hidden="false" customHeight="false" outlineLevel="0" collapsed="false">
      <c r="G1099" s="92"/>
    </row>
    <row r="1100" customFormat="false" ht="15" hidden="false" customHeight="false" outlineLevel="0" collapsed="false">
      <c r="G1100" s="92"/>
    </row>
    <row r="1101" customFormat="false" ht="15" hidden="false" customHeight="false" outlineLevel="0" collapsed="false">
      <c r="G1101" s="92"/>
    </row>
    <row r="1102" customFormat="false" ht="15" hidden="false" customHeight="false" outlineLevel="0" collapsed="false">
      <c r="G1102" s="92"/>
    </row>
    <row r="1103" customFormat="false" ht="15" hidden="false" customHeight="false" outlineLevel="0" collapsed="false">
      <c r="G1103" s="92"/>
    </row>
    <row r="1104" customFormat="false" ht="15" hidden="false" customHeight="false" outlineLevel="0" collapsed="false">
      <c r="G1104" s="92"/>
    </row>
    <row r="1105" customFormat="false" ht="15" hidden="false" customHeight="false" outlineLevel="0" collapsed="false">
      <c r="G1105" s="92"/>
    </row>
    <row r="1106" customFormat="false" ht="15" hidden="false" customHeight="false" outlineLevel="0" collapsed="false">
      <c r="G1106" s="92"/>
    </row>
    <row r="1107" customFormat="false" ht="15" hidden="false" customHeight="false" outlineLevel="0" collapsed="false">
      <c r="G1107" s="92"/>
    </row>
    <row r="1108" customFormat="false" ht="15" hidden="false" customHeight="false" outlineLevel="0" collapsed="false">
      <c r="G1108" s="92"/>
    </row>
    <row r="1109" customFormat="false" ht="15" hidden="false" customHeight="false" outlineLevel="0" collapsed="false">
      <c r="G1109" s="92"/>
    </row>
    <row r="1110" customFormat="false" ht="15" hidden="false" customHeight="false" outlineLevel="0" collapsed="false">
      <c r="G1110" s="92"/>
    </row>
    <row r="1111" customFormat="false" ht="15" hidden="false" customHeight="false" outlineLevel="0" collapsed="false">
      <c r="G1111" s="92"/>
    </row>
    <row r="1112" customFormat="false" ht="15" hidden="false" customHeight="false" outlineLevel="0" collapsed="false">
      <c r="G1112" s="92"/>
    </row>
    <row r="1113" customFormat="false" ht="15" hidden="false" customHeight="false" outlineLevel="0" collapsed="false">
      <c r="G1113" s="92"/>
    </row>
    <row r="1114" customFormat="false" ht="15" hidden="false" customHeight="false" outlineLevel="0" collapsed="false">
      <c r="G1114" s="92"/>
    </row>
    <row r="1115" customFormat="false" ht="15" hidden="false" customHeight="false" outlineLevel="0" collapsed="false">
      <c r="G1115" s="92"/>
    </row>
    <row r="1116" customFormat="false" ht="15" hidden="false" customHeight="false" outlineLevel="0" collapsed="false">
      <c r="G1116" s="92"/>
    </row>
    <row r="1117" customFormat="false" ht="15" hidden="false" customHeight="false" outlineLevel="0" collapsed="false">
      <c r="G1117" s="92"/>
    </row>
    <row r="1118" customFormat="false" ht="15" hidden="false" customHeight="false" outlineLevel="0" collapsed="false">
      <c r="G1118" s="92"/>
    </row>
    <row r="1119" customFormat="false" ht="15" hidden="false" customHeight="false" outlineLevel="0" collapsed="false">
      <c r="G1119" s="92"/>
    </row>
    <row r="1120" customFormat="false" ht="15" hidden="false" customHeight="false" outlineLevel="0" collapsed="false">
      <c r="G1120" s="92"/>
    </row>
    <row r="1121" customFormat="false" ht="15" hidden="false" customHeight="false" outlineLevel="0" collapsed="false">
      <c r="G1121" s="92"/>
    </row>
    <row r="1122" customFormat="false" ht="15" hidden="false" customHeight="false" outlineLevel="0" collapsed="false">
      <c r="G1122" s="92"/>
    </row>
    <row r="1123" customFormat="false" ht="15" hidden="false" customHeight="false" outlineLevel="0" collapsed="false">
      <c r="G1123" s="92"/>
    </row>
    <row r="1124" customFormat="false" ht="15" hidden="false" customHeight="false" outlineLevel="0" collapsed="false">
      <c r="G1124" s="92"/>
    </row>
    <row r="1125" customFormat="false" ht="15" hidden="false" customHeight="false" outlineLevel="0" collapsed="false">
      <c r="G1125" s="92"/>
    </row>
    <row r="1126" customFormat="false" ht="15" hidden="false" customHeight="false" outlineLevel="0" collapsed="false">
      <c r="G1126" s="92"/>
    </row>
    <row r="1127" customFormat="false" ht="15" hidden="false" customHeight="false" outlineLevel="0" collapsed="false">
      <c r="G1127" s="92"/>
    </row>
    <row r="1128" customFormat="false" ht="15" hidden="false" customHeight="false" outlineLevel="0" collapsed="false">
      <c r="G1128" s="92"/>
    </row>
    <row r="1129" customFormat="false" ht="15" hidden="false" customHeight="false" outlineLevel="0" collapsed="false">
      <c r="G1129" s="92"/>
    </row>
    <row r="1130" customFormat="false" ht="15" hidden="false" customHeight="false" outlineLevel="0" collapsed="false">
      <c r="G1130" s="92"/>
    </row>
    <row r="1131" customFormat="false" ht="15" hidden="false" customHeight="false" outlineLevel="0" collapsed="false">
      <c r="G1131" s="92"/>
    </row>
    <row r="1132" customFormat="false" ht="15" hidden="false" customHeight="false" outlineLevel="0" collapsed="false">
      <c r="G1132" s="92"/>
    </row>
    <row r="1133" customFormat="false" ht="15" hidden="false" customHeight="false" outlineLevel="0" collapsed="false">
      <c r="G1133" s="92"/>
    </row>
    <row r="1134" customFormat="false" ht="15" hidden="false" customHeight="false" outlineLevel="0" collapsed="false">
      <c r="G1134" s="92"/>
    </row>
    <row r="1135" customFormat="false" ht="15" hidden="false" customHeight="false" outlineLevel="0" collapsed="false">
      <c r="G1135" s="92"/>
    </row>
    <row r="1136" customFormat="false" ht="15" hidden="false" customHeight="false" outlineLevel="0" collapsed="false">
      <c r="G1136" s="92"/>
    </row>
    <row r="1137" customFormat="false" ht="15" hidden="false" customHeight="false" outlineLevel="0" collapsed="false">
      <c r="G1137" s="92"/>
    </row>
    <row r="1138" customFormat="false" ht="15" hidden="false" customHeight="false" outlineLevel="0" collapsed="false">
      <c r="G1138" s="92"/>
    </row>
    <row r="1139" customFormat="false" ht="15" hidden="false" customHeight="false" outlineLevel="0" collapsed="false">
      <c r="G1139" s="92"/>
    </row>
    <row r="1140" customFormat="false" ht="15" hidden="false" customHeight="false" outlineLevel="0" collapsed="false">
      <c r="G1140" s="92"/>
    </row>
    <row r="1141" customFormat="false" ht="15" hidden="false" customHeight="false" outlineLevel="0" collapsed="false">
      <c r="G1141" s="92"/>
    </row>
    <row r="1142" customFormat="false" ht="15" hidden="false" customHeight="false" outlineLevel="0" collapsed="false">
      <c r="G1142" s="92"/>
    </row>
    <row r="1143" customFormat="false" ht="15" hidden="false" customHeight="false" outlineLevel="0" collapsed="false">
      <c r="G1143" s="92"/>
    </row>
    <row r="1144" customFormat="false" ht="15" hidden="false" customHeight="false" outlineLevel="0" collapsed="false">
      <c r="G1144" s="92"/>
    </row>
    <row r="1145" customFormat="false" ht="15" hidden="false" customHeight="false" outlineLevel="0" collapsed="false">
      <c r="G1145" s="92"/>
    </row>
    <row r="1146" customFormat="false" ht="15" hidden="false" customHeight="false" outlineLevel="0" collapsed="false">
      <c r="G1146" s="92"/>
    </row>
    <row r="1147" customFormat="false" ht="15" hidden="false" customHeight="false" outlineLevel="0" collapsed="false">
      <c r="G1147" s="92"/>
    </row>
    <row r="1148" customFormat="false" ht="15" hidden="false" customHeight="false" outlineLevel="0" collapsed="false">
      <c r="G1148" s="92"/>
    </row>
    <row r="1149" customFormat="false" ht="15" hidden="false" customHeight="false" outlineLevel="0" collapsed="false">
      <c r="G1149" s="92"/>
    </row>
    <row r="1150" customFormat="false" ht="15" hidden="false" customHeight="false" outlineLevel="0" collapsed="false">
      <c r="G1150" s="92"/>
    </row>
    <row r="1151" customFormat="false" ht="15" hidden="false" customHeight="false" outlineLevel="0" collapsed="false">
      <c r="G1151" s="92"/>
    </row>
    <row r="1152" customFormat="false" ht="15" hidden="false" customHeight="false" outlineLevel="0" collapsed="false">
      <c r="G1152" s="92"/>
    </row>
    <row r="1153" customFormat="false" ht="15" hidden="false" customHeight="false" outlineLevel="0" collapsed="false">
      <c r="G1153" s="92"/>
    </row>
    <row r="1154" customFormat="false" ht="15" hidden="false" customHeight="false" outlineLevel="0" collapsed="false">
      <c r="G1154" s="92"/>
    </row>
    <row r="1155" customFormat="false" ht="15" hidden="false" customHeight="false" outlineLevel="0" collapsed="false">
      <c r="G1155" s="92"/>
    </row>
    <row r="1156" customFormat="false" ht="15" hidden="false" customHeight="false" outlineLevel="0" collapsed="false">
      <c r="G1156" s="92"/>
    </row>
    <row r="1157" customFormat="false" ht="15" hidden="false" customHeight="false" outlineLevel="0" collapsed="false">
      <c r="G1157" s="92"/>
    </row>
    <row r="1158" customFormat="false" ht="15" hidden="false" customHeight="false" outlineLevel="0" collapsed="false">
      <c r="G1158" s="92"/>
    </row>
    <row r="1159" customFormat="false" ht="15" hidden="false" customHeight="false" outlineLevel="0" collapsed="false">
      <c r="G1159" s="92"/>
    </row>
    <row r="1160" customFormat="false" ht="15" hidden="false" customHeight="false" outlineLevel="0" collapsed="false">
      <c r="G1160" s="92"/>
    </row>
    <row r="1161" customFormat="false" ht="15" hidden="false" customHeight="false" outlineLevel="0" collapsed="false">
      <c r="G1161" s="92"/>
    </row>
    <row r="1162" customFormat="false" ht="15" hidden="false" customHeight="false" outlineLevel="0" collapsed="false">
      <c r="G1162" s="92"/>
    </row>
    <row r="1163" customFormat="false" ht="15" hidden="false" customHeight="false" outlineLevel="0" collapsed="false">
      <c r="G1163" s="92"/>
    </row>
    <row r="1164" customFormat="false" ht="15" hidden="false" customHeight="false" outlineLevel="0" collapsed="false">
      <c r="G1164" s="92"/>
    </row>
    <row r="1165" customFormat="false" ht="15" hidden="false" customHeight="false" outlineLevel="0" collapsed="false">
      <c r="G1165" s="92"/>
    </row>
    <row r="1166" customFormat="false" ht="15" hidden="false" customHeight="false" outlineLevel="0" collapsed="false">
      <c r="G1166" s="92"/>
    </row>
    <row r="1167" customFormat="false" ht="15" hidden="false" customHeight="false" outlineLevel="0" collapsed="false">
      <c r="G1167" s="92"/>
    </row>
    <row r="1168" customFormat="false" ht="15" hidden="false" customHeight="false" outlineLevel="0" collapsed="false">
      <c r="G1168" s="92"/>
    </row>
    <row r="1169" customFormat="false" ht="15" hidden="false" customHeight="false" outlineLevel="0" collapsed="false">
      <c r="G1169" s="92"/>
    </row>
    <row r="1170" customFormat="false" ht="15" hidden="false" customHeight="false" outlineLevel="0" collapsed="false">
      <c r="G1170" s="92"/>
    </row>
    <row r="1171" customFormat="false" ht="15" hidden="false" customHeight="false" outlineLevel="0" collapsed="false">
      <c r="G1171" s="92"/>
    </row>
    <row r="1172" customFormat="false" ht="15" hidden="false" customHeight="false" outlineLevel="0" collapsed="false">
      <c r="G1172" s="92"/>
    </row>
    <row r="1173" customFormat="false" ht="15" hidden="false" customHeight="false" outlineLevel="0" collapsed="false">
      <c r="G1173" s="92"/>
    </row>
    <row r="1174" customFormat="false" ht="15" hidden="false" customHeight="false" outlineLevel="0" collapsed="false">
      <c r="G1174" s="92"/>
    </row>
    <row r="1175" customFormat="false" ht="15" hidden="false" customHeight="false" outlineLevel="0" collapsed="false">
      <c r="G1175" s="92"/>
    </row>
    <row r="1176" customFormat="false" ht="15" hidden="false" customHeight="false" outlineLevel="0" collapsed="false">
      <c r="G1176" s="92"/>
    </row>
    <row r="1177" customFormat="false" ht="15" hidden="false" customHeight="false" outlineLevel="0" collapsed="false">
      <c r="G1177" s="92"/>
    </row>
    <row r="1178" customFormat="false" ht="15" hidden="false" customHeight="false" outlineLevel="0" collapsed="false">
      <c r="G1178" s="92"/>
    </row>
    <row r="1179" customFormat="false" ht="15" hidden="false" customHeight="false" outlineLevel="0" collapsed="false">
      <c r="G1179" s="92"/>
    </row>
    <row r="1180" customFormat="false" ht="15" hidden="false" customHeight="false" outlineLevel="0" collapsed="false">
      <c r="G1180" s="92"/>
    </row>
    <row r="1181" customFormat="false" ht="15" hidden="false" customHeight="false" outlineLevel="0" collapsed="false">
      <c r="G1181" s="92"/>
    </row>
    <row r="1182" customFormat="false" ht="15" hidden="false" customHeight="false" outlineLevel="0" collapsed="false">
      <c r="G1182" s="92"/>
    </row>
    <row r="1183" customFormat="false" ht="15" hidden="false" customHeight="false" outlineLevel="0" collapsed="false">
      <c r="G1183" s="92"/>
    </row>
    <row r="1184" customFormat="false" ht="15" hidden="false" customHeight="false" outlineLevel="0" collapsed="false">
      <c r="G1184" s="92"/>
    </row>
    <row r="1185" customFormat="false" ht="15" hidden="false" customHeight="false" outlineLevel="0" collapsed="false">
      <c r="G1185" s="92"/>
    </row>
    <row r="1186" customFormat="false" ht="15" hidden="false" customHeight="false" outlineLevel="0" collapsed="false">
      <c r="G1186" s="92"/>
    </row>
    <row r="1187" customFormat="false" ht="15" hidden="false" customHeight="false" outlineLevel="0" collapsed="false">
      <c r="G1187" s="92"/>
    </row>
    <row r="1188" customFormat="false" ht="15" hidden="false" customHeight="false" outlineLevel="0" collapsed="false">
      <c r="G1188" s="92"/>
    </row>
    <row r="1189" customFormat="false" ht="15" hidden="false" customHeight="false" outlineLevel="0" collapsed="false">
      <c r="G1189" s="92"/>
    </row>
    <row r="1190" customFormat="false" ht="15" hidden="false" customHeight="false" outlineLevel="0" collapsed="false">
      <c r="G1190" s="92"/>
    </row>
    <row r="1191" customFormat="false" ht="15" hidden="false" customHeight="false" outlineLevel="0" collapsed="false">
      <c r="G1191" s="92"/>
    </row>
    <row r="1192" customFormat="false" ht="15" hidden="false" customHeight="false" outlineLevel="0" collapsed="false">
      <c r="G1192" s="92"/>
    </row>
    <row r="1193" customFormat="false" ht="15" hidden="false" customHeight="false" outlineLevel="0" collapsed="false">
      <c r="G1193" s="92"/>
    </row>
    <row r="1194" customFormat="false" ht="15" hidden="false" customHeight="false" outlineLevel="0" collapsed="false">
      <c r="G1194" s="92"/>
    </row>
    <row r="1195" customFormat="false" ht="15" hidden="false" customHeight="false" outlineLevel="0" collapsed="false">
      <c r="G1195" s="92"/>
    </row>
    <row r="1196" customFormat="false" ht="15" hidden="false" customHeight="false" outlineLevel="0" collapsed="false">
      <c r="G1196" s="92"/>
    </row>
    <row r="1197" customFormat="false" ht="15" hidden="false" customHeight="false" outlineLevel="0" collapsed="false">
      <c r="G1197" s="92"/>
    </row>
    <row r="1198" customFormat="false" ht="15" hidden="false" customHeight="false" outlineLevel="0" collapsed="false">
      <c r="G1198" s="92"/>
    </row>
    <row r="1199" customFormat="false" ht="15" hidden="false" customHeight="false" outlineLevel="0" collapsed="false">
      <c r="G1199" s="92"/>
    </row>
    <row r="1200" customFormat="false" ht="15" hidden="false" customHeight="false" outlineLevel="0" collapsed="false">
      <c r="G1200" s="92"/>
    </row>
    <row r="1201" customFormat="false" ht="15" hidden="false" customHeight="false" outlineLevel="0" collapsed="false">
      <c r="G1201" s="92"/>
    </row>
    <row r="1202" customFormat="false" ht="15" hidden="false" customHeight="false" outlineLevel="0" collapsed="false">
      <c r="G1202" s="92"/>
    </row>
    <row r="1203" customFormat="false" ht="15" hidden="false" customHeight="false" outlineLevel="0" collapsed="false">
      <c r="G1203" s="92"/>
    </row>
    <row r="1204" customFormat="false" ht="15" hidden="false" customHeight="false" outlineLevel="0" collapsed="false">
      <c r="G1204" s="92"/>
    </row>
    <row r="1205" customFormat="false" ht="15" hidden="false" customHeight="false" outlineLevel="0" collapsed="false">
      <c r="G1205" s="92"/>
    </row>
    <row r="1206" customFormat="false" ht="15" hidden="false" customHeight="false" outlineLevel="0" collapsed="false">
      <c r="G1206" s="92"/>
    </row>
    <row r="1207" customFormat="false" ht="15" hidden="false" customHeight="false" outlineLevel="0" collapsed="false">
      <c r="G1207" s="92"/>
    </row>
    <row r="1208" customFormat="false" ht="15" hidden="false" customHeight="false" outlineLevel="0" collapsed="false">
      <c r="G1208" s="92"/>
    </row>
    <row r="1209" customFormat="false" ht="15" hidden="false" customHeight="false" outlineLevel="0" collapsed="false">
      <c r="G1209" s="92"/>
    </row>
    <row r="1210" customFormat="false" ht="15" hidden="false" customHeight="false" outlineLevel="0" collapsed="false">
      <c r="G1210" s="92"/>
    </row>
    <row r="1211" customFormat="false" ht="15" hidden="false" customHeight="false" outlineLevel="0" collapsed="false">
      <c r="G1211" s="92"/>
    </row>
    <row r="1212" customFormat="false" ht="15" hidden="false" customHeight="false" outlineLevel="0" collapsed="false">
      <c r="G1212" s="92"/>
    </row>
    <row r="1213" customFormat="false" ht="15" hidden="false" customHeight="false" outlineLevel="0" collapsed="false">
      <c r="G1213" s="92"/>
    </row>
    <row r="1214" customFormat="false" ht="15" hidden="false" customHeight="false" outlineLevel="0" collapsed="false">
      <c r="G1214" s="92"/>
    </row>
    <row r="1215" customFormat="false" ht="15" hidden="false" customHeight="false" outlineLevel="0" collapsed="false">
      <c r="G1215" s="92"/>
    </row>
    <row r="1216" customFormat="false" ht="15" hidden="false" customHeight="false" outlineLevel="0" collapsed="false">
      <c r="G1216" s="92"/>
    </row>
    <row r="1217" customFormat="false" ht="15" hidden="false" customHeight="false" outlineLevel="0" collapsed="false">
      <c r="G1217" s="92"/>
    </row>
    <row r="1218" customFormat="false" ht="15" hidden="false" customHeight="false" outlineLevel="0" collapsed="false">
      <c r="G1218" s="92"/>
    </row>
    <row r="1219" customFormat="false" ht="15" hidden="false" customHeight="false" outlineLevel="0" collapsed="false">
      <c r="G1219" s="92"/>
    </row>
    <row r="1220" customFormat="false" ht="15" hidden="false" customHeight="false" outlineLevel="0" collapsed="false">
      <c r="G1220" s="92"/>
    </row>
    <row r="1221" customFormat="false" ht="15" hidden="false" customHeight="false" outlineLevel="0" collapsed="false">
      <c r="G1221" s="92"/>
    </row>
    <row r="1222" customFormat="false" ht="15" hidden="false" customHeight="false" outlineLevel="0" collapsed="false">
      <c r="G1222" s="92"/>
    </row>
    <row r="1223" customFormat="false" ht="15" hidden="false" customHeight="false" outlineLevel="0" collapsed="false">
      <c r="G1223" s="92"/>
    </row>
    <row r="1224" customFormat="false" ht="15" hidden="false" customHeight="false" outlineLevel="0" collapsed="false">
      <c r="G1224" s="92"/>
    </row>
    <row r="1225" customFormat="false" ht="15" hidden="false" customHeight="false" outlineLevel="0" collapsed="false">
      <c r="G1225" s="92"/>
    </row>
    <row r="1226" customFormat="false" ht="15" hidden="false" customHeight="false" outlineLevel="0" collapsed="false">
      <c r="G1226" s="92"/>
    </row>
    <row r="1227" customFormat="false" ht="15" hidden="false" customHeight="false" outlineLevel="0" collapsed="false">
      <c r="G1227" s="92"/>
    </row>
    <row r="1228" customFormat="false" ht="15" hidden="false" customHeight="false" outlineLevel="0" collapsed="false">
      <c r="G1228" s="92"/>
    </row>
    <row r="1229" customFormat="false" ht="15" hidden="false" customHeight="false" outlineLevel="0" collapsed="false">
      <c r="G1229" s="92"/>
    </row>
    <row r="1230" customFormat="false" ht="15" hidden="false" customHeight="false" outlineLevel="0" collapsed="false">
      <c r="G1230" s="92"/>
    </row>
    <row r="1231" customFormat="false" ht="15" hidden="false" customHeight="false" outlineLevel="0" collapsed="false">
      <c r="G1231" s="92"/>
    </row>
    <row r="1232" customFormat="false" ht="15" hidden="false" customHeight="false" outlineLevel="0" collapsed="false">
      <c r="G1232" s="92"/>
    </row>
    <row r="1233" customFormat="false" ht="15" hidden="false" customHeight="false" outlineLevel="0" collapsed="false">
      <c r="G1233" s="92"/>
    </row>
    <row r="1234" customFormat="false" ht="15" hidden="false" customHeight="false" outlineLevel="0" collapsed="false">
      <c r="G1234" s="92"/>
    </row>
    <row r="1235" customFormat="false" ht="15" hidden="false" customHeight="false" outlineLevel="0" collapsed="false">
      <c r="G1235" s="92"/>
    </row>
    <row r="1236" customFormat="false" ht="15" hidden="false" customHeight="false" outlineLevel="0" collapsed="false">
      <c r="G1236" s="92"/>
    </row>
    <row r="1237" customFormat="false" ht="15" hidden="false" customHeight="false" outlineLevel="0" collapsed="false">
      <c r="G1237" s="92"/>
    </row>
    <row r="1238" customFormat="false" ht="15" hidden="false" customHeight="false" outlineLevel="0" collapsed="false">
      <c r="G1238" s="92"/>
    </row>
    <row r="1239" customFormat="false" ht="15" hidden="false" customHeight="false" outlineLevel="0" collapsed="false">
      <c r="G1239" s="92"/>
    </row>
    <row r="1240" customFormat="false" ht="15" hidden="false" customHeight="false" outlineLevel="0" collapsed="false">
      <c r="G1240" s="92"/>
    </row>
    <row r="1241" customFormat="false" ht="15" hidden="false" customHeight="false" outlineLevel="0" collapsed="false"/>
    <row r="1242" customFormat="false" ht="15" hidden="false" customHeight="false" outlineLevel="0" collapsed="false"/>
    <row r="1243" customFormat="false" ht="15" hidden="false" customHeight="false" outlineLevel="0" collapsed="false"/>
    <row r="1244" customFormat="false" ht="15" hidden="false" customHeight="false" outlineLevel="0" collapsed="false"/>
    <row r="1245" customFormat="false" ht="15" hidden="false" customHeight="false" outlineLevel="0" collapsed="false"/>
    <row r="1246" customFormat="false" ht="15" hidden="false" customHeight="false" outlineLevel="0" collapsed="false"/>
    <row r="1247" customFormat="false" ht="15" hidden="false" customHeight="false" outlineLevel="0" collapsed="false"/>
    <row r="1248" customFormat="false" ht="15" hidden="false" customHeight="false" outlineLevel="0" collapsed="false"/>
    <row r="1249" customFormat="false" ht="15" hidden="false" customHeight="false" outlineLevel="0" collapsed="false"/>
    <row r="1250" customFormat="false" ht="15" hidden="false" customHeight="false" outlineLevel="0" collapsed="false"/>
    <row r="1251" customFormat="false" ht="15" hidden="false" customHeight="false" outlineLevel="0" collapsed="false"/>
    <row r="1252" customFormat="false" ht="15" hidden="false" customHeight="false" outlineLevel="0" collapsed="false"/>
    <row r="1253" customFormat="false" ht="15" hidden="false" customHeight="false" outlineLevel="0" collapsed="false"/>
    <row r="1254" customFormat="false" ht="15" hidden="false" customHeight="false" outlineLevel="0" collapsed="false"/>
    <row r="1255" customFormat="false" ht="15" hidden="false" customHeight="false" outlineLevel="0" collapsed="false"/>
    <row r="1256" customFormat="false" ht="15" hidden="false" customHeight="false" outlineLevel="0" collapsed="false"/>
    <row r="1257" customFormat="false" ht="15" hidden="false" customHeight="false" outlineLevel="0" collapsed="false"/>
    <row r="1258" customFormat="false" ht="15" hidden="false" customHeight="false" outlineLevel="0" collapsed="false"/>
    <row r="1259" customFormat="false" ht="15" hidden="false" customHeight="false" outlineLevel="0" collapsed="false"/>
    <row r="1260" customFormat="false" ht="15" hidden="false" customHeight="false" outlineLevel="0" collapsed="false"/>
    <row r="1261" customFormat="false" ht="15" hidden="false" customHeight="false" outlineLevel="0" collapsed="false"/>
    <row r="1262" customFormat="false" ht="15" hidden="false" customHeight="false" outlineLevel="0" collapsed="false"/>
    <row r="1263" customFormat="false" ht="15" hidden="false" customHeight="false" outlineLevel="0" collapsed="false"/>
    <row r="1264" customFormat="false" ht="15" hidden="false" customHeight="false" outlineLevel="0" collapsed="false"/>
    <row r="1265" customFormat="false" ht="15" hidden="false" customHeight="false" outlineLevel="0" collapsed="false"/>
    <row r="1266" customFormat="false" ht="15" hidden="false" customHeight="false" outlineLevel="0" collapsed="false"/>
    <row r="1267" customFormat="false" ht="15" hidden="false" customHeight="false" outlineLevel="0" collapsed="false"/>
    <row r="1268" customFormat="false" ht="15" hidden="false" customHeight="false" outlineLevel="0" collapsed="false"/>
    <row r="1269" customFormat="false" ht="15" hidden="false" customHeight="false" outlineLevel="0" collapsed="false"/>
    <row r="1270" customFormat="false" ht="15" hidden="false" customHeight="false" outlineLevel="0" collapsed="false"/>
    <row r="1271" customFormat="false" ht="15" hidden="false" customHeight="false" outlineLevel="0" collapsed="false"/>
    <row r="1272" customFormat="false" ht="15" hidden="false" customHeight="false" outlineLevel="0" collapsed="false"/>
    <row r="1273" customFormat="false" ht="15" hidden="false" customHeight="false" outlineLevel="0" collapsed="false"/>
    <row r="1274" customFormat="false" ht="15" hidden="false" customHeight="false" outlineLevel="0" collapsed="false"/>
    <row r="1275" customFormat="false" ht="15" hidden="false" customHeight="false" outlineLevel="0" collapsed="false"/>
    <row r="1276" customFormat="false" ht="15" hidden="false" customHeight="false" outlineLevel="0" collapsed="false"/>
    <row r="1277" customFormat="false" ht="15" hidden="false" customHeight="false" outlineLevel="0" collapsed="false"/>
    <row r="1278" customFormat="false" ht="15" hidden="false" customHeight="false" outlineLevel="0" collapsed="false"/>
    <row r="1279" customFormat="false" ht="15" hidden="false" customHeight="false" outlineLevel="0" collapsed="false"/>
    <row r="1280" customFormat="false" ht="15" hidden="false" customHeight="false" outlineLevel="0" collapsed="false"/>
    <row r="1281" customFormat="false" ht="15" hidden="false" customHeight="false" outlineLevel="0" collapsed="false"/>
    <row r="1282" customFormat="false" ht="15" hidden="false" customHeight="false" outlineLevel="0" collapsed="false"/>
    <row r="1283" customFormat="false" ht="15" hidden="false" customHeight="false" outlineLevel="0" collapsed="false"/>
    <row r="1284" customFormat="false" ht="15" hidden="false" customHeight="false" outlineLevel="0" collapsed="false"/>
    <row r="1285" customFormat="false" ht="15" hidden="false" customHeight="false" outlineLevel="0" collapsed="false"/>
    <row r="1286" customFormat="false" ht="15" hidden="false" customHeight="false" outlineLevel="0" collapsed="false"/>
    <row r="1287" customFormat="false" ht="15" hidden="false" customHeight="false" outlineLevel="0" collapsed="false"/>
    <row r="1288" customFormat="false" ht="15" hidden="false" customHeight="false" outlineLevel="0" collapsed="false"/>
    <row r="1289" customFormat="false" ht="15" hidden="false" customHeight="false" outlineLevel="0" collapsed="false"/>
    <row r="1290" customFormat="false" ht="15" hidden="false" customHeight="false" outlineLevel="0" collapsed="false"/>
    <row r="1291" customFormat="false" ht="15" hidden="false" customHeight="false" outlineLevel="0" collapsed="false"/>
    <row r="1292" customFormat="false" ht="15" hidden="false" customHeight="false" outlineLevel="0" collapsed="false"/>
    <row r="1293" customFormat="false" ht="15" hidden="false" customHeight="false" outlineLevel="0" collapsed="false"/>
    <row r="1294" customFormat="false" ht="15" hidden="false" customHeight="false" outlineLevel="0" collapsed="false"/>
    <row r="1295" customFormat="false" ht="15" hidden="false" customHeight="false" outlineLevel="0" collapsed="false"/>
    <row r="1296" customFormat="false" ht="15" hidden="false" customHeight="false" outlineLevel="0" collapsed="false"/>
    <row r="1297" customFormat="false" ht="15" hidden="false" customHeight="false" outlineLevel="0" collapsed="false"/>
    <row r="1298" customFormat="false" ht="15" hidden="false" customHeight="false" outlineLevel="0" collapsed="false"/>
    <row r="1299" customFormat="false" ht="15" hidden="false" customHeight="false" outlineLevel="0" collapsed="false"/>
    <row r="1300" customFormat="false" ht="15" hidden="false" customHeight="false" outlineLevel="0" collapsed="false"/>
    <row r="1301" customFormat="false" ht="15" hidden="false" customHeight="false" outlineLevel="0" collapsed="false"/>
    <row r="1302" customFormat="false" ht="15" hidden="false" customHeight="false" outlineLevel="0" collapsed="false"/>
    <row r="1303" customFormat="false" ht="15" hidden="false" customHeight="false" outlineLevel="0" collapsed="false"/>
    <row r="1304" customFormat="false" ht="15" hidden="false" customHeight="false" outlineLevel="0" collapsed="false"/>
    <row r="1305" customFormat="false" ht="15" hidden="false" customHeight="false" outlineLevel="0" collapsed="false"/>
    <row r="1306" customFormat="false" ht="15" hidden="false" customHeight="false" outlineLevel="0" collapsed="false"/>
    <row r="1307" customFormat="false" ht="15" hidden="false" customHeight="false" outlineLevel="0" collapsed="false"/>
    <row r="1308" customFormat="false" ht="15" hidden="false" customHeight="false" outlineLevel="0" collapsed="false"/>
    <row r="1309" customFormat="false" ht="15" hidden="false" customHeight="false" outlineLevel="0" collapsed="false"/>
    <row r="1310" customFormat="false" ht="15" hidden="false" customHeight="false" outlineLevel="0" collapsed="false"/>
    <row r="1311" customFormat="false" ht="15" hidden="false" customHeight="false" outlineLevel="0" collapsed="false"/>
    <row r="1312" customFormat="false" ht="15" hidden="false" customHeight="false" outlineLevel="0" collapsed="false"/>
    <row r="1313" customFormat="false" ht="15" hidden="false" customHeight="false" outlineLevel="0" collapsed="false"/>
    <row r="1314" customFormat="false" ht="15" hidden="false" customHeight="false" outlineLevel="0" collapsed="false"/>
    <row r="1315" customFormat="false" ht="15" hidden="false" customHeight="false" outlineLevel="0" collapsed="false"/>
    <row r="1316" customFormat="false" ht="15" hidden="false" customHeight="false" outlineLevel="0" collapsed="false"/>
    <row r="1317" customFormat="false" ht="15" hidden="false" customHeight="false" outlineLevel="0" collapsed="false"/>
    <row r="1318" customFormat="false" ht="15" hidden="false" customHeight="false" outlineLevel="0" collapsed="false"/>
    <row r="1319" customFormat="false" ht="15" hidden="false" customHeight="false" outlineLevel="0" collapsed="false"/>
    <row r="1320" customFormat="false" ht="15" hidden="false" customHeight="false" outlineLevel="0" collapsed="false"/>
    <row r="1321" customFormat="false" ht="15" hidden="false" customHeight="false" outlineLevel="0" collapsed="false"/>
    <row r="1322" customFormat="false" ht="15" hidden="false" customHeight="false" outlineLevel="0" collapsed="false"/>
    <row r="1323" customFormat="false" ht="15" hidden="false" customHeight="false" outlineLevel="0" collapsed="false"/>
    <row r="1324" customFormat="false" ht="15" hidden="false" customHeight="false" outlineLevel="0" collapsed="false"/>
    <row r="1325" customFormat="false" ht="15" hidden="false" customHeight="false" outlineLevel="0" collapsed="false"/>
    <row r="1326" customFormat="false" ht="15" hidden="false" customHeight="false" outlineLevel="0" collapsed="false"/>
    <row r="1327" customFormat="false" ht="15" hidden="false" customHeight="false" outlineLevel="0" collapsed="false"/>
    <row r="1328" customFormat="false" ht="15" hidden="false" customHeight="false" outlineLevel="0" collapsed="false"/>
    <row r="1329" customFormat="false" ht="15" hidden="false" customHeight="false" outlineLevel="0" collapsed="false"/>
    <row r="1330" customFormat="false" ht="15" hidden="false" customHeight="false" outlineLevel="0" collapsed="false"/>
    <row r="1331" customFormat="false" ht="15" hidden="false" customHeight="false" outlineLevel="0" collapsed="false"/>
    <row r="1332" customFormat="false" ht="15" hidden="false" customHeight="false" outlineLevel="0" collapsed="false"/>
    <row r="1333" customFormat="false" ht="15" hidden="false" customHeight="false" outlineLevel="0" collapsed="false"/>
    <row r="1334" customFormat="false" ht="15" hidden="false" customHeight="false" outlineLevel="0" collapsed="false"/>
    <row r="1335" customFormat="false" ht="15" hidden="false" customHeight="false" outlineLevel="0" collapsed="false"/>
    <row r="1336" customFormat="false" ht="15" hidden="false" customHeight="false" outlineLevel="0" collapsed="false"/>
    <row r="1337" customFormat="false" ht="15" hidden="false" customHeight="false" outlineLevel="0" collapsed="false"/>
    <row r="1338" customFormat="false" ht="15" hidden="false" customHeight="false" outlineLevel="0" collapsed="false"/>
    <row r="1339" customFormat="false" ht="15" hidden="false" customHeight="false" outlineLevel="0" collapsed="false"/>
    <row r="1340" customFormat="false" ht="15" hidden="false" customHeight="false" outlineLevel="0" collapsed="false"/>
    <row r="1341" customFormat="false" ht="15" hidden="false" customHeight="false" outlineLevel="0" collapsed="false"/>
    <row r="1342" customFormat="false" ht="15" hidden="false" customHeight="false" outlineLevel="0" collapsed="false"/>
    <row r="1343" customFormat="false" ht="15" hidden="false" customHeight="false" outlineLevel="0" collapsed="false"/>
    <row r="1344" customFormat="false" ht="15" hidden="false" customHeight="false" outlineLevel="0" collapsed="false"/>
    <row r="1345" customFormat="false" ht="15" hidden="false" customHeight="false" outlineLevel="0" collapsed="false"/>
    <row r="1346" customFormat="false" ht="15" hidden="false" customHeight="false" outlineLevel="0" collapsed="false"/>
    <row r="1347" customFormat="false" ht="15" hidden="false" customHeight="false" outlineLevel="0" collapsed="false"/>
    <row r="1348" customFormat="false" ht="15" hidden="false" customHeight="false" outlineLevel="0" collapsed="false"/>
    <row r="1349" customFormat="false" ht="15" hidden="false" customHeight="false" outlineLevel="0" collapsed="false"/>
    <row r="1350" customFormat="false" ht="15" hidden="false" customHeight="false" outlineLevel="0" collapsed="false"/>
    <row r="1351" customFormat="false" ht="15" hidden="false" customHeight="false" outlineLevel="0" collapsed="false"/>
    <row r="1352" customFormat="false" ht="15" hidden="false" customHeight="false" outlineLevel="0" collapsed="false"/>
    <row r="1353" customFormat="false" ht="15" hidden="false" customHeight="false" outlineLevel="0" collapsed="false"/>
    <row r="1354" customFormat="false" ht="15" hidden="false" customHeight="false" outlineLevel="0" collapsed="false"/>
    <row r="1355" customFormat="false" ht="15" hidden="false" customHeight="false" outlineLevel="0" collapsed="false"/>
    <row r="1356" customFormat="false" ht="15" hidden="false" customHeight="false" outlineLevel="0" collapsed="false"/>
    <row r="1357" customFormat="false" ht="15" hidden="false" customHeight="false" outlineLevel="0" collapsed="false"/>
    <row r="1358" customFormat="false" ht="15" hidden="false" customHeight="false" outlineLevel="0" collapsed="false"/>
    <row r="1359" customFormat="false" ht="15" hidden="false" customHeight="false" outlineLevel="0" collapsed="false"/>
    <row r="1360" customFormat="false" ht="15" hidden="false" customHeight="false" outlineLevel="0" collapsed="false"/>
    <row r="1361" customFormat="false" ht="15" hidden="false" customHeight="false" outlineLevel="0" collapsed="false"/>
    <row r="1362" customFormat="false" ht="15" hidden="false" customHeight="false" outlineLevel="0" collapsed="false"/>
    <row r="1363" customFormat="false" ht="15" hidden="false" customHeight="false" outlineLevel="0" collapsed="false"/>
    <row r="1364" customFormat="false" ht="15" hidden="false" customHeight="false" outlineLevel="0" collapsed="false"/>
    <row r="1365" customFormat="false" ht="15" hidden="false" customHeight="false" outlineLevel="0" collapsed="false"/>
    <row r="1366" customFormat="false" ht="15" hidden="false" customHeight="false" outlineLevel="0" collapsed="false"/>
    <row r="1367" customFormat="false" ht="15" hidden="false" customHeight="false" outlineLevel="0" collapsed="false"/>
    <row r="1368" customFormat="false" ht="15" hidden="false" customHeight="false" outlineLevel="0" collapsed="false"/>
    <row r="1369" customFormat="false" ht="15" hidden="false" customHeight="false" outlineLevel="0" collapsed="false"/>
    <row r="1370" customFormat="false" ht="15" hidden="false" customHeight="false" outlineLevel="0" collapsed="false"/>
    <row r="1371" customFormat="false" ht="15" hidden="false" customHeight="false" outlineLevel="0" collapsed="false"/>
    <row r="1372" customFormat="false" ht="15" hidden="false" customHeight="false" outlineLevel="0" collapsed="false"/>
    <row r="1373" customFormat="false" ht="15" hidden="false" customHeight="false" outlineLevel="0" collapsed="false"/>
    <row r="1374" customFormat="false" ht="15" hidden="false" customHeight="false" outlineLevel="0" collapsed="false"/>
    <row r="1375" customFormat="false" ht="15" hidden="false" customHeight="false" outlineLevel="0" collapsed="false"/>
    <row r="1376" customFormat="false" ht="15" hidden="false" customHeight="false" outlineLevel="0" collapsed="false"/>
    <row r="1377" customFormat="false" ht="15" hidden="false" customHeight="false" outlineLevel="0" collapsed="false"/>
    <row r="1378" customFormat="false" ht="15" hidden="false" customHeight="false" outlineLevel="0" collapsed="false"/>
    <row r="1379" customFormat="false" ht="15" hidden="false" customHeight="false" outlineLevel="0" collapsed="false"/>
    <row r="1380" customFormat="false" ht="15" hidden="false" customHeight="false" outlineLevel="0" collapsed="false"/>
    <row r="1381" customFormat="false" ht="15" hidden="false" customHeight="false" outlineLevel="0" collapsed="false"/>
    <row r="1382" customFormat="false" ht="15" hidden="false" customHeight="false" outlineLevel="0" collapsed="false"/>
    <row r="1383" customFormat="false" ht="15" hidden="false" customHeight="false" outlineLevel="0" collapsed="false"/>
    <row r="1384" customFormat="false" ht="15" hidden="false" customHeight="false" outlineLevel="0" collapsed="false"/>
    <row r="1385" customFormat="false" ht="15" hidden="false" customHeight="false" outlineLevel="0" collapsed="false"/>
    <row r="1386" customFormat="false" ht="15" hidden="false" customHeight="false" outlineLevel="0" collapsed="false"/>
    <row r="1387" customFormat="false" ht="15" hidden="false" customHeight="false" outlineLevel="0" collapsed="false"/>
    <row r="1388" customFormat="false" ht="15" hidden="false" customHeight="false" outlineLevel="0" collapsed="false"/>
    <row r="1389" customFormat="false" ht="15" hidden="false" customHeight="false" outlineLevel="0" collapsed="false"/>
    <row r="1390" customFormat="false" ht="15" hidden="false" customHeight="false" outlineLevel="0" collapsed="false"/>
    <row r="1391" customFormat="false" ht="15" hidden="false" customHeight="false" outlineLevel="0" collapsed="false"/>
    <row r="1392" customFormat="false" ht="15" hidden="false" customHeight="false" outlineLevel="0" collapsed="false"/>
    <row r="1393" customFormat="false" ht="15" hidden="false" customHeight="false" outlineLevel="0" collapsed="false"/>
    <row r="1394" customFormat="false" ht="15" hidden="false" customHeight="false" outlineLevel="0" collapsed="false"/>
    <row r="1395" customFormat="false" ht="15" hidden="false" customHeight="false" outlineLevel="0" collapsed="false"/>
    <row r="1396" customFormat="false" ht="15" hidden="false" customHeight="false" outlineLevel="0" collapsed="false"/>
    <row r="1397" customFormat="false" ht="15" hidden="false" customHeight="false" outlineLevel="0" collapsed="false"/>
    <row r="1398" customFormat="false" ht="15" hidden="false" customHeight="false" outlineLevel="0" collapsed="false"/>
    <row r="1399" customFormat="false" ht="15" hidden="false" customHeight="false" outlineLevel="0" collapsed="false"/>
    <row r="1400" customFormat="false" ht="15" hidden="false" customHeight="false" outlineLevel="0" collapsed="false"/>
    <row r="1401" customFormat="false" ht="15" hidden="false" customHeight="false" outlineLevel="0" collapsed="false"/>
    <row r="1402" customFormat="false" ht="15" hidden="false" customHeight="false" outlineLevel="0" collapsed="false"/>
    <row r="1403" customFormat="false" ht="15" hidden="false" customHeight="false" outlineLevel="0" collapsed="false"/>
    <row r="1404" customFormat="false" ht="15" hidden="false" customHeight="false" outlineLevel="0" collapsed="false"/>
    <row r="1405" customFormat="false" ht="15" hidden="false" customHeight="false" outlineLevel="0" collapsed="false"/>
    <row r="1406" customFormat="false" ht="15" hidden="false" customHeight="false" outlineLevel="0" collapsed="false"/>
    <row r="1407" customFormat="false" ht="15" hidden="false" customHeight="false" outlineLevel="0" collapsed="false"/>
    <row r="1408" customFormat="false" ht="15" hidden="false" customHeight="false" outlineLevel="0" collapsed="false"/>
    <row r="1409" customFormat="false" ht="15" hidden="false" customHeight="false" outlineLevel="0" collapsed="false"/>
    <row r="1410" customFormat="false" ht="15" hidden="false" customHeight="false" outlineLevel="0" collapsed="false"/>
    <row r="1411" customFormat="false" ht="15" hidden="false" customHeight="false" outlineLevel="0" collapsed="false"/>
    <row r="1412" customFormat="false" ht="15" hidden="false" customHeight="false" outlineLevel="0" collapsed="false"/>
    <row r="1413" customFormat="false" ht="15" hidden="false" customHeight="false" outlineLevel="0" collapsed="false"/>
    <row r="1414" customFormat="false" ht="15" hidden="false" customHeight="false" outlineLevel="0" collapsed="false"/>
    <row r="1415" customFormat="false" ht="15" hidden="false" customHeight="false" outlineLevel="0" collapsed="false"/>
    <row r="1416" customFormat="false" ht="15" hidden="false" customHeight="false" outlineLevel="0" collapsed="false"/>
    <row r="1417" customFormat="false" ht="15" hidden="false" customHeight="false" outlineLevel="0" collapsed="false"/>
    <row r="1418" customFormat="false" ht="15" hidden="false" customHeight="false" outlineLevel="0" collapsed="false"/>
    <row r="1419" customFormat="false" ht="15" hidden="false" customHeight="false" outlineLevel="0" collapsed="false"/>
    <row r="1420" customFormat="false" ht="15" hidden="false" customHeight="false" outlineLevel="0" collapsed="false"/>
    <row r="1421" customFormat="false" ht="15" hidden="false" customHeight="false" outlineLevel="0" collapsed="false"/>
    <row r="1422" customFormat="false" ht="15" hidden="false" customHeight="false" outlineLevel="0" collapsed="false"/>
    <row r="1423" customFormat="false" ht="15" hidden="false" customHeight="false" outlineLevel="0" collapsed="false"/>
    <row r="1424" customFormat="false" ht="15" hidden="false" customHeight="false" outlineLevel="0" collapsed="false"/>
    <row r="1425" customFormat="false" ht="15" hidden="false" customHeight="false" outlineLevel="0" collapsed="false"/>
    <row r="1426" customFormat="false" ht="15" hidden="false" customHeight="false" outlineLevel="0" collapsed="false"/>
    <row r="1427" customFormat="false" ht="15" hidden="false" customHeight="false" outlineLevel="0" collapsed="false"/>
    <row r="1428" customFormat="false" ht="15" hidden="false" customHeight="false" outlineLevel="0" collapsed="false"/>
    <row r="1429" customFormat="false" ht="15" hidden="false" customHeight="false" outlineLevel="0" collapsed="false"/>
    <row r="1430" customFormat="false" ht="15" hidden="false" customHeight="false" outlineLevel="0" collapsed="false"/>
    <row r="1431" customFormat="false" ht="15" hidden="false" customHeight="false" outlineLevel="0" collapsed="false"/>
    <row r="1432" customFormat="false" ht="15" hidden="false" customHeight="false" outlineLevel="0" collapsed="false"/>
    <row r="1433" customFormat="false" ht="15" hidden="false" customHeight="false" outlineLevel="0" collapsed="false"/>
    <row r="1434" customFormat="false" ht="15" hidden="false" customHeight="false" outlineLevel="0" collapsed="false"/>
    <row r="1435" customFormat="false" ht="15" hidden="false" customHeight="false" outlineLevel="0" collapsed="false"/>
    <row r="1436" customFormat="false" ht="15" hidden="false" customHeight="false" outlineLevel="0" collapsed="false"/>
    <row r="1437" customFormat="false" ht="15" hidden="false" customHeight="false" outlineLevel="0" collapsed="false"/>
    <row r="1438" customFormat="false" ht="15" hidden="false" customHeight="false" outlineLevel="0" collapsed="false"/>
    <row r="1439" customFormat="false" ht="15" hidden="false" customHeight="false" outlineLevel="0" collapsed="false"/>
    <row r="1440" customFormat="false" ht="15" hidden="false" customHeight="false" outlineLevel="0" collapsed="false"/>
    <row r="1441" customFormat="false" ht="15" hidden="false" customHeight="false" outlineLevel="0" collapsed="false"/>
    <row r="1442" customFormat="false" ht="15" hidden="false" customHeight="false" outlineLevel="0" collapsed="false"/>
    <row r="1443" customFormat="false" ht="15" hidden="false" customHeight="false" outlineLevel="0" collapsed="false"/>
    <row r="1444" customFormat="false" ht="15" hidden="false" customHeight="false" outlineLevel="0" collapsed="false"/>
    <row r="1445" customFormat="false" ht="15" hidden="false" customHeight="false" outlineLevel="0" collapsed="false"/>
    <row r="1446" customFormat="false" ht="15" hidden="false" customHeight="false" outlineLevel="0" collapsed="false"/>
    <row r="1447" customFormat="false" ht="15" hidden="false" customHeight="false" outlineLevel="0" collapsed="false"/>
    <row r="1448" customFormat="false" ht="15" hidden="false" customHeight="false" outlineLevel="0" collapsed="false"/>
    <row r="1449" customFormat="false" ht="15" hidden="false" customHeight="false" outlineLevel="0" collapsed="false"/>
    <row r="1450" customFormat="false" ht="15" hidden="false" customHeight="false" outlineLevel="0" collapsed="false"/>
    <row r="1451" customFormat="false" ht="15" hidden="false" customHeight="false" outlineLevel="0" collapsed="false"/>
    <row r="1452" customFormat="false" ht="15" hidden="false" customHeight="false" outlineLevel="0" collapsed="false"/>
    <row r="1453" customFormat="false" ht="15" hidden="false" customHeight="false" outlineLevel="0" collapsed="false"/>
    <row r="1454" customFormat="false" ht="15" hidden="false" customHeight="false" outlineLevel="0" collapsed="false"/>
    <row r="1455" customFormat="false" ht="15" hidden="false" customHeight="false" outlineLevel="0" collapsed="false"/>
    <row r="1456" customFormat="false" ht="15" hidden="false" customHeight="false" outlineLevel="0" collapsed="false"/>
    <row r="1457" customFormat="false" ht="15" hidden="false" customHeight="false" outlineLevel="0" collapsed="false"/>
    <row r="1458" customFormat="false" ht="15" hidden="false" customHeight="false" outlineLevel="0" collapsed="false"/>
    <row r="1459" customFormat="false" ht="15" hidden="false" customHeight="false" outlineLevel="0" collapsed="false"/>
    <row r="1460" customFormat="false" ht="15" hidden="false" customHeight="false" outlineLevel="0" collapsed="false"/>
    <row r="1461" customFormat="false" ht="15" hidden="false" customHeight="false" outlineLevel="0" collapsed="false"/>
    <row r="1462" customFormat="false" ht="15" hidden="false" customHeight="false" outlineLevel="0" collapsed="false"/>
    <row r="1463" customFormat="false" ht="15" hidden="false" customHeight="false" outlineLevel="0" collapsed="false"/>
    <row r="1464" customFormat="false" ht="15" hidden="false" customHeight="false" outlineLevel="0" collapsed="false"/>
    <row r="1465" customFormat="false" ht="15" hidden="false" customHeight="false" outlineLevel="0" collapsed="false"/>
    <row r="1466" customFormat="false" ht="15" hidden="false" customHeight="false" outlineLevel="0" collapsed="false"/>
    <row r="1467" customFormat="false" ht="15" hidden="false" customHeight="false" outlineLevel="0" collapsed="false"/>
    <row r="1468" customFormat="false" ht="15" hidden="false" customHeight="false" outlineLevel="0" collapsed="false"/>
    <row r="1469" customFormat="false" ht="15" hidden="false" customHeight="false" outlineLevel="0" collapsed="false"/>
    <row r="1470" customFormat="false" ht="15" hidden="false" customHeight="false" outlineLevel="0" collapsed="false"/>
    <row r="1471" customFormat="false" ht="15" hidden="false" customHeight="false" outlineLevel="0" collapsed="false"/>
    <row r="1472" customFormat="false" ht="15" hidden="false" customHeight="false" outlineLevel="0" collapsed="false"/>
    <row r="1473" customFormat="false" ht="15" hidden="false" customHeight="false" outlineLevel="0" collapsed="false"/>
    <row r="1474" customFormat="false" ht="15" hidden="false" customHeight="false" outlineLevel="0" collapsed="false"/>
    <row r="1475" customFormat="false" ht="15" hidden="false" customHeight="false" outlineLevel="0" collapsed="false"/>
    <row r="1476" customFormat="false" ht="15" hidden="false" customHeight="false" outlineLevel="0" collapsed="false"/>
    <row r="1477" customFormat="false" ht="15" hidden="false" customHeight="false" outlineLevel="0" collapsed="false"/>
    <row r="1478" customFormat="false" ht="15" hidden="false" customHeight="false" outlineLevel="0" collapsed="false"/>
    <row r="1479" customFormat="false" ht="15" hidden="false" customHeight="false" outlineLevel="0" collapsed="false"/>
    <row r="1480" customFormat="false" ht="15" hidden="false" customHeight="false" outlineLevel="0" collapsed="false"/>
    <row r="1481" customFormat="false" ht="15" hidden="false" customHeight="false" outlineLevel="0" collapsed="false"/>
    <row r="1482" customFormat="false" ht="15" hidden="false" customHeight="false" outlineLevel="0" collapsed="false"/>
    <row r="1483" customFormat="false" ht="15" hidden="false" customHeight="false" outlineLevel="0" collapsed="false"/>
    <row r="1484" customFormat="false" ht="15" hidden="false" customHeight="false" outlineLevel="0" collapsed="false"/>
    <row r="1485" customFormat="false" ht="15" hidden="false" customHeight="false" outlineLevel="0" collapsed="false"/>
    <row r="1486" customFormat="false" ht="15" hidden="false" customHeight="false" outlineLevel="0" collapsed="false"/>
    <row r="1487" customFormat="false" ht="15" hidden="false" customHeight="false" outlineLevel="0" collapsed="false"/>
    <row r="1488" customFormat="false" ht="15" hidden="false" customHeight="false" outlineLevel="0" collapsed="false"/>
    <row r="1489" customFormat="false" ht="15" hidden="false" customHeight="false" outlineLevel="0" collapsed="false"/>
    <row r="1490" customFormat="false" ht="15" hidden="false" customHeight="false" outlineLevel="0" collapsed="false"/>
    <row r="1491" customFormat="false" ht="15" hidden="false" customHeight="false" outlineLevel="0" collapsed="false"/>
    <row r="1492" customFormat="false" ht="15" hidden="false" customHeight="false" outlineLevel="0" collapsed="false"/>
    <row r="1493" customFormat="false" ht="15" hidden="false" customHeight="false" outlineLevel="0" collapsed="false"/>
    <row r="1494" customFormat="false" ht="15" hidden="false" customHeight="false" outlineLevel="0" collapsed="false"/>
    <row r="1495" customFormat="false" ht="15" hidden="false" customHeight="false" outlineLevel="0" collapsed="false"/>
    <row r="1496" customFormat="false" ht="15" hidden="false" customHeight="false" outlineLevel="0" collapsed="false"/>
    <row r="1497" customFormat="false" ht="15" hidden="false" customHeight="false" outlineLevel="0" collapsed="false"/>
    <row r="1498" customFormat="false" ht="15" hidden="false" customHeight="false" outlineLevel="0" collapsed="false"/>
    <row r="1499" customFormat="false" ht="15" hidden="false" customHeight="false" outlineLevel="0" collapsed="false"/>
    <row r="1500" customFormat="false" ht="15" hidden="false" customHeight="false" outlineLevel="0" collapsed="false"/>
    <row r="1501" customFormat="false" ht="15" hidden="false" customHeight="false" outlineLevel="0" collapsed="false"/>
    <row r="1502" customFormat="false" ht="15" hidden="false" customHeight="false" outlineLevel="0" collapsed="false"/>
    <row r="1503" customFormat="false" ht="15" hidden="false" customHeight="false" outlineLevel="0" collapsed="false"/>
    <row r="1504" customFormat="false" ht="15" hidden="false" customHeight="false" outlineLevel="0" collapsed="false"/>
    <row r="1505" customFormat="false" ht="15" hidden="false" customHeight="false" outlineLevel="0" collapsed="false"/>
    <row r="1506" customFormat="false" ht="15" hidden="false" customHeight="false" outlineLevel="0" collapsed="false"/>
    <row r="1507" customFormat="false" ht="15" hidden="false" customHeight="false" outlineLevel="0" collapsed="false"/>
    <row r="1508" customFormat="false" ht="15" hidden="false" customHeight="false" outlineLevel="0" collapsed="false"/>
    <row r="1509" customFormat="false" ht="15" hidden="false" customHeight="false" outlineLevel="0" collapsed="false"/>
    <row r="1510" customFormat="false" ht="15" hidden="false" customHeight="false" outlineLevel="0" collapsed="false"/>
    <row r="1511" customFormat="false" ht="15" hidden="false" customHeight="false" outlineLevel="0" collapsed="false"/>
    <row r="1512" customFormat="false" ht="15" hidden="false" customHeight="false" outlineLevel="0" collapsed="false"/>
    <row r="1513" customFormat="false" ht="15" hidden="false" customHeight="false" outlineLevel="0" collapsed="false"/>
    <row r="1514" customFormat="false" ht="15" hidden="false" customHeight="false" outlineLevel="0" collapsed="false"/>
    <row r="1515" customFormat="false" ht="15" hidden="false" customHeight="false" outlineLevel="0" collapsed="false"/>
    <row r="1516" customFormat="false" ht="15" hidden="false" customHeight="false" outlineLevel="0" collapsed="false"/>
    <row r="1517" customFormat="false" ht="15" hidden="false" customHeight="false" outlineLevel="0" collapsed="false"/>
    <row r="1518" customFormat="false" ht="15" hidden="false" customHeight="false" outlineLevel="0" collapsed="false"/>
    <row r="1519" customFormat="false" ht="15" hidden="false" customHeight="false" outlineLevel="0" collapsed="false"/>
    <row r="1520" customFormat="false" ht="15" hidden="false" customHeight="false" outlineLevel="0" collapsed="false"/>
    <row r="1521" customFormat="false" ht="15" hidden="false" customHeight="false" outlineLevel="0" collapsed="false"/>
    <row r="1522" customFormat="false" ht="15" hidden="false" customHeight="false" outlineLevel="0" collapsed="false"/>
    <row r="1523" customFormat="false" ht="15" hidden="false" customHeight="false" outlineLevel="0" collapsed="false"/>
    <row r="1524" customFormat="false" ht="15" hidden="false" customHeight="false" outlineLevel="0" collapsed="false"/>
    <row r="1525" customFormat="false" ht="15" hidden="false" customHeight="false" outlineLevel="0" collapsed="false"/>
    <row r="1526" customFormat="false" ht="15" hidden="false" customHeight="false" outlineLevel="0" collapsed="false"/>
    <row r="1527" customFormat="false" ht="15" hidden="false" customHeight="false" outlineLevel="0" collapsed="false"/>
    <row r="1528" customFormat="false" ht="15" hidden="false" customHeight="false" outlineLevel="0" collapsed="false"/>
    <row r="1529" customFormat="false" ht="15" hidden="false" customHeight="false" outlineLevel="0" collapsed="false"/>
    <row r="1530" customFormat="false" ht="15" hidden="false" customHeight="false" outlineLevel="0" collapsed="false"/>
    <row r="1531" customFormat="false" ht="15" hidden="false" customHeight="false" outlineLevel="0" collapsed="false"/>
    <row r="1532" customFormat="false" ht="15" hidden="false" customHeight="false" outlineLevel="0" collapsed="false"/>
    <row r="1533" customFormat="false" ht="15" hidden="false" customHeight="false" outlineLevel="0" collapsed="false"/>
    <row r="1534" customFormat="false" ht="15" hidden="false" customHeight="false" outlineLevel="0" collapsed="false"/>
    <row r="1535" customFormat="false" ht="15" hidden="false" customHeight="false" outlineLevel="0" collapsed="false"/>
    <row r="1536" customFormat="false" ht="15" hidden="false" customHeight="false" outlineLevel="0" collapsed="false"/>
    <row r="1537" customFormat="false" ht="15" hidden="false" customHeight="false" outlineLevel="0" collapsed="false"/>
    <row r="1538" customFormat="false" ht="15" hidden="false" customHeight="false" outlineLevel="0" collapsed="false"/>
    <row r="1539" customFormat="false" ht="15" hidden="false" customHeight="false" outlineLevel="0" collapsed="false"/>
    <row r="1540" customFormat="false" ht="15" hidden="false" customHeight="false" outlineLevel="0" collapsed="false"/>
    <row r="1541" customFormat="false" ht="15" hidden="false" customHeight="false" outlineLevel="0" collapsed="false"/>
    <row r="1542" customFormat="false" ht="15" hidden="false" customHeight="false" outlineLevel="0" collapsed="false"/>
    <row r="1543" customFormat="false" ht="15" hidden="false" customHeight="false" outlineLevel="0" collapsed="false"/>
    <row r="1544" customFormat="false" ht="15" hidden="false" customHeight="false" outlineLevel="0" collapsed="false"/>
    <row r="1545" customFormat="false" ht="15" hidden="false" customHeight="false" outlineLevel="0" collapsed="false"/>
    <row r="1546" customFormat="false" ht="15" hidden="false" customHeight="false" outlineLevel="0" collapsed="false"/>
    <row r="1547" customFormat="false" ht="15" hidden="false" customHeight="false" outlineLevel="0" collapsed="false"/>
    <row r="1548" customFormat="false" ht="15" hidden="false" customHeight="false" outlineLevel="0" collapsed="false"/>
    <row r="1549" customFormat="false" ht="15" hidden="false" customHeight="false" outlineLevel="0" collapsed="false"/>
    <row r="1550" customFormat="false" ht="15" hidden="false" customHeight="false" outlineLevel="0" collapsed="false"/>
    <row r="1551" customFormat="false" ht="15" hidden="false" customHeight="false" outlineLevel="0" collapsed="false"/>
    <row r="1552" customFormat="false" ht="15" hidden="false" customHeight="false" outlineLevel="0" collapsed="false"/>
    <row r="1553" customFormat="false" ht="15" hidden="false" customHeight="false" outlineLevel="0" collapsed="false"/>
    <row r="1554" customFormat="false" ht="15" hidden="false" customHeight="false" outlineLevel="0" collapsed="false"/>
    <row r="1555" customFormat="false" ht="15" hidden="false" customHeight="false" outlineLevel="0" collapsed="false"/>
    <row r="1556" customFormat="false" ht="15" hidden="false" customHeight="false" outlineLevel="0" collapsed="false"/>
    <row r="1557" customFormat="false" ht="15" hidden="false" customHeight="false" outlineLevel="0" collapsed="false"/>
    <row r="1558" customFormat="false" ht="15" hidden="false" customHeight="false" outlineLevel="0" collapsed="false"/>
    <row r="1559" customFormat="false" ht="15" hidden="false" customHeight="false" outlineLevel="0" collapsed="false"/>
    <row r="1560" customFormat="false" ht="15" hidden="false" customHeight="false" outlineLevel="0" collapsed="false"/>
    <row r="1561" customFormat="false" ht="15" hidden="false" customHeight="false" outlineLevel="0" collapsed="false"/>
    <row r="1562" customFormat="false" ht="15" hidden="false" customHeight="false" outlineLevel="0" collapsed="false"/>
    <row r="1563" customFormat="false" ht="15" hidden="false" customHeight="false" outlineLevel="0" collapsed="false"/>
    <row r="1564" customFormat="false" ht="15" hidden="false" customHeight="false" outlineLevel="0" collapsed="false"/>
    <row r="1565" customFormat="false" ht="15" hidden="false" customHeight="false" outlineLevel="0" collapsed="false"/>
    <row r="1566" customFormat="false" ht="15" hidden="false" customHeight="false" outlineLevel="0" collapsed="false"/>
    <row r="1567" customFormat="false" ht="15" hidden="false" customHeight="false" outlineLevel="0" collapsed="false"/>
    <row r="1568" customFormat="false" ht="15" hidden="false" customHeight="false" outlineLevel="0" collapsed="false"/>
    <row r="1569" customFormat="false" ht="15" hidden="false" customHeight="false" outlineLevel="0" collapsed="false"/>
    <row r="1570" customFormat="false" ht="15" hidden="false" customHeight="false" outlineLevel="0" collapsed="false"/>
    <row r="1571" customFormat="false" ht="15" hidden="false" customHeight="false" outlineLevel="0" collapsed="false"/>
    <row r="1572" customFormat="false" ht="15" hidden="false" customHeight="false" outlineLevel="0" collapsed="false"/>
    <row r="1573" customFormat="false" ht="15" hidden="false" customHeight="false" outlineLevel="0" collapsed="false"/>
    <row r="1574" customFormat="false" ht="15" hidden="false" customHeight="false" outlineLevel="0" collapsed="false"/>
    <row r="1575" customFormat="false" ht="15" hidden="false" customHeight="false" outlineLevel="0" collapsed="false"/>
    <row r="1576" customFormat="false" ht="15" hidden="false" customHeight="false" outlineLevel="0" collapsed="false"/>
    <row r="1577" customFormat="false" ht="15" hidden="false" customHeight="false" outlineLevel="0" collapsed="false"/>
    <row r="1578" customFormat="false" ht="15" hidden="false" customHeight="false" outlineLevel="0" collapsed="false"/>
    <row r="1579" customFormat="false" ht="15" hidden="false" customHeight="false" outlineLevel="0" collapsed="false"/>
    <row r="1580" customFormat="false" ht="15" hidden="false" customHeight="false" outlineLevel="0" collapsed="false"/>
    <row r="1581" customFormat="false" ht="15" hidden="false" customHeight="false" outlineLevel="0" collapsed="false"/>
    <row r="1582" customFormat="false" ht="15" hidden="false" customHeight="false" outlineLevel="0" collapsed="false"/>
    <row r="1583" customFormat="false" ht="15" hidden="false" customHeight="false" outlineLevel="0" collapsed="false"/>
    <row r="1584" customFormat="false" ht="15" hidden="false" customHeight="false" outlineLevel="0" collapsed="false"/>
    <row r="1585" customFormat="false" ht="15" hidden="false" customHeight="false" outlineLevel="0" collapsed="false"/>
    <row r="1586" customFormat="false" ht="15" hidden="false" customHeight="false" outlineLevel="0" collapsed="false"/>
    <row r="1587" customFormat="false" ht="15" hidden="false" customHeight="false" outlineLevel="0" collapsed="false"/>
    <row r="1588" customFormat="false" ht="15" hidden="false" customHeight="false" outlineLevel="0" collapsed="false"/>
    <row r="1589" customFormat="false" ht="15" hidden="false" customHeight="false" outlineLevel="0" collapsed="false"/>
    <row r="1590" customFormat="false" ht="15" hidden="false" customHeight="false" outlineLevel="0" collapsed="false"/>
    <row r="1591" customFormat="false" ht="15" hidden="false" customHeight="false" outlineLevel="0" collapsed="false"/>
    <row r="1592" customFormat="false" ht="15" hidden="false" customHeight="false" outlineLevel="0" collapsed="false"/>
    <row r="1593" customFormat="false" ht="15" hidden="false" customHeight="false" outlineLevel="0" collapsed="false"/>
    <row r="1594" customFormat="false" ht="15" hidden="false" customHeight="false" outlineLevel="0" collapsed="false"/>
    <row r="1595" customFormat="false" ht="15" hidden="false" customHeight="false" outlineLevel="0" collapsed="false"/>
    <row r="1596" customFormat="false" ht="15" hidden="false" customHeight="false" outlineLevel="0" collapsed="false"/>
    <row r="1597" customFormat="false" ht="15" hidden="false" customHeight="false" outlineLevel="0" collapsed="false"/>
    <row r="1598" customFormat="false" ht="15" hidden="false" customHeight="false" outlineLevel="0" collapsed="false"/>
    <row r="1599" customFormat="false" ht="15" hidden="false" customHeight="false" outlineLevel="0" collapsed="false"/>
    <row r="1600" customFormat="false" ht="15" hidden="false" customHeight="false" outlineLevel="0" collapsed="false"/>
    <row r="1601" customFormat="false" ht="15" hidden="false" customHeight="false" outlineLevel="0" collapsed="false"/>
    <row r="1602" customFormat="false" ht="15" hidden="false" customHeight="false" outlineLevel="0" collapsed="false"/>
    <row r="1603" customFormat="false" ht="15" hidden="false" customHeight="false" outlineLevel="0" collapsed="false"/>
    <row r="1604" customFormat="false" ht="15" hidden="false" customHeight="false" outlineLevel="0" collapsed="false"/>
    <row r="1605" customFormat="false" ht="15" hidden="false" customHeight="false" outlineLevel="0" collapsed="false"/>
    <row r="1606" customFormat="false" ht="15" hidden="false" customHeight="false" outlineLevel="0" collapsed="false"/>
    <row r="1607" customFormat="false" ht="15" hidden="false" customHeight="false" outlineLevel="0" collapsed="false"/>
    <row r="1608" customFormat="false" ht="15" hidden="false" customHeight="false" outlineLevel="0" collapsed="false"/>
    <row r="1609" customFormat="false" ht="15" hidden="false" customHeight="false" outlineLevel="0" collapsed="false"/>
    <row r="1610" customFormat="false" ht="15" hidden="false" customHeight="false" outlineLevel="0" collapsed="false"/>
    <row r="1611" customFormat="false" ht="15" hidden="false" customHeight="false" outlineLevel="0" collapsed="false"/>
    <row r="1612" customFormat="false" ht="15" hidden="false" customHeight="false" outlineLevel="0" collapsed="false"/>
    <row r="1613" customFormat="false" ht="15" hidden="false" customHeight="false" outlineLevel="0" collapsed="false"/>
    <row r="1614" customFormat="false" ht="15" hidden="false" customHeight="false" outlineLevel="0" collapsed="false"/>
    <row r="1615" customFormat="false" ht="15" hidden="false" customHeight="false" outlineLevel="0" collapsed="false"/>
    <row r="1616" customFormat="false" ht="15" hidden="false" customHeight="false" outlineLevel="0" collapsed="false"/>
    <row r="1617" customFormat="false" ht="15" hidden="false" customHeight="false" outlineLevel="0" collapsed="false"/>
    <row r="1618" customFormat="false" ht="15" hidden="false" customHeight="false" outlineLevel="0" collapsed="false"/>
    <row r="1619" customFormat="false" ht="15" hidden="false" customHeight="false" outlineLevel="0" collapsed="false"/>
    <row r="1620" customFormat="false" ht="15" hidden="false" customHeight="false" outlineLevel="0" collapsed="false"/>
    <row r="1621" customFormat="false" ht="15" hidden="false" customHeight="false" outlineLevel="0" collapsed="false"/>
    <row r="1622" customFormat="false" ht="15" hidden="false" customHeight="false" outlineLevel="0" collapsed="false"/>
    <row r="1623" customFormat="false" ht="15" hidden="false" customHeight="false" outlineLevel="0" collapsed="false"/>
    <row r="1624" customFormat="false" ht="15" hidden="false" customHeight="false" outlineLevel="0" collapsed="false"/>
    <row r="1625" customFormat="false" ht="15" hidden="false" customHeight="false" outlineLevel="0" collapsed="false"/>
    <row r="1626" customFormat="false" ht="15" hidden="false" customHeight="false" outlineLevel="0" collapsed="false"/>
    <row r="1627" customFormat="false" ht="15" hidden="false" customHeight="false" outlineLevel="0" collapsed="false"/>
    <row r="1628" customFormat="false" ht="15" hidden="false" customHeight="false" outlineLevel="0" collapsed="false"/>
    <row r="1629" customFormat="false" ht="15" hidden="false" customHeight="false" outlineLevel="0" collapsed="false"/>
    <row r="1630" customFormat="false" ht="15" hidden="false" customHeight="false" outlineLevel="0" collapsed="false"/>
    <row r="1631" customFormat="false" ht="15" hidden="false" customHeight="false" outlineLevel="0" collapsed="false"/>
    <row r="1632" customFormat="false" ht="15" hidden="false" customHeight="false" outlineLevel="0" collapsed="false"/>
    <row r="1633" customFormat="false" ht="15" hidden="false" customHeight="false" outlineLevel="0" collapsed="false"/>
    <row r="1634" customFormat="false" ht="15" hidden="false" customHeight="false" outlineLevel="0" collapsed="false"/>
    <row r="1635" customFormat="false" ht="15" hidden="false" customHeight="false" outlineLevel="0" collapsed="false"/>
    <row r="1636" customFormat="false" ht="15" hidden="false" customHeight="false" outlineLevel="0" collapsed="false"/>
    <row r="1637" customFormat="false" ht="15" hidden="false" customHeight="false" outlineLevel="0" collapsed="false"/>
    <row r="1638" customFormat="false" ht="15" hidden="false" customHeight="false" outlineLevel="0" collapsed="false"/>
    <row r="1639" customFormat="false" ht="15" hidden="false" customHeight="false" outlineLevel="0" collapsed="false"/>
    <row r="1640" customFormat="false" ht="15" hidden="false" customHeight="false" outlineLevel="0" collapsed="false"/>
    <row r="1641" customFormat="false" ht="15" hidden="false" customHeight="false" outlineLevel="0" collapsed="false"/>
    <row r="1642" customFormat="false" ht="15" hidden="false" customHeight="false" outlineLevel="0" collapsed="false"/>
    <row r="1643" customFormat="false" ht="15" hidden="false" customHeight="false" outlineLevel="0" collapsed="false"/>
    <row r="1644" customFormat="false" ht="15" hidden="false" customHeight="false" outlineLevel="0" collapsed="false"/>
    <row r="1645" customFormat="false" ht="15" hidden="false" customHeight="false" outlineLevel="0" collapsed="false"/>
    <row r="1646" customFormat="false" ht="15" hidden="false" customHeight="false" outlineLevel="0" collapsed="false"/>
    <row r="1647" customFormat="false" ht="15" hidden="false" customHeight="false" outlineLevel="0" collapsed="false"/>
    <row r="1648" customFormat="false" ht="15" hidden="false" customHeight="false" outlineLevel="0" collapsed="false"/>
    <row r="1649" customFormat="false" ht="15" hidden="false" customHeight="false" outlineLevel="0" collapsed="false"/>
    <row r="1650" customFormat="false" ht="15" hidden="false" customHeight="false" outlineLevel="0" collapsed="false"/>
    <row r="1651" customFormat="false" ht="15" hidden="false" customHeight="false" outlineLevel="0" collapsed="false"/>
    <row r="1652" customFormat="false" ht="15" hidden="false" customHeight="false" outlineLevel="0" collapsed="false"/>
    <row r="1653" customFormat="false" ht="15" hidden="false" customHeight="false" outlineLevel="0" collapsed="false"/>
    <row r="1654" customFormat="false" ht="15" hidden="false" customHeight="false" outlineLevel="0" collapsed="false"/>
    <row r="1655" customFormat="false" ht="15" hidden="false" customHeight="false" outlineLevel="0" collapsed="false"/>
    <row r="1656" customFormat="false" ht="15" hidden="false" customHeight="false" outlineLevel="0" collapsed="false"/>
    <row r="1657" customFormat="false" ht="15" hidden="false" customHeight="false" outlineLevel="0" collapsed="false"/>
    <row r="1658" customFormat="false" ht="15" hidden="false" customHeight="false" outlineLevel="0" collapsed="false"/>
    <row r="1659" customFormat="false" ht="15" hidden="false" customHeight="false" outlineLevel="0" collapsed="false"/>
    <row r="1660" customFormat="false" ht="15" hidden="false" customHeight="false" outlineLevel="0" collapsed="false"/>
    <row r="1661" customFormat="false" ht="15" hidden="false" customHeight="false" outlineLevel="0" collapsed="false"/>
    <row r="1662" customFormat="false" ht="15" hidden="false" customHeight="false" outlineLevel="0" collapsed="false"/>
    <row r="1663" customFormat="false" ht="15" hidden="false" customHeight="false" outlineLevel="0" collapsed="false"/>
    <row r="1664" customFormat="false" ht="15" hidden="false" customHeight="false" outlineLevel="0" collapsed="false"/>
    <row r="1665" customFormat="false" ht="15" hidden="false" customHeight="false" outlineLevel="0" collapsed="false"/>
    <row r="1666" customFormat="false" ht="15" hidden="false" customHeight="false" outlineLevel="0" collapsed="false"/>
    <row r="1667" customFormat="false" ht="15" hidden="false" customHeight="false" outlineLevel="0" collapsed="false"/>
    <row r="1668" customFormat="false" ht="15" hidden="false" customHeight="false" outlineLevel="0" collapsed="false"/>
    <row r="1669" customFormat="false" ht="15" hidden="false" customHeight="false" outlineLevel="0" collapsed="false"/>
    <row r="1670" customFormat="false" ht="15" hidden="false" customHeight="false" outlineLevel="0" collapsed="false"/>
    <row r="1671" customFormat="false" ht="15" hidden="false" customHeight="false" outlineLevel="0" collapsed="false"/>
    <row r="1672" customFormat="false" ht="15" hidden="false" customHeight="false" outlineLevel="0" collapsed="false"/>
    <row r="1673" customFormat="false" ht="15" hidden="false" customHeight="false" outlineLevel="0" collapsed="false"/>
    <row r="1674" customFormat="false" ht="15" hidden="false" customHeight="false" outlineLevel="0" collapsed="false"/>
    <row r="1675" customFormat="false" ht="15" hidden="false" customHeight="false" outlineLevel="0" collapsed="false"/>
    <row r="1676" customFormat="false" ht="15" hidden="false" customHeight="false" outlineLevel="0" collapsed="false"/>
    <row r="1677" customFormat="false" ht="15" hidden="false" customHeight="false" outlineLevel="0" collapsed="false"/>
    <row r="1678" customFormat="false" ht="15" hidden="false" customHeight="false" outlineLevel="0" collapsed="false"/>
    <row r="1679" customFormat="false" ht="15" hidden="false" customHeight="false" outlineLevel="0" collapsed="false"/>
    <row r="1680" customFormat="false" ht="15" hidden="false" customHeight="false" outlineLevel="0" collapsed="false"/>
    <row r="1681" customFormat="false" ht="15" hidden="false" customHeight="false" outlineLevel="0" collapsed="false"/>
    <row r="1682" customFormat="false" ht="15" hidden="false" customHeight="false" outlineLevel="0" collapsed="false"/>
    <row r="1683" customFormat="false" ht="15" hidden="false" customHeight="false" outlineLevel="0" collapsed="false"/>
    <row r="1684" customFormat="false" ht="15" hidden="false" customHeight="false" outlineLevel="0" collapsed="false"/>
    <row r="1685" customFormat="false" ht="15" hidden="false" customHeight="false" outlineLevel="0" collapsed="false"/>
    <row r="1686" customFormat="false" ht="15" hidden="false" customHeight="false" outlineLevel="0" collapsed="false"/>
    <row r="1687" customFormat="false" ht="15" hidden="false" customHeight="false" outlineLevel="0" collapsed="false"/>
    <row r="1688" customFormat="false" ht="15" hidden="false" customHeight="false" outlineLevel="0" collapsed="false"/>
    <row r="1689" customFormat="false" ht="15" hidden="false" customHeight="false" outlineLevel="0" collapsed="false"/>
    <row r="1690" customFormat="false" ht="15" hidden="false" customHeight="false" outlineLevel="0" collapsed="false"/>
    <row r="1691" customFormat="false" ht="15" hidden="false" customHeight="false" outlineLevel="0" collapsed="false"/>
    <row r="1692" customFormat="false" ht="15" hidden="false" customHeight="false" outlineLevel="0" collapsed="false"/>
    <row r="1693" customFormat="false" ht="15" hidden="false" customHeight="false" outlineLevel="0" collapsed="false"/>
    <row r="1694" customFormat="false" ht="15" hidden="false" customHeight="false" outlineLevel="0" collapsed="false"/>
    <row r="1695" customFormat="false" ht="15" hidden="false" customHeight="false" outlineLevel="0" collapsed="false"/>
    <row r="1696" customFormat="false" ht="15" hidden="false" customHeight="false" outlineLevel="0" collapsed="false"/>
    <row r="1697" customFormat="false" ht="15" hidden="false" customHeight="false" outlineLevel="0" collapsed="false"/>
    <row r="1698" customFormat="false" ht="15" hidden="false" customHeight="false" outlineLevel="0" collapsed="false"/>
    <row r="1699" customFormat="false" ht="15" hidden="false" customHeight="false" outlineLevel="0" collapsed="false"/>
    <row r="1700" customFormat="false" ht="15" hidden="false" customHeight="false" outlineLevel="0" collapsed="false"/>
    <row r="1701" customFormat="false" ht="15" hidden="false" customHeight="false" outlineLevel="0" collapsed="false"/>
    <row r="1702" customFormat="false" ht="15" hidden="false" customHeight="false" outlineLevel="0" collapsed="false"/>
    <row r="1703" customFormat="false" ht="15" hidden="false" customHeight="false" outlineLevel="0" collapsed="false"/>
    <row r="1704" customFormat="false" ht="15" hidden="false" customHeight="false" outlineLevel="0" collapsed="false"/>
    <row r="1705" customFormat="false" ht="15" hidden="false" customHeight="false" outlineLevel="0" collapsed="false"/>
    <row r="1706" customFormat="false" ht="15" hidden="false" customHeight="false" outlineLevel="0" collapsed="false"/>
    <row r="1707" customFormat="false" ht="15" hidden="false" customHeight="false" outlineLevel="0" collapsed="false"/>
    <row r="1708" customFormat="false" ht="15" hidden="false" customHeight="false" outlineLevel="0" collapsed="false"/>
    <row r="1709" customFormat="false" ht="15" hidden="false" customHeight="false" outlineLevel="0" collapsed="false"/>
    <row r="1710" customFormat="false" ht="15" hidden="false" customHeight="false" outlineLevel="0" collapsed="false"/>
    <row r="1711" customFormat="false" ht="15" hidden="false" customHeight="false" outlineLevel="0" collapsed="false"/>
    <row r="1712" customFormat="false" ht="15" hidden="false" customHeight="false" outlineLevel="0" collapsed="false"/>
    <row r="1713" customFormat="false" ht="15" hidden="false" customHeight="false" outlineLevel="0" collapsed="false"/>
    <row r="1714" customFormat="false" ht="15" hidden="false" customHeight="false" outlineLevel="0" collapsed="false"/>
    <row r="1715" customFormat="false" ht="15" hidden="false" customHeight="false" outlineLevel="0" collapsed="false"/>
    <row r="1716" customFormat="false" ht="15" hidden="false" customHeight="false" outlineLevel="0" collapsed="false"/>
    <row r="1717" customFormat="false" ht="15" hidden="false" customHeight="false" outlineLevel="0" collapsed="false"/>
    <row r="1718" customFormat="false" ht="15" hidden="false" customHeight="false" outlineLevel="0" collapsed="false"/>
    <row r="1719" customFormat="false" ht="15" hidden="false" customHeight="false" outlineLevel="0" collapsed="false"/>
    <row r="1720" customFormat="false" ht="15" hidden="false" customHeight="false" outlineLevel="0" collapsed="false"/>
    <row r="1721" customFormat="false" ht="15" hidden="false" customHeight="false" outlineLevel="0" collapsed="false"/>
    <row r="1722" customFormat="false" ht="15" hidden="false" customHeight="false" outlineLevel="0" collapsed="false"/>
    <row r="1723" customFormat="false" ht="15" hidden="false" customHeight="false" outlineLevel="0" collapsed="false"/>
    <row r="1724" customFormat="false" ht="15" hidden="false" customHeight="false" outlineLevel="0" collapsed="false"/>
    <row r="1725" customFormat="false" ht="15" hidden="false" customHeight="false" outlineLevel="0" collapsed="false"/>
    <row r="1726" customFormat="false" ht="15" hidden="false" customHeight="false" outlineLevel="0" collapsed="false"/>
    <row r="1727" customFormat="false" ht="15" hidden="false" customHeight="false" outlineLevel="0" collapsed="false"/>
    <row r="1728" customFormat="false" ht="15" hidden="false" customHeight="false" outlineLevel="0" collapsed="false"/>
    <row r="1729" customFormat="false" ht="15" hidden="false" customHeight="false" outlineLevel="0" collapsed="false"/>
    <row r="1730" customFormat="false" ht="15" hidden="false" customHeight="false" outlineLevel="0" collapsed="false"/>
    <row r="1731" customFormat="false" ht="15" hidden="false" customHeight="false" outlineLevel="0" collapsed="false"/>
    <row r="1732" customFormat="false" ht="15" hidden="false" customHeight="false" outlineLevel="0" collapsed="false"/>
    <row r="1733" customFormat="false" ht="15" hidden="false" customHeight="false" outlineLevel="0" collapsed="false"/>
    <row r="1734" customFormat="false" ht="15" hidden="false" customHeight="false" outlineLevel="0" collapsed="false"/>
    <row r="1735" customFormat="false" ht="15" hidden="false" customHeight="false" outlineLevel="0" collapsed="false"/>
    <row r="1736" customFormat="false" ht="15" hidden="false" customHeight="false" outlineLevel="0" collapsed="false"/>
    <row r="1737" customFormat="false" ht="15" hidden="false" customHeight="false" outlineLevel="0" collapsed="false"/>
    <row r="1738" customFormat="false" ht="15" hidden="false" customHeight="false" outlineLevel="0" collapsed="false"/>
    <row r="1739" customFormat="false" ht="15" hidden="false" customHeight="false" outlineLevel="0" collapsed="false"/>
    <row r="1740" customFormat="false" ht="15" hidden="false" customHeight="false" outlineLevel="0" collapsed="false"/>
    <row r="1741" customFormat="false" ht="15" hidden="false" customHeight="false" outlineLevel="0" collapsed="false"/>
    <row r="1742" customFormat="false" ht="15" hidden="false" customHeight="false" outlineLevel="0" collapsed="false"/>
    <row r="1743" customFormat="false" ht="15" hidden="false" customHeight="false" outlineLevel="0" collapsed="false"/>
    <row r="1744" customFormat="false" ht="15" hidden="false" customHeight="false" outlineLevel="0" collapsed="false"/>
    <row r="1745" customFormat="false" ht="15" hidden="false" customHeight="false" outlineLevel="0" collapsed="false"/>
    <row r="1746" customFormat="false" ht="15" hidden="false" customHeight="false" outlineLevel="0" collapsed="false"/>
    <row r="1747" customFormat="false" ht="15" hidden="false" customHeight="false" outlineLevel="0" collapsed="false"/>
    <row r="1748" customFormat="false" ht="15" hidden="false" customHeight="false" outlineLevel="0" collapsed="false"/>
    <row r="1749" customFormat="false" ht="15" hidden="false" customHeight="false" outlineLevel="0" collapsed="false"/>
    <row r="1750" customFormat="false" ht="15" hidden="false" customHeight="false" outlineLevel="0" collapsed="false"/>
    <row r="1751" customFormat="false" ht="15" hidden="false" customHeight="false" outlineLevel="0" collapsed="false"/>
    <row r="1752" customFormat="false" ht="15" hidden="false" customHeight="false" outlineLevel="0" collapsed="false"/>
    <row r="1753" customFormat="false" ht="15" hidden="false" customHeight="false" outlineLevel="0" collapsed="false"/>
    <row r="1754" customFormat="false" ht="15" hidden="false" customHeight="false" outlineLevel="0" collapsed="false"/>
    <row r="1755" customFormat="false" ht="15" hidden="false" customHeight="false" outlineLevel="0" collapsed="false"/>
    <row r="1756" customFormat="false" ht="15" hidden="false" customHeight="false" outlineLevel="0" collapsed="false"/>
    <row r="1757" customFormat="false" ht="15" hidden="false" customHeight="false" outlineLevel="0" collapsed="false"/>
    <row r="1758" customFormat="false" ht="15" hidden="false" customHeight="false" outlineLevel="0" collapsed="false"/>
    <row r="1759" customFormat="false" ht="15" hidden="false" customHeight="false" outlineLevel="0" collapsed="false"/>
    <row r="1760" customFormat="false" ht="15" hidden="false" customHeight="false" outlineLevel="0" collapsed="false"/>
    <row r="1761" customFormat="false" ht="15" hidden="false" customHeight="false" outlineLevel="0" collapsed="false"/>
    <row r="1762" customFormat="false" ht="15" hidden="false" customHeight="false" outlineLevel="0" collapsed="false"/>
    <row r="1763" customFormat="false" ht="15" hidden="false" customHeight="false" outlineLevel="0" collapsed="false"/>
    <row r="1764" customFormat="false" ht="15" hidden="false" customHeight="false" outlineLevel="0" collapsed="false"/>
    <row r="1765" customFormat="false" ht="15" hidden="false" customHeight="false" outlineLevel="0" collapsed="false"/>
    <row r="1766" customFormat="false" ht="15" hidden="false" customHeight="false" outlineLevel="0" collapsed="false"/>
    <row r="1767" customFormat="false" ht="15" hidden="false" customHeight="false" outlineLevel="0" collapsed="false"/>
    <row r="1768" customFormat="false" ht="15" hidden="false" customHeight="false" outlineLevel="0" collapsed="false"/>
    <row r="1769" customFormat="false" ht="15" hidden="false" customHeight="false" outlineLevel="0" collapsed="false"/>
    <row r="1770" customFormat="false" ht="15" hidden="false" customHeight="false" outlineLevel="0" collapsed="false"/>
    <row r="1771" customFormat="false" ht="15" hidden="false" customHeight="false" outlineLevel="0" collapsed="false"/>
    <row r="1772" customFormat="false" ht="15" hidden="false" customHeight="false" outlineLevel="0" collapsed="false"/>
    <row r="1773" customFormat="false" ht="15" hidden="false" customHeight="false" outlineLevel="0" collapsed="false"/>
    <row r="1774" customFormat="false" ht="15" hidden="false" customHeight="false" outlineLevel="0" collapsed="false"/>
    <row r="1775" customFormat="false" ht="15" hidden="false" customHeight="false" outlineLevel="0" collapsed="false"/>
    <row r="1776" customFormat="false" ht="15" hidden="false" customHeight="false" outlineLevel="0" collapsed="false"/>
    <row r="1777" customFormat="false" ht="15" hidden="false" customHeight="false" outlineLevel="0" collapsed="false"/>
    <row r="1778" customFormat="false" ht="15" hidden="false" customHeight="false" outlineLevel="0" collapsed="false"/>
    <row r="1779" customFormat="false" ht="15" hidden="false" customHeight="false" outlineLevel="0" collapsed="false"/>
    <row r="1780" customFormat="false" ht="15" hidden="false" customHeight="false" outlineLevel="0" collapsed="false"/>
    <row r="1781" customFormat="false" ht="15" hidden="false" customHeight="false" outlineLevel="0" collapsed="false"/>
    <row r="1782" customFormat="false" ht="15" hidden="false" customHeight="false" outlineLevel="0" collapsed="false"/>
    <row r="1783" customFormat="false" ht="15" hidden="false" customHeight="false" outlineLevel="0" collapsed="false"/>
    <row r="1784" customFormat="false" ht="15" hidden="false" customHeight="false" outlineLevel="0" collapsed="false"/>
    <row r="1785" customFormat="false" ht="15" hidden="false" customHeight="false" outlineLevel="0" collapsed="false"/>
    <row r="1786" customFormat="false" ht="15" hidden="false" customHeight="false" outlineLevel="0" collapsed="false"/>
    <row r="1787" customFormat="false" ht="15" hidden="false" customHeight="false" outlineLevel="0" collapsed="false"/>
    <row r="1788" customFormat="false" ht="15" hidden="false" customHeight="false" outlineLevel="0" collapsed="false"/>
    <row r="1789" customFormat="false" ht="15" hidden="false" customHeight="false" outlineLevel="0" collapsed="false"/>
    <row r="1790" customFormat="false" ht="15" hidden="false" customHeight="false" outlineLevel="0" collapsed="false"/>
    <row r="1791" customFormat="false" ht="15" hidden="false" customHeight="false" outlineLevel="0" collapsed="false"/>
    <row r="1792" customFormat="false" ht="15" hidden="false" customHeight="false" outlineLevel="0" collapsed="false"/>
    <row r="1793" customFormat="false" ht="15" hidden="false" customHeight="false" outlineLevel="0" collapsed="false"/>
    <row r="1794" customFormat="false" ht="15" hidden="false" customHeight="false" outlineLevel="0" collapsed="false"/>
    <row r="1795" customFormat="false" ht="15" hidden="false" customHeight="false" outlineLevel="0" collapsed="false"/>
    <row r="1796" customFormat="false" ht="15" hidden="false" customHeight="false" outlineLevel="0" collapsed="false"/>
    <row r="1797" customFormat="false" ht="15" hidden="false" customHeight="false" outlineLevel="0" collapsed="false"/>
    <row r="1798" customFormat="false" ht="15" hidden="false" customHeight="false" outlineLevel="0" collapsed="false"/>
    <row r="1799" customFormat="false" ht="15" hidden="false" customHeight="false" outlineLevel="0" collapsed="false"/>
    <row r="1800" customFormat="false" ht="15" hidden="false" customHeight="false" outlineLevel="0" collapsed="false"/>
    <row r="1801" customFormat="false" ht="15" hidden="false" customHeight="false" outlineLevel="0" collapsed="false"/>
    <row r="1802" customFormat="false" ht="15" hidden="false" customHeight="false" outlineLevel="0" collapsed="false"/>
    <row r="1803" customFormat="false" ht="15" hidden="false" customHeight="false" outlineLevel="0" collapsed="false"/>
    <row r="1804" customFormat="false" ht="15" hidden="false" customHeight="false" outlineLevel="0" collapsed="false"/>
    <row r="1805" customFormat="false" ht="15" hidden="false" customHeight="false" outlineLevel="0" collapsed="false"/>
    <row r="1806" customFormat="false" ht="15" hidden="false" customHeight="false" outlineLevel="0" collapsed="false"/>
    <row r="1807" customFormat="false" ht="15" hidden="false" customHeight="false" outlineLevel="0" collapsed="false"/>
    <row r="1808" customFormat="false" ht="15" hidden="false" customHeight="false" outlineLevel="0" collapsed="false"/>
    <row r="1809" customFormat="false" ht="15" hidden="false" customHeight="false" outlineLevel="0" collapsed="false"/>
    <row r="1810" customFormat="false" ht="15" hidden="false" customHeight="false" outlineLevel="0" collapsed="false"/>
    <row r="1811" customFormat="false" ht="15" hidden="false" customHeight="false" outlineLevel="0" collapsed="false"/>
    <row r="1812" customFormat="false" ht="15" hidden="false" customHeight="false" outlineLevel="0" collapsed="false"/>
    <row r="1813" customFormat="false" ht="15" hidden="false" customHeight="false" outlineLevel="0" collapsed="false"/>
    <row r="1814" customFormat="false" ht="15" hidden="false" customHeight="false" outlineLevel="0" collapsed="false"/>
    <row r="1815" customFormat="false" ht="15" hidden="false" customHeight="false" outlineLevel="0" collapsed="false"/>
    <row r="1816" customFormat="false" ht="15" hidden="false" customHeight="false" outlineLevel="0" collapsed="false"/>
    <row r="1817" customFormat="false" ht="15" hidden="false" customHeight="false" outlineLevel="0" collapsed="false"/>
    <row r="1818" customFormat="false" ht="15" hidden="false" customHeight="false" outlineLevel="0" collapsed="false"/>
    <row r="1819" customFormat="false" ht="15" hidden="false" customHeight="false" outlineLevel="0" collapsed="false"/>
    <row r="1820" customFormat="false" ht="15" hidden="false" customHeight="false" outlineLevel="0" collapsed="false"/>
    <row r="1821" customFormat="false" ht="15" hidden="false" customHeight="false" outlineLevel="0" collapsed="false"/>
    <row r="1822" customFormat="false" ht="15" hidden="false" customHeight="false" outlineLevel="0" collapsed="false"/>
    <row r="1823" customFormat="false" ht="15" hidden="false" customHeight="false" outlineLevel="0" collapsed="false"/>
    <row r="1824" customFormat="false" ht="15" hidden="false" customHeight="false" outlineLevel="0" collapsed="false"/>
    <row r="1825" customFormat="false" ht="15" hidden="false" customHeight="false" outlineLevel="0" collapsed="false"/>
    <row r="1826" customFormat="false" ht="15" hidden="false" customHeight="false" outlineLevel="0" collapsed="false"/>
    <row r="1827" customFormat="false" ht="15" hidden="false" customHeight="false" outlineLevel="0" collapsed="false"/>
    <row r="1828" customFormat="false" ht="15" hidden="false" customHeight="false" outlineLevel="0" collapsed="false"/>
    <row r="1829" customFormat="false" ht="15" hidden="false" customHeight="false" outlineLevel="0" collapsed="false"/>
    <row r="1830" customFormat="false" ht="15" hidden="false" customHeight="false" outlineLevel="0" collapsed="false"/>
    <row r="1831" customFormat="false" ht="15" hidden="false" customHeight="false" outlineLevel="0" collapsed="false"/>
    <row r="1832" customFormat="false" ht="15" hidden="false" customHeight="false" outlineLevel="0" collapsed="false"/>
    <row r="1833" customFormat="false" ht="15" hidden="false" customHeight="false" outlineLevel="0" collapsed="false"/>
    <row r="1834" customFormat="false" ht="15" hidden="false" customHeight="false" outlineLevel="0" collapsed="false"/>
    <row r="1835" customFormat="false" ht="15" hidden="false" customHeight="false" outlineLevel="0" collapsed="false"/>
    <row r="1836" customFormat="false" ht="15" hidden="false" customHeight="false" outlineLevel="0" collapsed="false"/>
    <row r="1837" customFormat="false" ht="15" hidden="false" customHeight="false" outlineLevel="0" collapsed="false"/>
    <row r="1838" customFormat="false" ht="15" hidden="false" customHeight="false" outlineLevel="0" collapsed="false"/>
    <row r="1839" customFormat="false" ht="15" hidden="false" customHeight="false" outlineLevel="0" collapsed="false"/>
    <row r="1840" customFormat="false" ht="15" hidden="false" customHeight="false" outlineLevel="0" collapsed="false"/>
    <row r="1841" customFormat="false" ht="15" hidden="false" customHeight="false" outlineLevel="0" collapsed="false"/>
    <row r="1842" customFormat="false" ht="15" hidden="false" customHeight="false" outlineLevel="0" collapsed="false"/>
    <row r="1843" customFormat="false" ht="15" hidden="false" customHeight="false" outlineLevel="0" collapsed="false"/>
    <row r="1844" customFormat="false" ht="15" hidden="false" customHeight="false" outlineLevel="0" collapsed="false"/>
    <row r="1845" customFormat="false" ht="15" hidden="false" customHeight="false" outlineLevel="0" collapsed="false"/>
    <row r="1846" customFormat="false" ht="15" hidden="false" customHeight="false" outlineLevel="0" collapsed="false"/>
    <row r="1847" customFormat="false" ht="15" hidden="false" customHeight="false" outlineLevel="0" collapsed="false"/>
    <row r="1848" customFormat="false" ht="15" hidden="false" customHeight="false" outlineLevel="0" collapsed="false"/>
    <row r="1849" customFormat="false" ht="15" hidden="false" customHeight="false" outlineLevel="0" collapsed="false"/>
    <row r="1850" customFormat="false" ht="15" hidden="false" customHeight="false" outlineLevel="0" collapsed="false"/>
    <row r="1851" customFormat="false" ht="15" hidden="false" customHeight="false" outlineLevel="0" collapsed="false"/>
    <row r="1852" customFormat="false" ht="15" hidden="false" customHeight="false" outlineLevel="0" collapsed="false"/>
    <row r="1853" customFormat="false" ht="15" hidden="false" customHeight="false" outlineLevel="0" collapsed="false"/>
    <row r="1854" customFormat="false" ht="15" hidden="false" customHeight="false" outlineLevel="0" collapsed="false"/>
    <row r="1855" customFormat="false" ht="15" hidden="false" customHeight="false" outlineLevel="0" collapsed="false"/>
    <row r="1856" customFormat="false" ht="15" hidden="false" customHeight="false" outlineLevel="0" collapsed="false"/>
    <row r="1857" customFormat="false" ht="15" hidden="false" customHeight="false" outlineLevel="0" collapsed="false"/>
    <row r="1858" customFormat="false" ht="15" hidden="false" customHeight="false" outlineLevel="0" collapsed="false"/>
    <row r="1859" customFormat="false" ht="15" hidden="false" customHeight="false" outlineLevel="0" collapsed="false"/>
    <row r="1860" customFormat="false" ht="15" hidden="false" customHeight="false" outlineLevel="0" collapsed="false"/>
    <row r="1861" customFormat="false" ht="15" hidden="false" customHeight="false" outlineLevel="0" collapsed="false"/>
    <row r="1862" customFormat="false" ht="15" hidden="false" customHeight="false" outlineLevel="0" collapsed="false"/>
    <row r="1863" customFormat="false" ht="15" hidden="false" customHeight="false" outlineLevel="0" collapsed="false"/>
    <row r="1864" customFormat="false" ht="15" hidden="false" customHeight="false" outlineLevel="0" collapsed="false"/>
    <row r="1865" customFormat="false" ht="15" hidden="false" customHeight="false" outlineLevel="0" collapsed="false"/>
    <row r="1866" customFormat="false" ht="15" hidden="false" customHeight="false" outlineLevel="0" collapsed="false"/>
    <row r="1867" customFormat="false" ht="15" hidden="false" customHeight="false" outlineLevel="0" collapsed="false"/>
    <row r="1868" customFormat="false" ht="15" hidden="false" customHeight="false" outlineLevel="0" collapsed="false"/>
    <row r="1869" customFormat="false" ht="15" hidden="false" customHeight="false" outlineLevel="0" collapsed="false"/>
    <row r="1870" customFormat="false" ht="15" hidden="false" customHeight="false" outlineLevel="0" collapsed="false"/>
    <row r="1871" customFormat="false" ht="15" hidden="false" customHeight="false" outlineLevel="0" collapsed="false"/>
    <row r="1872" customFormat="false" ht="15" hidden="false" customHeight="false" outlineLevel="0" collapsed="false"/>
    <row r="1873" customFormat="false" ht="15" hidden="false" customHeight="false" outlineLevel="0" collapsed="false"/>
    <row r="1874" customFormat="false" ht="15" hidden="false" customHeight="false" outlineLevel="0" collapsed="false"/>
    <row r="1875" customFormat="false" ht="15" hidden="false" customHeight="false" outlineLevel="0" collapsed="false"/>
    <row r="1876" customFormat="false" ht="15" hidden="false" customHeight="false" outlineLevel="0" collapsed="false"/>
    <row r="1877" customFormat="false" ht="15" hidden="false" customHeight="false" outlineLevel="0" collapsed="false"/>
    <row r="1878" customFormat="false" ht="15" hidden="false" customHeight="false" outlineLevel="0" collapsed="false"/>
    <row r="1879" customFormat="false" ht="15" hidden="false" customHeight="false" outlineLevel="0" collapsed="false"/>
    <row r="1880" customFormat="false" ht="15" hidden="false" customHeight="false" outlineLevel="0" collapsed="false"/>
    <row r="1881" customFormat="false" ht="15" hidden="false" customHeight="false" outlineLevel="0" collapsed="false"/>
    <row r="1882" customFormat="false" ht="15" hidden="false" customHeight="false" outlineLevel="0" collapsed="false"/>
    <row r="1883" customFormat="false" ht="15" hidden="false" customHeight="false" outlineLevel="0" collapsed="false"/>
    <row r="1884" customFormat="false" ht="15" hidden="false" customHeight="false" outlineLevel="0" collapsed="false"/>
    <row r="1885" customFormat="false" ht="15" hidden="false" customHeight="false" outlineLevel="0" collapsed="false"/>
    <row r="1886" customFormat="false" ht="15" hidden="false" customHeight="false" outlineLevel="0" collapsed="false"/>
    <row r="1887" customFormat="false" ht="15" hidden="false" customHeight="false" outlineLevel="0" collapsed="false"/>
    <row r="1888" customFormat="false" ht="15" hidden="false" customHeight="false" outlineLevel="0" collapsed="false"/>
    <row r="1889" customFormat="false" ht="15" hidden="false" customHeight="false" outlineLevel="0" collapsed="false"/>
    <row r="1890" customFormat="false" ht="15" hidden="false" customHeight="false" outlineLevel="0" collapsed="false"/>
    <row r="1891" customFormat="false" ht="15" hidden="false" customHeight="false" outlineLevel="0" collapsed="false"/>
    <row r="1892" customFormat="false" ht="15" hidden="false" customHeight="false" outlineLevel="0" collapsed="false"/>
    <row r="1893" customFormat="false" ht="15" hidden="false" customHeight="false" outlineLevel="0" collapsed="false"/>
    <row r="1894" customFormat="false" ht="15" hidden="false" customHeight="false" outlineLevel="0" collapsed="false"/>
    <row r="1895" customFormat="false" ht="15" hidden="false" customHeight="false" outlineLevel="0" collapsed="false"/>
    <row r="1896" customFormat="false" ht="15" hidden="false" customHeight="false" outlineLevel="0" collapsed="false"/>
    <row r="1897" customFormat="false" ht="15" hidden="false" customHeight="false" outlineLevel="0" collapsed="false"/>
    <row r="1898" customFormat="false" ht="15" hidden="false" customHeight="false" outlineLevel="0" collapsed="false"/>
    <row r="1899" customFormat="false" ht="15" hidden="false" customHeight="false" outlineLevel="0" collapsed="false"/>
    <row r="1900" customFormat="false" ht="15" hidden="false" customHeight="false" outlineLevel="0" collapsed="false"/>
    <row r="1901" customFormat="false" ht="15" hidden="false" customHeight="false" outlineLevel="0" collapsed="false"/>
    <row r="1902" customFormat="false" ht="15" hidden="false" customHeight="false" outlineLevel="0" collapsed="false"/>
    <row r="1903" customFormat="false" ht="15" hidden="false" customHeight="false" outlineLevel="0" collapsed="false"/>
    <row r="1904" customFormat="false" ht="15" hidden="false" customHeight="false" outlineLevel="0" collapsed="false"/>
    <row r="1905" customFormat="false" ht="15" hidden="false" customHeight="false" outlineLevel="0" collapsed="false"/>
    <row r="1906" customFormat="false" ht="15" hidden="false" customHeight="false" outlineLevel="0" collapsed="false"/>
    <row r="1907" customFormat="false" ht="15" hidden="false" customHeight="false" outlineLevel="0" collapsed="false"/>
    <row r="1908" customFormat="false" ht="15" hidden="false" customHeight="false" outlineLevel="0" collapsed="false"/>
    <row r="1909" customFormat="false" ht="15" hidden="false" customHeight="false" outlineLevel="0" collapsed="false"/>
    <row r="1910" customFormat="false" ht="15" hidden="false" customHeight="false" outlineLevel="0" collapsed="false"/>
    <row r="1911" customFormat="false" ht="15" hidden="false" customHeight="false" outlineLevel="0" collapsed="false"/>
    <row r="1912" customFormat="false" ht="15" hidden="false" customHeight="false" outlineLevel="0" collapsed="false"/>
    <row r="1913" customFormat="false" ht="15" hidden="false" customHeight="false" outlineLevel="0" collapsed="false"/>
    <row r="1914" customFormat="false" ht="15" hidden="false" customHeight="false" outlineLevel="0" collapsed="false"/>
    <row r="1915" customFormat="false" ht="15" hidden="false" customHeight="false" outlineLevel="0" collapsed="false"/>
    <row r="1916" customFormat="false" ht="15" hidden="false" customHeight="false" outlineLevel="0" collapsed="false"/>
    <row r="1917" customFormat="false" ht="15" hidden="false" customHeight="false" outlineLevel="0" collapsed="false"/>
    <row r="1918" customFormat="false" ht="15" hidden="false" customHeight="false" outlineLevel="0" collapsed="false"/>
    <row r="1919" customFormat="false" ht="15" hidden="false" customHeight="false" outlineLevel="0" collapsed="false"/>
    <row r="1920" customFormat="false" ht="15" hidden="false" customHeight="false" outlineLevel="0" collapsed="false"/>
    <row r="1921" customFormat="false" ht="15" hidden="false" customHeight="false" outlineLevel="0" collapsed="false"/>
    <row r="1922" customFormat="false" ht="15" hidden="false" customHeight="false" outlineLevel="0" collapsed="false"/>
    <row r="1923" customFormat="false" ht="15" hidden="false" customHeight="false" outlineLevel="0" collapsed="false"/>
    <row r="1924" customFormat="false" ht="15" hidden="false" customHeight="false" outlineLevel="0" collapsed="false"/>
    <row r="1925" customFormat="false" ht="15" hidden="false" customHeight="false" outlineLevel="0" collapsed="false"/>
    <row r="1926" customFormat="false" ht="15" hidden="false" customHeight="false" outlineLevel="0" collapsed="false"/>
    <row r="1927" customFormat="false" ht="15" hidden="false" customHeight="false" outlineLevel="0" collapsed="false"/>
    <row r="1928" customFormat="false" ht="15" hidden="false" customHeight="false" outlineLevel="0" collapsed="false"/>
    <row r="1929" customFormat="false" ht="15" hidden="false" customHeight="false" outlineLevel="0" collapsed="false"/>
    <row r="1930" customFormat="false" ht="15" hidden="false" customHeight="false" outlineLevel="0" collapsed="false"/>
    <row r="1931" customFormat="false" ht="15" hidden="false" customHeight="false" outlineLevel="0" collapsed="false"/>
    <row r="1932" customFormat="false" ht="15" hidden="false" customHeight="false" outlineLevel="0" collapsed="false"/>
    <row r="1933" customFormat="false" ht="15" hidden="false" customHeight="false" outlineLevel="0" collapsed="false"/>
    <row r="1934" customFormat="false" ht="15" hidden="false" customHeight="false" outlineLevel="0" collapsed="false"/>
    <row r="1935" customFormat="false" ht="15" hidden="false" customHeight="false" outlineLevel="0" collapsed="false"/>
    <row r="1936" customFormat="false" ht="15" hidden="false" customHeight="false" outlineLevel="0" collapsed="false"/>
    <row r="1937" customFormat="false" ht="15" hidden="false" customHeight="false" outlineLevel="0" collapsed="false"/>
    <row r="1938" customFormat="false" ht="15" hidden="false" customHeight="false" outlineLevel="0" collapsed="false"/>
    <row r="1939" customFormat="false" ht="15" hidden="false" customHeight="false" outlineLevel="0" collapsed="false"/>
    <row r="1940" customFormat="false" ht="15" hidden="false" customHeight="false" outlineLevel="0" collapsed="false"/>
    <row r="1941" customFormat="false" ht="15" hidden="false" customHeight="false" outlineLevel="0" collapsed="false"/>
    <row r="1942" customFormat="false" ht="15" hidden="false" customHeight="false" outlineLevel="0" collapsed="false"/>
    <row r="1943" customFormat="false" ht="15" hidden="false" customHeight="false" outlineLevel="0" collapsed="false"/>
    <row r="1944" customFormat="false" ht="15" hidden="false" customHeight="false" outlineLevel="0" collapsed="false"/>
    <row r="1945" customFormat="false" ht="15" hidden="false" customHeight="false" outlineLevel="0" collapsed="false"/>
    <row r="1946" customFormat="false" ht="15" hidden="false" customHeight="false" outlineLevel="0" collapsed="false"/>
    <row r="1947" customFormat="false" ht="15" hidden="false" customHeight="false" outlineLevel="0" collapsed="false"/>
    <row r="1948" customFormat="false" ht="15" hidden="false" customHeight="false" outlineLevel="0" collapsed="false"/>
    <row r="1949" customFormat="false" ht="15" hidden="false" customHeight="false" outlineLevel="0" collapsed="false"/>
    <row r="1950" customFormat="false" ht="15" hidden="false" customHeight="false" outlineLevel="0" collapsed="false"/>
    <row r="1951" customFormat="false" ht="15" hidden="false" customHeight="false" outlineLevel="0" collapsed="false"/>
    <row r="1952" customFormat="false" ht="15" hidden="false" customHeight="false" outlineLevel="0" collapsed="false"/>
    <row r="1953" customFormat="false" ht="15" hidden="false" customHeight="false" outlineLevel="0" collapsed="false"/>
    <row r="1954" customFormat="false" ht="15" hidden="false" customHeight="false" outlineLevel="0" collapsed="false"/>
    <row r="1955" customFormat="false" ht="15" hidden="false" customHeight="false" outlineLevel="0" collapsed="false"/>
    <row r="1956" customFormat="false" ht="15" hidden="false" customHeight="false" outlineLevel="0" collapsed="false"/>
    <row r="1957" customFormat="false" ht="15" hidden="false" customHeight="false" outlineLevel="0" collapsed="false"/>
    <row r="1958" customFormat="false" ht="15" hidden="false" customHeight="false" outlineLevel="0" collapsed="false"/>
    <row r="1959" customFormat="false" ht="15" hidden="false" customHeight="false" outlineLevel="0" collapsed="false"/>
    <row r="1960" customFormat="false" ht="15" hidden="false" customHeight="false" outlineLevel="0" collapsed="false"/>
    <row r="1961" customFormat="false" ht="15" hidden="false" customHeight="false" outlineLevel="0" collapsed="false"/>
    <row r="1962" customFormat="false" ht="15" hidden="false" customHeight="false" outlineLevel="0" collapsed="false"/>
    <row r="1963" customFormat="false" ht="15" hidden="false" customHeight="false" outlineLevel="0" collapsed="false"/>
    <row r="1964" customFormat="false" ht="15" hidden="false" customHeight="false" outlineLevel="0" collapsed="false"/>
    <row r="1965" customFormat="false" ht="15" hidden="false" customHeight="false" outlineLevel="0" collapsed="false"/>
    <row r="1966" customFormat="false" ht="15" hidden="false" customHeight="false" outlineLevel="0" collapsed="false"/>
    <row r="1967" customFormat="false" ht="15" hidden="false" customHeight="false" outlineLevel="0" collapsed="false"/>
    <row r="1968" customFormat="false" ht="15" hidden="false" customHeight="false" outlineLevel="0" collapsed="false"/>
    <row r="1969" customFormat="false" ht="15" hidden="false" customHeight="false" outlineLevel="0" collapsed="false"/>
    <row r="1970" customFormat="false" ht="15" hidden="false" customHeight="false" outlineLevel="0" collapsed="false"/>
    <row r="1971" customFormat="false" ht="15" hidden="false" customHeight="false" outlineLevel="0" collapsed="false"/>
    <row r="1972" customFormat="false" ht="15" hidden="false" customHeight="false" outlineLevel="0" collapsed="false"/>
    <row r="1973" customFormat="false" ht="15" hidden="false" customHeight="false" outlineLevel="0" collapsed="false"/>
    <row r="1974" customFormat="false" ht="15" hidden="false" customHeight="false" outlineLevel="0" collapsed="false"/>
    <row r="1975" customFormat="false" ht="15" hidden="false" customHeight="false" outlineLevel="0" collapsed="false"/>
    <row r="1976" customFormat="false" ht="15" hidden="false" customHeight="false" outlineLevel="0" collapsed="false"/>
    <row r="1977" customFormat="false" ht="15" hidden="false" customHeight="false" outlineLevel="0" collapsed="false"/>
    <row r="1978" customFormat="false" ht="15" hidden="false" customHeight="false" outlineLevel="0" collapsed="false"/>
    <row r="1979" customFormat="false" ht="15" hidden="false" customHeight="false" outlineLevel="0" collapsed="false"/>
    <row r="1980" customFormat="false" ht="15" hidden="false" customHeight="false" outlineLevel="0" collapsed="false"/>
    <row r="1981" customFormat="false" ht="15" hidden="false" customHeight="false" outlineLevel="0" collapsed="false"/>
    <row r="1982" customFormat="false" ht="15" hidden="false" customHeight="false" outlineLevel="0" collapsed="false"/>
    <row r="1983" customFormat="false" ht="15" hidden="false" customHeight="false" outlineLevel="0" collapsed="false"/>
    <row r="1984" customFormat="false" ht="15" hidden="false" customHeight="false" outlineLevel="0" collapsed="false"/>
    <row r="1985" customFormat="false" ht="15" hidden="false" customHeight="false" outlineLevel="0" collapsed="false"/>
    <row r="1986" customFormat="false" ht="15" hidden="false" customHeight="false" outlineLevel="0" collapsed="false"/>
    <row r="1987" customFormat="false" ht="15" hidden="false" customHeight="false" outlineLevel="0" collapsed="false"/>
    <row r="1988" customFormat="false" ht="15" hidden="false" customHeight="false" outlineLevel="0" collapsed="false"/>
    <row r="1989" customFormat="false" ht="15" hidden="false" customHeight="false" outlineLevel="0" collapsed="false"/>
    <row r="1990" customFormat="false" ht="15" hidden="false" customHeight="false" outlineLevel="0" collapsed="false"/>
    <row r="1991" customFormat="false" ht="15" hidden="false" customHeight="false" outlineLevel="0" collapsed="false"/>
    <row r="1992" customFormat="false" ht="15" hidden="false" customHeight="false" outlineLevel="0" collapsed="false"/>
    <row r="1993" customFormat="false" ht="15" hidden="false" customHeight="false" outlineLevel="0" collapsed="false"/>
    <row r="1994" customFormat="false" ht="15" hidden="false" customHeight="false" outlineLevel="0" collapsed="false"/>
    <row r="1995" customFormat="false" ht="15" hidden="false" customHeight="false" outlineLevel="0" collapsed="false"/>
    <row r="1996" customFormat="false" ht="15" hidden="false" customHeight="false" outlineLevel="0" collapsed="false"/>
    <row r="1997" customFormat="false" ht="15" hidden="false" customHeight="false" outlineLevel="0" collapsed="false"/>
    <row r="1998" customFormat="false" ht="15" hidden="false" customHeight="false" outlineLevel="0" collapsed="false"/>
    <row r="1999" customFormat="false" ht="15" hidden="false" customHeight="false" outlineLevel="0" collapsed="false"/>
    <row r="2000" customFormat="false" ht="15" hidden="false" customHeight="false" outlineLevel="0" collapsed="false"/>
    <row r="2001" customFormat="false" ht="15" hidden="false" customHeight="false" outlineLevel="0" collapsed="false"/>
    <row r="2002" customFormat="false" ht="15" hidden="false" customHeight="false" outlineLevel="0" collapsed="false"/>
    <row r="2003" customFormat="false" ht="15" hidden="false" customHeight="false" outlineLevel="0" collapsed="false"/>
    <row r="2004" customFormat="false" ht="15" hidden="false" customHeight="false" outlineLevel="0" collapsed="false"/>
    <row r="2005" customFormat="false" ht="15" hidden="false" customHeight="false" outlineLevel="0" collapsed="false"/>
    <row r="2006" customFormat="false" ht="15" hidden="false" customHeight="false" outlineLevel="0" collapsed="false"/>
    <row r="2007" customFormat="false" ht="15" hidden="false" customHeight="false" outlineLevel="0" collapsed="false"/>
    <row r="2008" customFormat="false" ht="15" hidden="false" customHeight="false" outlineLevel="0" collapsed="false"/>
    <row r="2009" customFormat="false" ht="15" hidden="false" customHeight="false" outlineLevel="0" collapsed="false"/>
    <row r="2010" customFormat="false" ht="15" hidden="false" customHeight="false" outlineLevel="0" collapsed="false"/>
    <row r="2011" customFormat="false" ht="15" hidden="false" customHeight="false" outlineLevel="0" collapsed="false"/>
    <row r="2012" customFormat="false" ht="15" hidden="false" customHeight="false" outlineLevel="0" collapsed="false"/>
    <row r="2013" customFormat="false" ht="15" hidden="false" customHeight="false" outlineLevel="0" collapsed="false"/>
    <row r="2014" customFormat="false" ht="15" hidden="false" customHeight="false" outlineLevel="0" collapsed="false"/>
    <row r="2015" customFormat="false" ht="15" hidden="false" customHeight="false" outlineLevel="0" collapsed="false"/>
    <row r="2016" customFormat="false" ht="15" hidden="false" customHeight="false" outlineLevel="0" collapsed="false"/>
    <row r="2017" customFormat="false" ht="15" hidden="false" customHeight="false" outlineLevel="0" collapsed="false"/>
    <row r="2018" customFormat="false" ht="15" hidden="false" customHeight="false" outlineLevel="0" collapsed="false"/>
    <row r="2019" customFormat="false" ht="15" hidden="false" customHeight="false" outlineLevel="0" collapsed="false"/>
    <row r="2020" customFormat="false" ht="15" hidden="false" customHeight="false" outlineLevel="0" collapsed="false"/>
    <row r="2021" customFormat="false" ht="15" hidden="false" customHeight="false" outlineLevel="0" collapsed="false"/>
    <row r="2022" customFormat="false" ht="15" hidden="false" customHeight="false" outlineLevel="0" collapsed="false"/>
    <row r="2023" customFormat="false" ht="15" hidden="false" customHeight="false" outlineLevel="0" collapsed="false"/>
    <row r="2024" customFormat="false" ht="15" hidden="false" customHeight="false" outlineLevel="0" collapsed="false"/>
    <row r="2025" customFormat="false" ht="15" hidden="false" customHeight="false" outlineLevel="0" collapsed="false"/>
    <row r="2026" customFormat="false" ht="15" hidden="false" customHeight="false" outlineLevel="0" collapsed="false"/>
    <row r="2027" customFormat="false" ht="15" hidden="false" customHeight="false" outlineLevel="0" collapsed="false"/>
    <row r="2028" customFormat="false" ht="15" hidden="false" customHeight="false" outlineLevel="0" collapsed="false"/>
    <row r="2029" customFormat="false" ht="15" hidden="false" customHeight="false" outlineLevel="0" collapsed="false"/>
    <row r="2030" customFormat="false" ht="15" hidden="false" customHeight="false" outlineLevel="0" collapsed="false"/>
    <row r="2031" customFormat="false" ht="15" hidden="false" customHeight="false" outlineLevel="0" collapsed="false"/>
    <row r="2032" customFormat="false" ht="15" hidden="false" customHeight="false" outlineLevel="0" collapsed="false"/>
    <row r="2033" customFormat="false" ht="15" hidden="false" customHeight="false" outlineLevel="0" collapsed="false"/>
    <row r="2034" customFormat="false" ht="15" hidden="false" customHeight="false" outlineLevel="0" collapsed="false"/>
    <row r="2035" customFormat="false" ht="15" hidden="false" customHeight="false" outlineLevel="0" collapsed="false"/>
    <row r="2036" customFormat="false" ht="15" hidden="false" customHeight="false" outlineLevel="0" collapsed="false"/>
    <row r="2037" customFormat="false" ht="15" hidden="false" customHeight="false" outlineLevel="0" collapsed="false"/>
    <row r="2038" customFormat="false" ht="15" hidden="false" customHeight="false" outlineLevel="0" collapsed="false"/>
    <row r="2039" customFormat="false" ht="15" hidden="false" customHeight="false" outlineLevel="0" collapsed="false"/>
    <row r="2040" customFormat="false" ht="15" hidden="false" customHeight="false" outlineLevel="0" collapsed="false"/>
    <row r="2041" customFormat="false" ht="15" hidden="false" customHeight="false" outlineLevel="0" collapsed="false"/>
    <row r="2042" customFormat="false" ht="15" hidden="false" customHeight="false" outlineLevel="0" collapsed="false"/>
    <row r="2043" customFormat="false" ht="15" hidden="false" customHeight="false" outlineLevel="0" collapsed="false"/>
    <row r="2044" customFormat="false" ht="15" hidden="false" customHeight="false" outlineLevel="0" collapsed="false"/>
    <row r="2045" customFormat="false" ht="15" hidden="false" customHeight="false" outlineLevel="0" collapsed="false"/>
    <row r="2046" customFormat="false" ht="15" hidden="false" customHeight="false" outlineLevel="0" collapsed="false"/>
    <row r="2047" customFormat="false" ht="15" hidden="false" customHeight="false" outlineLevel="0" collapsed="false"/>
    <row r="2048" customFormat="false" ht="15" hidden="false" customHeight="false" outlineLevel="0" collapsed="false"/>
    <row r="2049" customFormat="false" ht="15" hidden="false" customHeight="false" outlineLevel="0" collapsed="false"/>
    <row r="2050" customFormat="false" ht="15" hidden="false" customHeight="false" outlineLevel="0" collapsed="false"/>
    <row r="2051" customFormat="false" ht="15" hidden="false" customHeight="false" outlineLevel="0" collapsed="false"/>
    <row r="2052" customFormat="false" ht="15" hidden="false" customHeight="false" outlineLevel="0" collapsed="false"/>
  </sheetData>
  <mergeCells count="3">
    <mergeCell ref="A1:G1"/>
    <mergeCell ref="K1:L1"/>
    <mergeCell ref="O1:Q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W958"/>
  <sheetViews>
    <sheetView showFormulas="false" showGridLines="true" showRowColHeaders="fals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2" activeCellId="0" sqref="F2"/>
    </sheetView>
  </sheetViews>
  <sheetFormatPr defaultColWidth="8.6796875" defaultRowHeight="12.8" zeroHeight="false" outlineLevelRow="0" outlineLevelCol="0"/>
  <cols>
    <col collapsed="false" customWidth="true" hidden="false" outlineLevel="0" max="2" min="2" style="0" width="10.29"/>
    <col collapsed="false" customWidth="true" hidden="false" outlineLevel="0" max="5" min="5" style="0" width="13.71"/>
    <col collapsed="false" customWidth="true" hidden="false" outlineLevel="0" max="8" min="8" style="0" width="10.42"/>
    <col collapsed="false" customWidth="true" hidden="false" outlineLevel="0" max="10" min="10" style="0" width="10.42"/>
    <col collapsed="false" customWidth="true" hidden="false" outlineLevel="0" max="23" min="23" style="0" width="10.42"/>
  </cols>
  <sheetData>
    <row r="1" customFormat="false" ht="13.8" hidden="false" customHeight="false" outlineLevel="0" collapsed="false">
      <c r="A1" s="95" t="s">
        <v>155</v>
      </c>
      <c r="B1" s="95"/>
      <c r="C1" s="95"/>
      <c r="D1" s="95"/>
      <c r="E1" s="95"/>
      <c r="F1" s="95"/>
      <c r="G1" s="95"/>
      <c r="H1" s="95"/>
      <c r="I1" s="95"/>
      <c r="J1" s="95"/>
      <c r="N1" s="96" t="s">
        <v>132</v>
      </c>
      <c r="O1" s="96"/>
      <c r="Q1" s="97" t="s">
        <v>133</v>
      </c>
      <c r="R1" s="97"/>
      <c r="S1" s="97"/>
      <c r="T1" s="97"/>
      <c r="U1" s="97"/>
      <c r="V1" s="97"/>
      <c r="W1" s="97"/>
    </row>
    <row r="2" customFormat="false" ht="13.8" hidden="false" customHeight="false" outlineLevel="0" collapsed="false">
      <c r="A2" s="48" t="s">
        <v>108</v>
      </c>
      <c r="B2" s="48" t="s">
        <v>94</v>
      </c>
      <c r="C2" s="48" t="s">
        <v>156</v>
      </c>
      <c r="D2" s="48" t="s">
        <v>157</v>
      </c>
      <c r="E2" s="48" t="s">
        <v>116</v>
      </c>
      <c r="F2" s="48" t="s">
        <v>117</v>
      </c>
      <c r="G2" s="48" t="s">
        <v>118</v>
      </c>
      <c r="H2" s="48" t="s">
        <v>119</v>
      </c>
      <c r="I2" s="48" t="s">
        <v>120</v>
      </c>
      <c r="J2" s="48" t="s">
        <v>158</v>
      </c>
      <c r="N2" s="98" t="s">
        <v>108</v>
      </c>
      <c r="O2" s="98" t="s">
        <v>94</v>
      </c>
      <c r="Q2" s="48" t="s">
        <v>156</v>
      </c>
      <c r="R2" s="48" t="s">
        <v>157</v>
      </c>
      <c r="S2" s="48" t="s">
        <v>116</v>
      </c>
      <c r="T2" s="48" t="s">
        <v>117</v>
      </c>
      <c r="U2" s="48" t="s">
        <v>118</v>
      </c>
      <c r="V2" s="48" t="s">
        <v>119</v>
      </c>
      <c r="W2" s="48" t="s">
        <v>158</v>
      </c>
    </row>
    <row r="3" customFormat="false" ht="13.8" hidden="false" customHeight="false" outlineLevel="0" collapsed="false">
      <c r="A3" s="0" t="n">
        <v>10000</v>
      </c>
      <c r="B3" s="0" t="s">
        <v>137</v>
      </c>
      <c r="C3" s="0" t="n">
        <v>3</v>
      </c>
      <c r="D3" s="0" t="n">
        <v>6265554201035</v>
      </c>
      <c r="E3" s="94" t="s">
        <v>159</v>
      </c>
      <c r="F3" s="0" t="n">
        <v>4</v>
      </c>
      <c r="G3" s="99" t="n">
        <v>700</v>
      </c>
      <c r="I3" s="99" t="n">
        <v>2800</v>
      </c>
      <c r="J3" s="0" t="n">
        <v>7</v>
      </c>
      <c r="N3" s="98" t="n">
        <f aca="false">POS!P4</f>
        <v>10235</v>
      </c>
      <c r="O3" s="98" t="s">
        <v>160</v>
      </c>
      <c r="Q3" s="0" t="n">
        <v>887</v>
      </c>
      <c r="R3" s="0" t="n">
        <v>6260806400068</v>
      </c>
      <c r="S3" s="94" t="s">
        <v>161</v>
      </c>
      <c r="T3" s="0" t="n">
        <v>1</v>
      </c>
      <c r="U3" s="0" t="n">
        <v>35</v>
      </c>
      <c r="W3" s="0" t="n">
        <v>7</v>
      </c>
    </row>
    <row r="4" customFormat="false" ht="13.8" hidden="false" customHeight="false" outlineLevel="0" collapsed="false">
      <c r="A4" s="0" t="n">
        <v>10000</v>
      </c>
      <c r="B4" s="0" t="s">
        <v>137</v>
      </c>
      <c r="C4" s="0" t="n">
        <v>4</v>
      </c>
      <c r="D4" s="0" t="n">
        <v>6269007000015</v>
      </c>
      <c r="E4" s="94" t="s">
        <v>162</v>
      </c>
      <c r="F4" s="0" t="n">
        <v>4</v>
      </c>
      <c r="G4" s="99" t="n">
        <v>600</v>
      </c>
      <c r="I4" s="99" t="n">
        <v>2400</v>
      </c>
      <c r="J4" s="0" t="n">
        <v>8</v>
      </c>
      <c r="Q4" s="0" t="n">
        <v>888</v>
      </c>
      <c r="R4" s="0" t="n">
        <v>6260079211323</v>
      </c>
      <c r="S4" s="94" t="s">
        <v>163</v>
      </c>
      <c r="T4" s="0" t="n">
        <v>1</v>
      </c>
      <c r="U4" s="0" t="n">
        <v>35</v>
      </c>
      <c r="W4" s="0" t="n">
        <v>8</v>
      </c>
    </row>
    <row r="5" customFormat="false" ht="13.8" hidden="false" customHeight="false" outlineLevel="0" collapsed="false">
      <c r="A5" s="0" t="n">
        <v>10000</v>
      </c>
      <c r="B5" s="0" t="s">
        <v>137</v>
      </c>
      <c r="C5" s="0" t="n">
        <v>5</v>
      </c>
      <c r="D5" s="0" t="n">
        <v>2200</v>
      </c>
      <c r="E5" s="94" t="s">
        <v>164</v>
      </c>
      <c r="F5" s="0" t="n">
        <v>45.5</v>
      </c>
      <c r="G5" s="99" t="n">
        <v>60</v>
      </c>
      <c r="I5" s="99" t="n">
        <v>2730</v>
      </c>
      <c r="J5" s="0" t="n">
        <v>9</v>
      </c>
      <c r="Q5" s="0" t="n">
        <v>889</v>
      </c>
      <c r="R5" s="0" t="n">
        <v>6260308310278</v>
      </c>
      <c r="S5" s="94" t="s">
        <v>165</v>
      </c>
      <c r="T5" s="0" t="n">
        <v>1</v>
      </c>
      <c r="U5" s="0" t="n">
        <v>80</v>
      </c>
      <c r="W5" s="0" t="n">
        <v>9</v>
      </c>
    </row>
    <row r="6" customFormat="false" ht="13.8" hidden="false" customHeight="false" outlineLevel="0" collapsed="false">
      <c r="A6" s="0" t="n">
        <v>10000</v>
      </c>
      <c r="B6" s="0" t="s">
        <v>137</v>
      </c>
      <c r="C6" s="0" t="n">
        <v>6</v>
      </c>
      <c r="D6" s="0" t="n">
        <v>3000</v>
      </c>
      <c r="E6" s="94" t="s">
        <v>166</v>
      </c>
      <c r="F6" s="0" t="n">
        <v>9.15</v>
      </c>
      <c r="G6" s="99" t="n">
        <v>500</v>
      </c>
      <c r="I6" s="99" t="n">
        <v>4575</v>
      </c>
      <c r="J6" s="0" t="n">
        <v>10</v>
      </c>
    </row>
    <row r="7" customFormat="false" ht="13.8" hidden="false" customHeight="false" outlineLevel="0" collapsed="false">
      <c r="A7" s="0" t="n">
        <v>10000</v>
      </c>
      <c r="B7" s="0" t="s">
        <v>137</v>
      </c>
      <c r="C7" s="0" t="n">
        <v>7</v>
      </c>
      <c r="D7" s="0" t="n">
        <v>5600</v>
      </c>
      <c r="E7" s="94" t="s">
        <v>167</v>
      </c>
      <c r="F7" s="0" t="n">
        <v>5.3</v>
      </c>
      <c r="G7" s="99" t="n">
        <v>550</v>
      </c>
      <c r="I7" s="99" t="n">
        <v>2915</v>
      </c>
      <c r="J7" s="0" t="n">
        <v>11</v>
      </c>
    </row>
    <row r="8" customFormat="false" ht="13.8" hidden="false" customHeight="false" outlineLevel="0" collapsed="false">
      <c r="A8" s="0" t="n">
        <v>10000</v>
      </c>
      <c r="B8" s="0" t="s">
        <v>137</v>
      </c>
      <c r="C8" s="0" t="n">
        <v>8</v>
      </c>
      <c r="D8" s="0" t="n">
        <v>6261005083939</v>
      </c>
      <c r="E8" s="94" t="s">
        <v>168</v>
      </c>
      <c r="F8" s="0" t="n">
        <v>6</v>
      </c>
      <c r="G8" s="99" t="n">
        <v>25</v>
      </c>
      <c r="I8" s="99" t="n">
        <v>150</v>
      </c>
      <c r="J8" s="0" t="n">
        <v>12</v>
      </c>
    </row>
    <row r="9" customFormat="false" ht="13.8" hidden="false" customHeight="false" outlineLevel="0" collapsed="false">
      <c r="A9" s="0" t="n">
        <v>10000</v>
      </c>
      <c r="B9" s="0" t="s">
        <v>137</v>
      </c>
      <c r="C9" s="0" t="n">
        <v>9</v>
      </c>
      <c r="D9" s="0" t="n">
        <v>6261005083984</v>
      </c>
      <c r="E9" s="94" t="s">
        <v>169</v>
      </c>
      <c r="F9" s="0" t="n">
        <v>12</v>
      </c>
      <c r="G9" s="99" t="n">
        <v>20</v>
      </c>
      <c r="I9" s="99" t="n">
        <v>240</v>
      </c>
      <c r="J9" s="0" t="n">
        <v>13</v>
      </c>
    </row>
    <row r="10" customFormat="false" ht="13.8" hidden="false" customHeight="false" outlineLevel="0" collapsed="false">
      <c r="A10" s="0" t="n">
        <v>10000</v>
      </c>
      <c r="B10" s="0" t="s">
        <v>137</v>
      </c>
      <c r="C10" s="0" t="n">
        <v>10</v>
      </c>
      <c r="D10" s="0" t="n">
        <v>6269771300359</v>
      </c>
      <c r="E10" s="94" t="s">
        <v>170</v>
      </c>
      <c r="F10" s="0" t="n">
        <v>2</v>
      </c>
      <c r="G10" s="99" t="n">
        <v>80</v>
      </c>
      <c r="I10" s="99" t="n">
        <v>160</v>
      </c>
      <c r="J10" s="0" t="n">
        <v>14</v>
      </c>
    </row>
    <row r="11" customFormat="false" ht="13.8" hidden="false" customHeight="false" outlineLevel="0" collapsed="false">
      <c r="A11" s="0" t="n">
        <v>10000</v>
      </c>
      <c r="B11" s="0" t="s">
        <v>137</v>
      </c>
      <c r="C11" s="0" t="n">
        <v>11</v>
      </c>
      <c r="D11" s="0" t="n">
        <v>6400</v>
      </c>
      <c r="E11" s="94" t="s">
        <v>171</v>
      </c>
      <c r="F11" s="0" t="n">
        <v>5</v>
      </c>
      <c r="G11" s="99" t="n">
        <v>25</v>
      </c>
      <c r="I11" s="99" t="n">
        <v>125</v>
      </c>
      <c r="J11" s="0" t="n">
        <v>15</v>
      </c>
    </row>
    <row r="12" customFormat="false" ht="13.8" hidden="false" customHeight="false" outlineLevel="0" collapsed="false">
      <c r="A12" s="0" t="n">
        <v>10000</v>
      </c>
      <c r="B12" s="0" t="s">
        <v>137</v>
      </c>
      <c r="C12" s="0" t="n">
        <v>12</v>
      </c>
      <c r="D12" s="0" t="n">
        <v>6260501000433</v>
      </c>
      <c r="E12" s="94" t="s">
        <v>172</v>
      </c>
      <c r="F12" s="0" t="n">
        <v>36</v>
      </c>
      <c r="G12" s="99" t="n">
        <v>10</v>
      </c>
      <c r="I12" s="99" t="n">
        <v>360</v>
      </c>
      <c r="J12" s="0" t="n">
        <v>16</v>
      </c>
    </row>
    <row r="13" customFormat="false" ht="13.8" hidden="false" customHeight="false" outlineLevel="0" collapsed="false">
      <c r="A13" s="0" t="n">
        <v>10000</v>
      </c>
      <c r="B13" s="0" t="s">
        <v>137</v>
      </c>
      <c r="C13" s="0" t="n">
        <v>13</v>
      </c>
      <c r="D13" s="0" t="n">
        <v>162510046990122</v>
      </c>
      <c r="E13" s="94" t="s">
        <v>173</v>
      </c>
      <c r="F13" s="0" t="n">
        <v>46</v>
      </c>
      <c r="G13" s="99" t="n">
        <v>7</v>
      </c>
      <c r="I13" s="99" t="n">
        <v>322</v>
      </c>
      <c r="J13" s="0" t="n">
        <v>17</v>
      </c>
    </row>
    <row r="14" customFormat="false" ht="13.8" hidden="false" customHeight="false" outlineLevel="0" collapsed="false">
      <c r="A14" s="0" t="n">
        <v>10000</v>
      </c>
      <c r="B14" s="0" t="s">
        <v>137</v>
      </c>
      <c r="C14" s="0" t="n">
        <v>14</v>
      </c>
      <c r="D14" s="0" t="n">
        <v>6260469900110</v>
      </c>
      <c r="E14" s="94" t="s">
        <v>173</v>
      </c>
      <c r="F14" s="0" t="n">
        <v>46</v>
      </c>
      <c r="G14" s="99" t="n">
        <v>7</v>
      </c>
      <c r="I14" s="99" t="n">
        <v>322</v>
      </c>
      <c r="J14" s="0" t="n">
        <v>18</v>
      </c>
    </row>
    <row r="15" customFormat="false" ht="13.8" hidden="false" customHeight="false" outlineLevel="0" collapsed="false">
      <c r="A15" s="0" t="n">
        <v>10000</v>
      </c>
      <c r="B15" s="0" t="s">
        <v>137</v>
      </c>
      <c r="C15" s="0" t="n">
        <v>15</v>
      </c>
      <c r="D15" s="0" t="n">
        <v>6260501000440</v>
      </c>
      <c r="E15" s="94" t="s">
        <v>174</v>
      </c>
      <c r="F15" s="0" t="n">
        <v>36</v>
      </c>
      <c r="G15" s="99" t="n">
        <v>10</v>
      </c>
      <c r="I15" s="99" t="n">
        <v>360</v>
      </c>
      <c r="J15" s="0" t="n">
        <v>19</v>
      </c>
    </row>
    <row r="16" customFormat="false" ht="13.8" hidden="false" customHeight="false" outlineLevel="0" collapsed="false">
      <c r="A16" s="0" t="n">
        <v>10000</v>
      </c>
      <c r="B16" s="0" t="s">
        <v>137</v>
      </c>
      <c r="C16" s="0" t="n">
        <v>16</v>
      </c>
      <c r="D16" s="0" t="n">
        <v>6260031021038</v>
      </c>
      <c r="E16" s="94" t="s">
        <v>175</v>
      </c>
      <c r="F16" s="0" t="n">
        <v>15</v>
      </c>
      <c r="G16" s="99" t="n">
        <v>30</v>
      </c>
      <c r="I16" s="99" t="n">
        <v>450</v>
      </c>
      <c r="J16" s="0" t="n">
        <v>20</v>
      </c>
    </row>
    <row r="17" customFormat="false" ht="13.8" hidden="false" customHeight="false" outlineLevel="0" collapsed="false">
      <c r="A17" s="0" t="n">
        <v>10000</v>
      </c>
      <c r="B17" s="0" t="s">
        <v>137</v>
      </c>
      <c r="C17" s="0" t="n">
        <v>17</v>
      </c>
      <c r="D17" s="0" t="n">
        <v>6260031000026</v>
      </c>
      <c r="E17" s="94" t="s">
        <v>176</v>
      </c>
      <c r="F17" s="0" t="n">
        <v>1</v>
      </c>
      <c r="G17" s="99" t="n">
        <v>30</v>
      </c>
      <c r="I17" s="99" t="n">
        <v>30</v>
      </c>
      <c r="J17" s="0" t="n">
        <v>21</v>
      </c>
    </row>
    <row r="18" customFormat="false" ht="13.8" hidden="false" customHeight="false" outlineLevel="0" collapsed="false">
      <c r="A18" s="0" t="n">
        <v>10000</v>
      </c>
      <c r="B18" s="0" t="s">
        <v>137</v>
      </c>
      <c r="C18" s="0" t="n">
        <v>18</v>
      </c>
      <c r="D18" s="0" t="n">
        <v>6263430600620</v>
      </c>
      <c r="E18" s="94" t="s">
        <v>177</v>
      </c>
      <c r="F18" s="0" t="n">
        <v>3</v>
      </c>
      <c r="G18" s="99" t="n">
        <v>50</v>
      </c>
      <c r="I18" s="99" t="n">
        <v>150</v>
      </c>
      <c r="J18" s="0" t="n">
        <v>22</v>
      </c>
    </row>
    <row r="19" customFormat="false" ht="13.8" hidden="false" customHeight="false" outlineLevel="0" collapsed="false">
      <c r="A19" s="0" t="n">
        <v>10000</v>
      </c>
      <c r="B19" s="0" t="s">
        <v>137</v>
      </c>
      <c r="C19" s="0" t="n">
        <v>19</v>
      </c>
      <c r="D19" s="0" t="n">
        <v>6261101521038</v>
      </c>
      <c r="E19" s="94" t="s">
        <v>178</v>
      </c>
      <c r="F19" s="0" t="n">
        <v>1</v>
      </c>
      <c r="G19" s="99" t="n">
        <v>12</v>
      </c>
      <c r="I19" s="99" t="n">
        <v>12</v>
      </c>
      <c r="J19" s="0" t="n">
        <v>23</v>
      </c>
    </row>
    <row r="20" customFormat="false" ht="13.8" hidden="false" customHeight="false" outlineLevel="0" collapsed="false">
      <c r="A20" s="0" t="n">
        <v>10000</v>
      </c>
      <c r="B20" s="0" t="s">
        <v>137</v>
      </c>
      <c r="C20" s="0" t="n">
        <v>20</v>
      </c>
      <c r="D20" s="0" t="n">
        <v>6260469900110</v>
      </c>
      <c r="E20" s="94" t="s">
        <v>173</v>
      </c>
      <c r="F20" s="0" t="n">
        <v>1</v>
      </c>
      <c r="G20" s="99" t="n">
        <v>7</v>
      </c>
      <c r="I20" s="99" t="n">
        <v>7</v>
      </c>
      <c r="J20" s="0" t="n">
        <v>24</v>
      </c>
    </row>
    <row r="21" customFormat="false" ht="13.8" hidden="false" customHeight="false" outlineLevel="0" collapsed="false">
      <c r="A21" s="0" t="n">
        <v>10000</v>
      </c>
      <c r="B21" s="0" t="s">
        <v>137</v>
      </c>
      <c r="C21" s="0" t="n">
        <v>21</v>
      </c>
      <c r="D21" s="0" t="n">
        <v>6263430600620</v>
      </c>
      <c r="E21" s="94" t="s">
        <v>177</v>
      </c>
      <c r="F21" s="0" t="n">
        <v>12</v>
      </c>
      <c r="G21" s="99" t="n">
        <v>50</v>
      </c>
      <c r="I21" s="99" t="n">
        <v>600</v>
      </c>
      <c r="J21" s="0" t="n">
        <v>25</v>
      </c>
    </row>
    <row r="22" customFormat="false" ht="13.8" hidden="false" customHeight="false" outlineLevel="0" collapsed="false">
      <c r="A22" s="0" t="n">
        <v>10000</v>
      </c>
      <c r="B22" s="0" t="s">
        <v>137</v>
      </c>
      <c r="C22" s="0" t="n">
        <v>22</v>
      </c>
      <c r="D22" s="0" t="n">
        <v>6263430600620</v>
      </c>
      <c r="E22" s="94" t="s">
        <v>177</v>
      </c>
      <c r="F22" s="0" t="n">
        <v>3</v>
      </c>
      <c r="G22" s="99" t="n">
        <v>50</v>
      </c>
      <c r="I22" s="99" t="n">
        <v>150</v>
      </c>
      <c r="J22" s="0" t="n">
        <v>26</v>
      </c>
    </row>
    <row r="23" customFormat="false" ht="13.8" hidden="false" customHeight="false" outlineLevel="0" collapsed="false">
      <c r="A23" s="0" t="n">
        <v>10000</v>
      </c>
      <c r="B23" s="0" t="s">
        <v>137</v>
      </c>
      <c r="C23" s="0" t="n">
        <v>23</v>
      </c>
      <c r="D23" s="0" t="n">
        <v>6262310800105</v>
      </c>
      <c r="E23" s="94" t="s">
        <v>179</v>
      </c>
      <c r="F23" s="0" t="n">
        <v>5</v>
      </c>
      <c r="G23" s="99" t="n">
        <v>30</v>
      </c>
      <c r="I23" s="99" t="n">
        <v>150</v>
      </c>
      <c r="J23" s="0" t="n">
        <v>27</v>
      </c>
    </row>
    <row r="24" customFormat="false" ht="13.8" hidden="false" customHeight="false" outlineLevel="0" collapsed="false">
      <c r="A24" s="0" t="n">
        <v>10000</v>
      </c>
      <c r="B24" s="0" t="s">
        <v>137</v>
      </c>
      <c r="C24" s="0" t="n">
        <v>24</v>
      </c>
      <c r="D24" s="0" t="n">
        <v>6262310800105</v>
      </c>
      <c r="E24" s="94" t="s">
        <v>179</v>
      </c>
      <c r="F24" s="0" t="n">
        <v>4</v>
      </c>
      <c r="G24" s="99" t="n">
        <v>30</v>
      </c>
      <c r="I24" s="99" t="n">
        <v>120</v>
      </c>
      <c r="J24" s="0" t="n">
        <v>28</v>
      </c>
    </row>
    <row r="25" customFormat="false" ht="13.8" hidden="false" customHeight="false" outlineLevel="0" collapsed="false">
      <c r="A25" s="0" t="n">
        <v>10000</v>
      </c>
      <c r="B25" s="0" t="s">
        <v>137</v>
      </c>
      <c r="C25" s="0" t="n">
        <v>25</v>
      </c>
      <c r="D25" s="0" t="n">
        <v>6262310800372</v>
      </c>
      <c r="E25" s="94" t="s">
        <v>180</v>
      </c>
      <c r="F25" s="0" t="n">
        <v>8</v>
      </c>
      <c r="G25" s="99" t="n">
        <v>20</v>
      </c>
      <c r="I25" s="99" t="n">
        <v>160</v>
      </c>
      <c r="J25" s="0" t="n">
        <v>29</v>
      </c>
    </row>
    <row r="26" customFormat="false" ht="13.8" hidden="false" customHeight="false" outlineLevel="0" collapsed="false">
      <c r="A26" s="0" t="n">
        <v>10000</v>
      </c>
      <c r="B26" s="0" t="s">
        <v>137</v>
      </c>
      <c r="C26" s="0" t="n">
        <v>26</v>
      </c>
      <c r="D26" s="0" t="n">
        <v>6261101140215</v>
      </c>
      <c r="E26" s="94" t="s">
        <v>181</v>
      </c>
      <c r="F26" s="0" t="n">
        <v>12</v>
      </c>
      <c r="G26" s="99" t="n">
        <v>18</v>
      </c>
      <c r="I26" s="99" t="n">
        <v>216</v>
      </c>
      <c r="J26" s="0" t="n">
        <v>30</v>
      </c>
    </row>
    <row r="27" customFormat="false" ht="13.8" hidden="false" customHeight="false" outlineLevel="0" collapsed="false">
      <c r="A27" s="0" t="n">
        <v>10000</v>
      </c>
      <c r="B27" s="0" t="s">
        <v>137</v>
      </c>
      <c r="C27" s="0" t="n">
        <v>27</v>
      </c>
      <c r="D27" s="0" t="n">
        <v>6262310800334</v>
      </c>
      <c r="E27" s="94" t="s">
        <v>182</v>
      </c>
      <c r="F27" s="0" t="n">
        <v>1</v>
      </c>
      <c r="G27" s="99" t="n">
        <v>20</v>
      </c>
      <c r="I27" s="99" t="n">
        <v>20</v>
      </c>
      <c r="J27" s="0" t="n">
        <v>31</v>
      </c>
    </row>
    <row r="28" customFormat="false" ht="13.8" hidden="false" customHeight="false" outlineLevel="0" collapsed="false">
      <c r="A28" s="0" t="n">
        <v>10000</v>
      </c>
      <c r="B28" s="0" t="s">
        <v>137</v>
      </c>
      <c r="C28" s="0" t="n">
        <v>28</v>
      </c>
      <c r="D28" s="0" t="n">
        <v>6261101313039</v>
      </c>
      <c r="E28" s="94" t="s">
        <v>183</v>
      </c>
      <c r="F28" s="0" t="n">
        <v>5</v>
      </c>
      <c r="G28" s="99" t="n">
        <v>100</v>
      </c>
      <c r="I28" s="99" t="n">
        <v>500</v>
      </c>
      <c r="J28" s="0" t="n">
        <v>32</v>
      </c>
    </row>
    <row r="29" customFormat="false" ht="13.8" hidden="false" customHeight="false" outlineLevel="0" collapsed="false">
      <c r="A29" s="0" t="n">
        <v>10000</v>
      </c>
      <c r="B29" s="0" t="s">
        <v>137</v>
      </c>
      <c r="C29" s="0" t="n">
        <v>29</v>
      </c>
      <c r="D29" s="0" t="n">
        <v>6263936300758</v>
      </c>
      <c r="E29" s="94" t="s">
        <v>184</v>
      </c>
      <c r="F29" s="0" t="n">
        <v>1</v>
      </c>
      <c r="G29" s="99" t="n">
        <v>80</v>
      </c>
      <c r="I29" s="99" t="n">
        <v>80</v>
      </c>
      <c r="J29" s="0" t="n">
        <v>33</v>
      </c>
    </row>
    <row r="30" customFormat="false" ht="13.8" hidden="false" customHeight="false" outlineLevel="0" collapsed="false">
      <c r="A30" s="0" t="n">
        <v>10000</v>
      </c>
      <c r="B30" s="0" t="s">
        <v>137</v>
      </c>
      <c r="C30" s="0" t="n">
        <v>30</v>
      </c>
      <c r="D30" s="0" t="n">
        <v>6260151810017</v>
      </c>
      <c r="E30" s="94" t="s">
        <v>185</v>
      </c>
      <c r="F30" s="0" t="n">
        <v>3</v>
      </c>
      <c r="G30" s="99" t="n">
        <v>20</v>
      </c>
      <c r="I30" s="99" t="n">
        <v>60</v>
      </c>
      <c r="J30" s="0" t="n">
        <v>34</v>
      </c>
    </row>
    <row r="31" customFormat="false" ht="13.8" hidden="false" customHeight="false" outlineLevel="0" collapsed="false">
      <c r="A31" s="0" t="n">
        <v>10000</v>
      </c>
      <c r="B31" s="0" t="s">
        <v>137</v>
      </c>
      <c r="C31" s="0" t="n">
        <v>31</v>
      </c>
      <c r="D31" s="0" t="n">
        <v>6261005000257</v>
      </c>
      <c r="E31" s="94" t="s">
        <v>186</v>
      </c>
      <c r="F31" s="0" t="n">
        <v>9</v>
      </c>
      <c r="G31" s="99" t="n">
        <v>45</v>
      </c>
      <c r="I31" s="99" t="n">
        <v>405</v>
      </c>
      <c r="J31" s="0" t="n">
        <v>35</v>
      </c>
    </row>
    <row r="32" customFormat="false" ht="13.8" hidden="false" customHeight="false" outlineLevel="0" collapsed="false">
      <c r="A32" s="0" t="n">
        <v>10000</v>
      </c>
      <c r="B32" s="0" t="s">
        <v>137</v>
      </c>
      <c r="C32" s="0" t="n">
        <v>32</v>
      </c>
      <c r="D32" s="0" t="n">
        <v>6260750400497</v>
      </c>
      <c r="E32" s="94" t="s">
        <v>187</v>
      </c>
      <c r="F32" s="0" t="n">
        <v>12</v>
      </c>
      <c r="G32" s="99" t="n">
        <v>40</v>
      </c>
      <c r="I32" s="99" t="n">
        <v>480</v>
      </c>
      <c r="J32" s="0" t="n">
        <v>36</v>
      </c>
    </row>
    <row r="33" customFormat="false" ht="13.8" hidden="false" customHeight="false" outlineLevel="0" collapsed="false">
      <c r="A33" s="0" t="n">
        <v>10000</v>
      </c>
      <c r="B33" s="0" t="s">
        <v>137</v>
      </c>
      <c r="C33" s="0" t="n">
        <v>33</v>
      </c>
      <c r="D33" s="0" t="n">
        <v>6260750400510</v>
      </c>
      <c r="E33" s="94" t="s">
        <v>188</v>
      </c>
      <c r="F33" s="0" t="n">
        <v>12</v>
      </c>
      <c r="G33" s="99" t="n">
        <v>45</v>
      </c>
      <c r="I33" s="99" t="n">
        <v>540</v>
      </c>
      <c r="J33" s="0" t="n">
        <v>37</v>
      </c>
    </row>
    <row r="34" customFormat="false" ht="13.8" hidden="false" customHeight="false" outlineLevel="0" collapsed="false">
      <c r="A34" s="0" t="n">
        <v>10000</v>
      </c>
      <c r="B34" s="0" t="s">
        <v>137</v>
      </c>
      <c r="C34" s="0" t="n">
        <v>34</v>
      </c>
      <c r="D34" s="0" t="n">
        <v>6265499500101</v>
      </c>
      <c r="E34" s="94" t="s">
        <v>189</v>
      </c>
      <c r="F34" s="0" t="n">
        <v>7</v>
      </c>
      <c r="G34" s="99" t="n">
        <v>50</v>
      </c>
      <c r="I34" s="99" t="n">
        <v>350</v>
      </c>
      <c r="J34" s="0" t="n">
        <v>38</v>
      </c>
    </row>
    <row r="35" customFormat="false" ht="13.8" hidden="false" customHeight="false" outlineLevel="0" collapsed="false">
      <c r="A35" s="0" t="n">
        <v>10000</v>
      </c>
      <c r="B35" s="0" t="s">
        <v>137</v>
      </c>
      <c r="C35" s="0" t="n">
        <v>35</v>
      </c>
      <c r="D35" s="0" t="n">
        <v>6260533000067</v>
      </c>
      <c r="E35" s="94" t="s">
        <v>190</v>
      </c>
      <c r="F35" s="0" t="n">
        <v>14</v>
      </c>
      <c r="G35" s="99" t="n">
        <v>45</v>
      </c>
      <c r="I35" s="99" t="n">
        <v>630</v>
      </c>
      <c r="J35" s="0" t="n">
        <v>39</v>
      </c>
    </row>
    <row r="36" customFormat="false" ht="13.8" hidden="false" customHeight="false" outlineLevel="0" collapsed="false">
      <c r="A36" s="0" t="n">
        <v>10000</v>
      </c>
      <c r="B36" s="0" t="s">
        <v>137</v>
      </c>
      <c r="C36" s="0" t="n">
        <v>36</v>
      </c>
      <c r="D36" s="0" t="n">
        <v>160100153410010</v>
      </c>
      <c r="E36" s="94" t="s">
        <v>191</v>
      </c>
      <c r="F36" s="0" t="n">
        <v>5</v>
      </c>
      <c r="G36" s="99" t="n">
        <v>30</v>
      </c>
      <c r="I36" s="99" t="n">
        <v>150</v>
      </c>
      <c r="J36" s="0" t="n">
        <v>40</v>
      </c>
    </row>
    <row r="37" customFormat="false" ht="13.8" hidden="false" customHeight="false" outlineLevel="0" collapsed="false">
      <c r="A37" s="0" t="n">
        <v>10000</v>
      </c>
      <c r="B37" s="0" t="s">
        <v>137</v>
      </c>
      <c r="C37" s="0" t="n">
        <v>37</v>
      </c>
      <c r="D37" s="0" t="n">
        <v>160100153410010</v>
      </c>
      <c r="E37" s="94" t="s">
        <v>191</v>
      </c>
      <c r="F37" s="0" t="n">
        <v>1</v>
      </c>
      <c r="G37" s="99" t="n">
        <v>30</v>
      </c>
      <c r="I37" s="99" t="n">
        <v>30</v>
      </c>
      <c r="J37" s="0" t="n">
        <v>41</v>
      </c>
    </row>
    <row r="38" customFormat="false" ht="13.8" hidden="false" customHeight="false" outlineLevel="0" collapsed="false">
      <c r="A38" s="0" t="n">
        <v>10000</v>
      </c>
      <c r="B38" s="0" t="s">
        <v>137</v>
      </c>
      <c r="C38" s="0" t="n">
        <v>38</v>
      </c>
      <c r="D38" s="0" t="n">
        <v>6268612401767</v>
      </c>
      <c r="E38" s="94" t="s">
        <v>192</v>
      </c>
      <c r="F38" s="0" t="n">
        <v>1</v>
      </c>
      <c r="G38" s="99" t="n">
        <v>27</v>
      </c>
      <c r="I38" s="99" t="n">
        <v>27</v>
      </c>
      <c r="J38" s="0" t="n">
        <v>42</v>
      </c>
    </row>
    <row r="39" customFormat="false" ht="13.8" hidden="false" customHeight="false" outlineLevel="0" collapsed="false">
      <c r="A39" s="0" t="n">
        <v>10000</v>
      </c>
      <c r="B39" s="0" t="s">
        <v>137</v>
      </c>
      <c r="C39" s="0" t="n">
        <v>39</v>
      </c>
      <c r="D39" s="0" t="n">
        <v>6261670803870</v>
      </c>
      <c r="E39" s="94" t="s">
        <v>193</v>
      </c>
      <c r="F39" s="0" t="n">
        <v>5</v>
      </c>
      <c r="G39" s="99" t="n">
        <v>25</v>
      </c>
      <c r="I39" s="99" t="n">
        <v>125</v>
      </c>
      <c r="J39" s="0" t="n">
        <v>43</v>
      </c>
    </row>
    <row r="40" customFormat="false" ht="13.8" hidden="false" customHeight="false" outlineLevel="0" collapsed="false">
      <c r="A40" s="0" t="n">
        <v>10000</v>
      </c>
      <c r="B40" s="0" t="s">
        <v>137</v>
      </c>
      <c r="C40" s="0" t="n">
        <v>40</v>
      </c>
      <c r="D40" s="0" t="n">
        <v>6261101511152</v>
      </c>
      <c r="E40" s="94" t="s">
        <v>194</v>
      </c>
      <c r="F40" s="0" t="n">
        <v>6</v>
      </c>
      <c r="G40" s="99" t="n">
        <v>25</v>
      </c>
      <c r="I40" s="99" t="n">
        <v>150</v>
      </c>
      <c r="J40" s="0" t="n">
        <v>44</v>
      </c>
    </row>
    <row r="41" customFormat="false" ht="13.8" hidden="false" customHeight="false" outlineLevel="0" collapsed="false">
      <c r="A41" s="0" t="n">
        <v>10000</v>
      </c>
      <c r="B41" s="0" t="s">
        <v>137</v>
      </c>
      <c r="C41" s="0" t="n">
        <v>41</v>
      </c>
      <c r="D41" s="0" t="n">
        <v>6261101640340</v>
      </c>
      <c r="E41" s="94" t="s">
        <v>195</v>
      </c>
      <c r="F41" s="0" t="n">
        <v>10</v>
      </c>
      <c r="G41" s="99" t="n">
        <v>25</v>
      </c>
      <c r="I41" s="99" t="n">
        <v>250</v>
      </c>
      <c r="J41" s="0" t="n">
        <v>45</v>
      </c>
    </row>
    <row r="42" customFormat="false" ht="13.8" hidden="false" customHeight="false" outlineLevel="0" collapsed="false">
      <c r="A42" s="0" t="n">
        <v>10000</v>
      </c>
      <c r="B42" s="0" t="s">
        <v>137</v>
      </c>
      <c r="C42" s="0" t="n">
        <v>42</v>
      </c>
      <c r="D42" s="0" t="n">
        <v>6260644400497</v>
      </c>
      <c r="E42" s="94" t="s">
        <v>196</v>
      </c>
      <c r="F42" s="0" t="n">
        <v>3</v>
      </c>
      <c r="G42" s="99" t="n">
        <v>10</v>
      </c>
      <c r="I42" s="99" t="n">
        <v>30</v>
      </c>
      <c r="J42" s="0" t="n">
        <v>46</v>
      </c>
    </row>
    <row r="43" customFormat="false" ht="13.8" hidden="false" customHeight="false" outlineLevel="0" collapsed="false">
      <c r="A43" s="0" t="n">
        <v>10000</v>
      </c>
      <c r="B43" s="0" t="s">
        <v>137</v>
      </c>
      <c r="C43" s="0" t="n">
        <v>43</v>
      </c>
      <c r="D43" s="0" t="n">
        <v>6260737001631</v>
      </c>
      <c r="E43" s="94" t="s">
        <v>197</v>
      </c>
      <c r="F43" s="0" t="n">
        <v>23</v>
      </c>
      <c r="G43" s="99" t="n">
        <v>8</v>
      </c>
      <c r="I43" s="99" t="n">
        <v>184</v>
      </c>
      <c r="J43" s="0" t="n">
        <v>47</v>
      </c>
    </row>
    <row r="44" customFormat="false" ht="13.8" hidden="false" customHeight="false" outlineLevel="0" collapsed="false">
      <c r="A44" s="0" t="n">
        <v>10000</v>
      </c>
      <c r="B44" s="0" t="s">
        <v>137</v>
      </c>
      <c r="C44" s="0" t="n">
        <v>44</v>
      </c>
      <c r="D44" s="0" t="n">
        <v>2282110065170120</v>
      </c>
      <c r="E44" s="94" t="s">
        <v>198</v>
      </c>
      <c r="F44" s="0" t="n">
        <v>6</v>
      </c>
      <c r="G44" s="99" t="n">
        <v>55</v>
      </c>
      <c r="I44" s="99" t="n">
        <v>330</v>
      </c>
      <c r="J44" s="0" t="n">
        <v>48</v>
      </c>
    </row>
    <row r="45" customFormat="false" ht="13.8" hidden="false" customHeight="false" outlineLevel="0" collapsed="false">
      <c r="A45" s="0" t="n">
        <v>10000</v>
      </c>
      <c r="B45" s="0" t="s">
        <v>137</v>
      </c>
      <c r="C45" s="0" t="n">
        <v>45</v>
      </c>
      <c r="D45" s="0" t="n">
        <v>6260039016517</v>
      </c>
      <c r="E45" s="94" t="s">
        <v>199</v>
      </c>
      <c r="F45" s="0" t="n">
        <v>2</v>
      </c>
      <c r="G45" s="99" t="n">
        <v>15</v>
      </c>
      <c r="I45" s="99" t="n">
        <v>30</v>
      </c>
      <c r="J45" s="0" t="n">
        <v>49</v>
      </c>
    </row>
    <row r="46" customFormat="false" ht="13.8" hidden="false" customHeight="false" outlineLevel="0" collapsed="false">
      <c r="A46" s="0" t="n">
        <v>10000</v>
      </c>
      <c r="B46" s="0" t="s">
        <v>137</v>
      </c>
      <c r="C46" s="0" t="n">
        <v>46</v>
      </c>
      <c r="D46" s="0" t="n">
        <v>6260201109535</v>
      </c>
      <c r="E46" s="94" t="s">
        <v>200</v>
      </c>
      <c r="F46" s="0" t="n">
        <v>1</v>
      </c>
      <c r="G46" s="99" t="n">
        <v>30</v>
      </c>
      <c r="I46" s="99" t="n">
        <v>30</v>
      </c>
      <c r="J46" s="0" t="n">
        <v>50</v>
      </c>
    </row>
    <row r="47" customFormat="false" ht="13.8" hidden="false" customHeight="false" outlineLevel="0" collapsed="false">
      <c r="A47" s="0" t="n">
        <v>10000</v>
      </c>
      <c r="B47" s="0" t="s">
        <v>137</v>
      </c>
      <c r="C47" s="0" t="n">
        <v>47</v>
      </c>
      <c r="D47" s="0" t="n">
        <v>6260201102239</v>
      </c>
      <c r="E47" s="94" t="s">
        <v>201</v>
      </c>
      <c r="F47" s="0" t="n">
        <v>1</v>
      </c>
      <c r="G47" s="99" t="n">
        <v>30</v>
      </c>
      <c r="I47" s="99" t="n">
        <v>30</v>
      </c>
      <c r="J47" s="0" t="n">
        <v>51</v>
      </c>
    </row>
    <row r="48" customFormat="false" ht="13.8" hidden="false" customHeight="false" outlineLevel="0" collapsed="false">
      <c r="A48" s="0" t="n">
        <v>10000</v>
      </c>
      <c r="B48" s="0" t="s">
        <v>137</v>
      </c>
      <c r="C48" s="0" t="n">
        <v>48</v>
      </c>
      <c r="D48" s="0" t="n">
        <v>6260201102239</v>
      </c>
      <c r="E48" s="94" t="s">
        <v>201</v>
      </c>
      <c r="F48" s="0" t="n">
        <v>1</v>
      </c>
      <c r="G48" s="99" t="n">
        <v>30</v>
      </c>
      <c r="I48" s="99" t="n">
        <v>30</v>
      </c>
      <c r="J48" s="0" t="n">
        <v>52</v>
      </c>
    </row>
    <row r="49" customFormat="false" ht="13.8" hidden="false" customHeight="false" outlineLevel="0" collapsed="false">
      <c r="A49" s="0" t="n">
        <v>10000</v>
      </c>
      <c r="B49" s="0" t="s">
        <v>137</v>
      </c>
      <c r="C49" s="0" t="n">
        <v>49</v>
      </c>
      <c r="D49" s="0" t="n">
        <v>6260201109320</v>
      </c>
      <c r="E49" s="94" t="s">
        <v>202</v>
      </c>
      <c r="F49" s="0" t="n">
        <v>1</v>
      </c>
      <c r="G49" s="99" t="n">
        <v>30</v>
      </c>
      <c r="I49" s="99" t="n">
        <v>30</v>
      </c>
      <c r="J49" s="0" t="n">
        <v>53</v>
      </c>
    </row>
    <row r="50" customFormat="false" ht="13.8" hidden="false" customHeight="false" outlineLevel="0" collapsed="false">
      <c r="A50" s="0" t="n">
        <v>10000</v>
      </c>
      <c r="B50" s="0" t="s">
        <v>137</v>
      </c>
      <c r="C50" s="0" t="n">
        <v>50</v>
      </c>
      <c r="D50" s="0" t="n">
        <v>6260201170054</v>
      </c>
      <c r="E50" s="94" t="s">
        <v>203</v>
      </c>
      <c r="F50" s="0" t="n">
        <v>1</v>
      </c>
      <c r="G50" s="99" t="n">
        <v>30</v>
      </c>
      <c r="I50" s="99" t="n">
        <v>30</v>
      </c>
      <c r="J50" s="0" t="n">
        <v>54</v>
      </c>
    </row>
    <row r="51" customFormat="false" ht="13.8" hidden="false" customHeight="false" outlineLevel="0" collapsed="false">
      <c r="A51" s="0" t="n">
        <v>10000</v>
      </c>
      <c r="B51" s="0" t="s">
        <v>137</v>
      </c>
      <c r="C51" s="0" t="n">
        <v>51</v>
      </c>
      <c r="D51" s="0" t="n">
        <v>6260201170054</v>
      </c>
      <c r="E51" s="94" t="s">
        <v>203</v>
      </c>
      <c r="F51" s="0" t="n">
        <v>1</v>
      </c>
      <c r="G51" s="99" t="n">
        <v>30</v>
      </c>
      <c r="I51" s="99" t="n">
        <v>30</v>
      </c>
      <c r="J51" s="0" t="n">
        <v>55</v>
      </c>
    </row>
    <row r="52" customFormat="false" ht="13.8" hidden="false" customHeight="false" outlineLevel="0" collapsed="false">
      <c r="A52" s="0" t="n">
        <v>10000</v>
      </c>
      <c r="B52" s="0" t="s">
        <v>137</v>
      </c>
      <c r="C52" s="0" t="n">
        <v>52</v>
      </c>
      <c r="D52" s="0" t="n">
        <v>6260201102239</v>
      </c>
      <c r="E52" s="94" t="s">
        <v>201</v>
      </c>
      <c r="F52" s="0" t="n">
        <v>1</v>
      </c>
      <c r="G52" s="99" t="n">
        <v>30</v>
      </c>
      <c r="I52" s="99" t="n">
        <v>30</v>
      </c>
      <c r="J52" s="0" t="n">
        <v>56</v>
      </c>
    </row>
    <row r="53" customFormat="false" ht="13.8" hidden="false" customHeight="false" outlineLevel="0" collapsed="false">
      <c r="A53" s="0" t="n">
        <v>10000</v>
      </c>
      <c r="B53" s="0" t="s">
        <v>137</v>
      </c>
      <c r="C53" s="0" t="n">
        <v>53</v>
      </c>
      <c r="D53" s="0" t="n">
        <v>3500</v>
      </c>
      <c r="E53" s="94" t="s">
        <v>204</v>
      </c>
      <c r="F53" s="0" t="n">
        <v>5</v>
      </c>
      <c r="G53" s="99" t="n">
        <v>40</v>
      </c>
      <c r="I53" s="99" t="n">
        <v>200</v>
      </c>
      <c r="J53" s="0" t="n">
        <v>57</v>
      </c>
    </row>
    <row r="54" customFormat="false" ht="13.8" hidden="false" customHeight="false" outlineLevel="0" collapsed="false">
      <c r="A54" s="0" t="n">
        <v>10000</v>
      </c>
      <c r="B54" s="0" t="s">
        <v>137</v>
      </c>
      <c r="C54" s="0" t="n">
        <v>54</v>
      </c>
      <c r="D54" s="0" t="n">
        <v>7600</v>
      </c>
      <c r="E54" s="94" t="s">
        <v>205</v>
      </c>
      <c r="F54" s="0" t="n">
        <v>10</v>
      </c>
      <c r="G54" s="99" t="n">
        <v>27</v>
      </c>
      <c r="I54" s="99" t="n">
        <v>270</v>
      </c>
      <c r="J54" s="0" t="n">
        <v>58</v>
      </c>
    </row>
    <row r="55" customFormat="false" ht="13.8" hidden="false" customHeight="false" outlineLevel="0" collapsed="false">
      <c r="A55" s="0" t="n">
        <v>10000</v>
      </c>
      <c r="B55" s="0" t="s">
        <v>137</v>
      </c>
      <c r="C55" s="0" t="n">
        <v>55</v>
      </c>
      <c r="D55" s="0" t="n">
        <v>161100268420079</v>
      </c>
      <c r="E55" s="94" t="s">
        <v>206</v>
      </c>
      <c r="F55" s="0" t="n">
        <v>15</v>
      </c>
      <c r="G55" s="99" t="n">
        <v>70</v>
      </c>
      <c r="I55" s="99" t="n">
        <v>1050</v>
      </c>
      <c r="J55" s="0" t="n">
        <v>59</v>
      </c>
    </row>
    <row r="56" customFormat="false" ht="13.8" hidden="false" customHeight="false" outlineLevel="0" collapsed="false">
      <c r="A56" s="0" t="n">
        <v>10000</v>
      </c>
      <c r="B56" s="0" t="s">
        <v>137</v>
      </c>
      <c r="C56" s="0" t="n">
        <v>56</v>
      </c>
      <c r="D56" s="0" t="n">
        <v>6262684200778</v>
      </c>
      <c r="E56" s="94" t="s">
        <v>206</v>
      </c>
      <c r="F56" s="0" t="n">
        <v>15</v>
      </c>
      <c r="G56" s="99" t="n">
        <v>70</v>
      </c>
      <c r="I56" s="99" t="n">
        <v>1050</v>
      </c>
      <c r="J56" s="0" t="n">
        <v>60</v>
      </c>
    </row>
    <row r="57" customFormat="false" ht="13.8" hidden="false" customHeight="false" outlineLevel="0" collapsed="false">
      <c r="A57" s="0" t="n">
        <v>10000</v>
      </c>
      <c r="B57" s="0" t="s">
        <v>137</v>
      </c>
      <c r="C57" s="0" t="n">
        <v>57</v>
      </c>
      <c r="D57" s="0" t="n">
        <v>6261106001399</v>
      </c>
      <c r="E57" s="94" t="s">
        <v>207</v>
      </c>
      <c r="F57" s="0" t="n">
        <v>6</v>
      </c>
      <c r="G57" s="99" t="n">
        <v>80</v>
      </c>
      <c r="I57" s="99" t="n">
        <v>480</v>
      </c>
      <c r="J57" s="0" t="n">
        <v>61</v>
      </c>
    </row>
    <row r="58" customFormat="false" ht="13.8" hidden="false" customHeight="false" outlineLevel="0" collapsed="false">
      <c r="A58" s="0" t="n">
        <v>10000</v>
      </c>
      <c r="B58" s="0" t="s">
        <v>137</v>
      </c>
      <c r="C58" s="0" t="n">
        <v>58</v>
      </c>
      <c r="D58" s="0" t="n">
        <v>6265499500040</v>
      </c>
      <c r="E58" s="94" t="s">
        <v>208</v>
      </c>
      <c r="F58" s="0" t="n">
        <v>2</v>
      </c>
      <c r="G58" s="99" t="n">
        <v>80</v>
      </c>
      <c r="I58" s="99" t="n">
        <v>160</v>
      </c>
      <c r="J58" s="0" t="n">
        <v>62</v>
      </c>
      <c r="U58" s="99"/>
    </row>
    <row r="59" customFormat="false" ht="13.8" hidden="false" customHeight="false" outlineLevel="0" collapsed="false">
      <c r="A59" s="0" t="n">
        <v>10000</v>
      </c>
      <c r="B59" s="0" t="s">
        <v>137</v>
      </c>
      <c r="C59" s="0" t="n">
        <v>59</v>
      </c>
      <c r="D59" s="0" t="n">
        <v>6260308300460</v>
      </c>
      <c r="E59" s="94" t="s">
        <v>209</v>
      </c>
      <c r="F59" s="0" t="n">
        <v>10</v>
      </c>
      <c r="G59" s="99" t="n">
        <v>37</v>
      </c>
      <c r="I59" s="99" t="n">
        <v>370</v>
      </c>
      <c r="J59" s="0" t="n">
        <v>63</v>
      </c>
      <c r="U59" s="99"/>
    </row>
    <row r="60" customFormat="false" ht="13.8" hidden="false" customHeight="false" outlineLevel="0" collapsed="false">
      <c r="A60" s="0" t="n">
        <v>10000</v>
      </c>
      <c r="B60" s="0" t="s">
        <v>137</v>
      </c>
      <c r="C60" s="0" t="n">
        <v>60</v>
      </c>
      <c r="D60" s="0" t="n">
        <v>6260308310278</v>
      </c>
      <c r="E60" s="94" t="s">
        <v>165</v>
      </c>
      <c r="F60" s="0" t="n">
        <v>3</v>
      </c>
      <c r="G60" s="99" t="n">
        <v>75</v>
      </c>
      <c r="I60" s="99" t="n">
        <v>225</v>
      </c>
      <c r="J60" s="0" t="n">
        <v>64</v>
      </c>
      <c r="U60" s="99"/>
    </row>
    <row r="61" customFormat="false" ht="13.8" hidden="false" customHeight="false" outlineLevel="0" collapsed="false">
      <c r="A61" s="0" t="n">
        <v>10000</v>
      </c>
      <c r="B61" s="0" t="s">
        <v>137</v>
      </c>
      <c r="C61" s="0" t="n">
        <v>61</v>
      </c>
      <c r="D61" s="0" t="n">
        <v>6260217600866</v>
      </c>
      <c r="E61" s="94" t="s">
        <v>210</v>
      </c>
      <c r="F61" s="0" t="n">
        <v>5</v>
      </c>
      <c r="G61" s="99" t="n">
        <v>70</v>
      </c>
      <c r="I61" s="99" t="n">
        <v>350</v>
      </c>
      <c r="J61" s="0" t="n">
        <v>65</v>
      </c>
      <c r="U61" s="99"/>
    </row>
    <row r="62" customFormat="false" ht="13.8" hidden="false" customHeight="false" outlineLevel="0" collapsed="false">
      <c r="A62" s="0" t="n">
        <v>10000</v>
      </c>
      <c r="B62" s="0" t="s">
        <v>137</v>
      </c>
      <c r="C62" s="0" t="n">
        <v>62</v>
      </c>
      <c r="D62" s="0" t="n">
        <v>6500</v>
      </c>
      <c r="E62" s="94" t="s">
        <v>211</v>
      </c>
      <c r="F62" s="0" t="n">
        <v>6</v>
      </c>
      <c r="G62" s="0" t="n">
        <v>20</v>
      </c>
      <c r="I62" s="0" t="n">
        <v>120</v>
      </c>
      <c r="J62" s="0" t="n">
        <v>66</v>
      </c>
    </row>
    <row r="63" customFormat="false" ht="13.8" hidden="false" customHeight="false" outlineLevel="0" collapsed="false">
      <c r="A63" s="0" t="n">
        <v>10000</v>
      </c>
      <c r="B63" s="0" t="s">
        <v>137</v>
      </c>
      <c r="C63" s="0" t="n">
        <v>63</v>
      </c>
      <c r="D63" s="0" t="n">
        <v>6260308304444</v>
      </c>
      <c r="E63" s="94" t="s">
        <v>212</v>
      </c>
      <c r="F63" s="0" t="n">
        <v>3</v>
      </c>
      <c r="G63" s="0" t="n">
        <v>35</v>
      </c>
      <c r="I63" s="0" t="n">
        <v>105</v>
      </c>
      <c r="J63" s="0" t="n">
        <v>67</v>
      </c>
    </row>
    <row r="64" customFormat="false" ht="13.8" hidden="false" customHeight="false" outlineLevel="0" collapsed="false">
      <c r="A64" s="0" t="n">
        <v>10000</v>
      </c>
      <c r="B64" s="0" t="s">
        <v>137</v>
      </c>
      <c r="C64" s="0" t="n">
        <v>64</v>
      </c>
      <c r="D64" s="0" t="n">
        <v>6260166910238</v>
      </c>
      <c r="E64" s="94" t="s">
        <v>213</v>
      </c>
      <c r="F64" s="0" t="n">
        <v>4</v>
      </c>
      <c r="G64" s="0" t="n">
        <v>10</v>
      </c>
      <c r="I64" s="0" t="n">
        <v>40</v>
      </c>
      <c r="J64" s="0" t="n">
        <v>68</v>
      </c>
    </row>
    <row r="65" customFormat="false" ht="13.8" hidden="false" customHeight="false" outlineLevel="0" collapsed="false">
      <c r="A65" s="0" t="n">
        <v>10000</v>
      </c>
      <c r="B65" s="0" t="s">
        <v>137</v>
      </c>
      <c r="C65" s="0" t="n">
        <v>65</v>
      </c>
      <c r="D65" s="0" t="n">
        <v>160310066200020</v>
      </c>
      <c r="E65" s="94" t="s">
        <v>214</v>
      </c>
      <c r="F65" s="0" t="n">
        <v>22</v>
      </c>
      <c r="G65" s="0" t="n">
        <v>10</v>
      </c>
      <c r="I65" s="0" t="n">
        <v>220</v>
      </c>
      <c r="J65" s="0" t="n">
        <v>69</v>
      </c>
    </row>
    <row r="66" customFormat="false" ht="13.8" hidden="false" customHeight="false" outlineLevel="0" collapsed="false">
      <c r="A66" s="0" t="n">
        <v>10000</v>
      </c>
      <c r="B66" s="0" t="s">
        <v>137</v>
      </c>
      <c r="C66" s="0" t="n">
        <v>66</v>
      </c>
      <c r="D66" s="0" t="n">
        <v>6260166910269</v>
      </c>
      <c r="E66" s="94" t="s">
        <v>215</v>
      </c>
      <c r="F66" s="0" t="n">
        <v>22</v>
      </c>
      <c r="G66" s="0" t="n">
        <v>10</v>
      </c>
      <c r="I66" s="0" t="n">
        <v>220</v>
      </c>
      <c r="J66" s="0" t="n">
        <v>70</v>
      </c>
    </row>
    <row r="67" customFormat="false" ht="13.8" hidden="false" customHeight="false" outlineLevel="0" collapsed="false">
      <c r="A67" s="0" t="n">
        <v>10000</v>
      </c>
      <c r="B67" s="0" t="s">
        <v>137</v>
      </c>
      <c r="C67" s="0" t="n">
        <v>67</v>
      </c>
      <c r="D67" s="0" t="n">
        <v>6260166910306</v>
      </c>
      <c r="E67" s="94" t="s">
        <v>216</v>
      </c>
      <c r="F67" s="0" t="n">
        <v>10</v>
      </c>
      <c r="G67" s="0" t="n">
        <v>10</v>
      </c>
      <c r="I67" s="0" t="n">
        <v>100</v>
      </c>
      <c r="J67" s="0" t="n">
        <v>71</v>
      </c>
    </row>
    <row r="68" customFormat="false" ht="13.8" hidden="false" customHeight="false" outlineLevel="0" collapsed="false">
      <c r="A68" s="0" t="n">
        <v>10000</v>
      </c>
      <c r="B68" s="0" t="s">
        <v>137</v>
      </c>
      <c r="C68" s="0" t="n">
        <v>68</v>
      </c>
      <c r="D68" s="0" t="n">
        <v>6260800900588</v>
      </c>
      <c r="E68" s="94" t="s">
        <v>217</v>
      </c>
      <c r="F68" s="0" t="n">
        <v>2</v>
      </c>
      <c r="G68" s="0" t="n">
        <v>35</v>
      </c>
      <c r="I68" s="0" t="n">
        <v>70</v>
      </c>
      <c r="J68" s="0" t="n">
        <v>72</v>
      </c>
    </row>
    <row r="69" customFormat="false" ht="13.8" hidden="false" customHeight="false" outlineLevel="0" collapsed="false">
      <c r="A69" s="0" t="n">
        <v>10000</v>
      </c>
      <c r="B69" s="0" t="s">
        <v>137</v>
      </c>
      <c r="C69" s="0" t="n">
        <v>69</v>
      </c>
      <c r="D69" s="0" t="n">
        <v>6260800900618</v>
      </c>
      <c r="E69" s="94" t="s">
        <v>218</v>
      </c>
      <c r="F69" s="0" t="n">
        <v>2</v>
      </c>
      <c r="G69" s="0" t="n">
        <v>35</v>
      </c>
      <c r="I69" s="0" t="n">
        <v>70</v>
      </c>
      <c r="J69" s="0" t="n">
        <v>73</v>
      </c>
    </row>
    <row r="70" customFormat="false" ht="13.8" hidden="false" customHeight="false" outlineLevel="0" collapsed="false">
      <c r="A70" s="0" t="n">
        <v>10000</v>
      </c>
      <c r="B70" s="0" t="s">
        <v>137</v>
      </c>
      <c r="C70" s="0" t="n">
        <v>70</v>
      </c>
      <c r="D70" s="0" t="n">
        <v>6263118300088</v>
      </c>
      <c r="E70" s="94" t="s">
        <v>219</v>
      </c>
      <c r="F70" s="0" t="n">
        <v>18</v>
      </c>
      <c r="G70" s="0" t="n">
        <v>30</v>
      </c>
      <c r="I70" s="0" t="n">
        <v>540</v>
      </c>
      <c r="J70" s="0" t="n">
        <v>74</v>
      </c>
    </row>
    <row r="71" customFormat="false" ht="13.8" hidden="false" customHeight="false" outlineLevel="0" collapsed="false">
      <c r="A71" s="0" t="n">
        <v>10000</v>
      </c>
      <c r="B71" s="0" t="s">
        <v>137</v>
      </c>
      <c r="C71" s="0" t="n">
        <v>71</v>
      </c>
      <c r="D71" s="0" t="n">
        <v>2112265425554</v>
      </c>
      <c r="E71" s="94" t="s">
        <v>220</v>
      </c>
      <c r="F71" s="0" t="n">
        <v>24</v>
      </c>
      <c r="G71" s="0" t="n">
        <v>35</v>
      </c>
      <c r="I71" s="0" t="n">
        <v>840</v>
      </c>
      <c r="J71" s="0" t="n">
        <v>75</v>
      </c>
    </row>
    <row r="72" customFormat="false" ht="13.8" hidden="false" customHeight="false" outlineLevel="0" collapsed="false">
      <c r="A72" s="0" t="n">
        <v>10000</v>
      </c>
      <c r="B72" s="0" t="s">
        <v>137</v>
      </c>
      <c r="C72" s="0" t="n">
        <v>72</v>
      </c>
      <c r="D72" s="0" t="n">
        <v>6260026101066</v>
      </c>
      <c r="E72" s="94" t="s">
        <v>221</v>
      </c>
      <c r="F72" s="0" t="n">
        <v>6</v>
      </c>
      <c r="G72" s="0" t="n">
        <v>180</v>
      </c>
      <c r="I72" s="0" t="n">
        <v>1080</v>
      </c>
      <c r="J72" s="0" t="n">
        <v>76</v>
      </c>
    </row>
    <row r="73" customFormat="false" ht="13.8" hidden="false" customHeight="false" outlineLevel="0" collapsed="false">
      <c r="A73" s="0" t="n">
        <v>10000</v>
      </c>
      <c r="B73" s="0" t="s">
        <v>137</v>
      </c>
      <c r="C73" s="0" t="n">
        <v>73</v>
      </c>
      <c r="D73" s="0" t="n">
        <v>6261149098806</v>
      </c>
      <c r="E73" s="94" t="s">
        <v>222</v>
      </c>
      <c r="F73" s="0" t="n">
        <v>3</v>
      </c>
      <c r="G73" s="0" t="n">
        <v>37</v>
      </c>
      <c r="I73" s="0" t="n">
        <v>111</v>
      </c>
      <c r="J73" s="0" t="n">
        <v>77</v>
      </c>
    </row>
    <row r="74" customFormat="false" ht="13.8" hidden="false" customHeight="false" outlineLevel="0" collapsed="false">
      <c r="A74" s="0" t="n">
        <v>10000</v>
      </c>
      <c r="B74" s="0" t="s">
        <v>137</v>
      </c>
      <c r="C74" s="0" t="n">
        <v>74</v>
      </c>
      <c r="D74" s="0" t="n">
        <v>6261422503157</v>
      </c>
      <c r="E74" s="94" t="s">
        <v>223</v>
      </c>
      <c r="F74" s="0" t="n">
        <v>9</v>
      </c>
      <c r="G74" s="0" t="n">
        <v>30</v>
      </c>
      <c r="I74" s="0" t="n">
        <v>270</v>
      </c>
      <c r="J74" s="0" t="n">
        <v>78</v>
      </c>
    </row>
    <row r="75" customFormat="false" ht="13.8" hidden="false" customHeight="false" outlineLevel="0" collapsed="false">
      <c r="A75" s="0" t="n">
        <v>10000</v>
      </c>
      <c r="B75" s="0" t="s">
        <v>137</v>
      </c>
      <c r="C75" s="0" t="n">
        <v>75</v>
      </c>
      <c r="D75" s="0" t="n">
        <v>6261422503782</v>
      </c>
      <c r="E75" s="94" t="s">
        <v>224</v>
      </c>
      <c r="F75" s="0" t="n">
        <v>13</v>
      </c>
      <c r="G75" s="0" t="n">
        <v>30</v>
      </c>
      <c r="I75" s="0" t="n">
        <v>390</v>
      </c>
      <c r="J75" s="0" t="n">
        <v>79</v>
      </c>
    </row>
    <row r="76" customFormat="false" ht="13.8" hidden="false" customHeight="false" outlineLevel="0" collapsed="false">
      <c r="A76" s="0" t="n">
        <v>10000</v>
      </c>
      <c r="B76" s="0" t="s">
        <v>137</v>
      </c>
      <c r="C76" s="0" t="n">
        <v>76</v>
      </c>
      <c r="D76" s="0" t="n">
        <v>6261422503423</v>
      </c>
      <c r="E76" s="94" t="s">
        <v>225</v>
      </c>
      <c r="F76" s="0" t="n">
        <v>17</v>
      </c>
      <c r="G76" s="0" t="n">
        <v>30</v>
      </c>
      <c r="I76" s="0" t="n">
        <v>510</v>
      </c>
      <c r="J76" s="0" t="n">
        <v>80</v>
      </c>
    </row>
    <row r="77" customFormat="false" ht="13.8" hidden="false" customHeight="false" outlineLevel="0" collapsed="false">
      <c r="A77" s="0" t="n">
        <v>10000</v>
      </c>
      <c r="B77" s="0" t="s">
        <v>137</v>
      </c>
      <c r="C77" s="0" t="n">
        <v>77</v>
      </c>
      <c r="D77" s="0" t="n">
        <v>6261422504543</v>
      </c>
      <c r="E77" s="94" t="s">
        <v>226</v>
      </c>
      <c r="F77" s="0" t="n">
        <v>23</v>
      </c>
      <c r="G77" s="0" t="n">
        <v>23</v>
      </c>
      <c r="I77" s="0" t="n">
        <v>529</v>
      </c>
      <c r="J77" s="0" t="n">
        <v>81</v>
      </c>
    </row>
    <row r="78" customFormat="false" ht="13.8" hidden="false" customHeight="false" outlineLevel="0" collapsed="false">
      <c r="A78" s="0" t="n">
        <v>10000</v>
      </c>
      <c r="B78" s="0" t="s">
        <v>137</v>
      </c>
      <c r="C78" s="0" t="n">
        <v>78</v>
      </c>
      <c r="D78" s="0" t="n">
        <v>6260079201225</v>
      </c>
      <c r="E78" s="94" t="s">
        <v>227</v>
      </c>
      <c r="F78" s="0" t="n">
        <v>1</v>
      </c>
      <c r="G78" s="0" t="n">
        <v>25</v>
      </c>
      <c r="I78" s="0" t="n">
        <v>25</v>
      </c>
      <c r="J78" s="0" t="n">
        <v>82</v>
      </c>
    </row>
    <row r="79" customFormat="false" ht="13.8" hidden="false" customHeight="false" outlineLevel="0" collapsed="false">
      <c r="A79" s="0" t="n">
        <v>10000</v>
      </c>
      <c r="B79" s="0" t="s">
        <v>137</v>
      </c>
      <c r="C79" s="0" t="n">
        <v>79</v>
      </c>
      <c r="D79" s="0" t="n">
        <v>6260079201225</v>
      </c>
      <c r="E79" s="94" t="s">
        <v>227</v>
      </c>
      <c r="F79" s="0" t="n">
        <v>1</v>
      </c>
      <c r="G79" s="0" t="n">
        <v>25</v>
      </c>
      <c r="I79" s="0" t="n">
        <v>25</v>
      </c>
      <c r="J79" s="0" t="n">
        <v>83</v>
      </c>
    </row>
    <row r="80" customFormat="false" ht="13.8" hidden="false" customHeight="false" outlineLevel="0" collapsed="false">
      <c r="A80" s="0" t="n">
        <v>10000</v>
      </c>
      <c r="B80" s="0" t="s">
        <v>137</v>
      </c>
      <c r="C80" s="0" t="n">
        <v>80</v>
      </c>
      <c r="D80" s="0" t="n">
        <v>6261422504543</v>
      </c>
      <c r="E80" s="94" t="s">
        <v>226</v>
      </c>
      <c r="F80" s="0" t="n">
        <v>23</v>
      </c>
      <c r="G80" s="0" t="n">
        <v>23</v>
      </c>
      <c r="I80" s="0" t="n">
        <v>529</v>
      </c>
      <c r="J80" s="0" t="n">
        <v>84</v>
      </c>
    </row>
    <row r="81" customFormat="false" ht="13.8" hidden="false" customHeight="false" outlineLevel="0" collapsed="false">
      <c r="A81" s="0" t="n">
        <v>10000</v>
      </c>
      <c r="B81" s="0" t="s">
        <v>137</v>
      </c>
      <c r="C81" s="0" t="n">
        <v>81</v>
      </c>
      <c r="D81" s="0" t="n">
        <v>6263415901599</v>
      </c>
      <c r="E81" s="94" t="s">
        <v>228</v>
      </c>
      <c r="F81" s="0" t="n">
        <v>7</v>
      </c>
      <c r="G81" s="0" t="n">
        <v>25</v>
      </c>
      <c r="I81" s="0" t="n">
        <v>175</v>
      </c>
      <c r="J81" s="0" t="n">
        <v>85</v>
      </c>
    </row>
    <row r="82" customFormat="false" ht="13.8" hidden="false" customHeight="false" outlineLevel="0" collapsed="false">
      <c r="A82" s="0" t="n">
        <v>10000</v>
      </c>
      <c r="B82" s="0" t="s">
        <v>137</v>
      </c>
      <c r="C82" s="0" t="n">
        <v>82</v>
      </c>
      <c r="D82" s="0" t="n">
        <v>6260002931380</v>
      </c>
      <c r="E82" s="94" t="s">
        <v>229</v>
      </c>
      <c r="F82" s="0" t="n">
        <v>8</v>
      </c>
      <c r="G82" s="0" t="n">
        <v>13.5</v>
      </c>
      <c r="I82" s="0" t="n">
        <v>108</v>
      </c>
      <c r="J82" s="0" t="n">
        <v>86</v>
      </c>
    </row>
    <row r="83" customFormat="false" ht="13.8" hidden="false" customHeight="false" outlineLevel="0" collapsed="false">
      <c r="A83" s="0" t="n">
        <v>10000</v>
      </c>
      <c r="B83" s="0" t="s">
        <v>137</v>
      </c>
      <c r="C83" s="0" t="n">
        <v>83</v>
      </c>
      <c r="D83" s="0" t="n">
        <v>6260575902824</v>
      </c>
      <c r="E83" s="94" t="s">
        <v>230</v>
      </c>
      <c r="F83" s="0" t="n">
        <v>1</v>
      </c>
      <c r="G83" s="0" t="n">
        <v>20</v>
      </c>
      <c r="I83" s="0" t="n">
        <v>20</v>
      </c>
      <c r="J83" s="0" t="n">
        <v>87</v>
      </c>
    </row>
    <row r="84" customFormat="false" ht="13.8" hidden="false" customHeight="false" outlineLevel="0" collapsed="false">
      <c r="A84" s="0" t="n">
        <v>10000</v>
      </c>
      <c r="B84" s="0" t="s">
        <v>137</v>
      </c>
      <c r="C84" s="0" t="n">
        <v>84</v>
      </c>
      <c r="D84" s="0" t="n">
        <v>6260532822097</v>
      </c>
      <c r="E84" s="94" t="s">
        <v>231</v>
      </c>
      <c r="F84" s="0" t="n">
        <v>19</v>
      </c>
      <c r="G84" s="0" t="n">
        <v>32</v>
      </c>
      <c r="I84" s="0" t="n">
        <v>608</v>
      </c>
      <c r="J84" s="0" t="n">
        <v>88</v>
      </c>
    </row>
    <row r="85" customFormat="false" ht="13.8" hidden="false" customHeight="false" outlineLevel="0" collapsed="false">
      <c r="A85" s="0" t="n">
        <v>10000</v>
      </c>
      <c r="B85" s="0" t="s">
        <v>137</v>
      </c>
      <c r="C85" s="0" t="n">
        <v>85</v>
      </c>
      <c r="D85" s="0" t="n">
        <v>167220341590011</v>
      </c>
      <c r="E85" s="94" t="s">
        <v>228</v>
      </c>
      <c r="F85" s="0" t="n">
        <v>7</v>
      </c>
      <c r="G85" s="0" t="n">
        <v>25</v>
      </c>
      <c r="I85" s="0" t="n">
        <v>175</v>
      </c>
      <c r="J85" s="0" t="n">
        <v>89</v>
      </c>
    </row>
    <row r="86" customFormat="false" ht="13.8" hidden="false" customHeight="false" outlineLevel="0" collapsed="false">
      <c r="A86" s="0" t="n">
        <v>10000</v>
      </c>
      <c r="B86" s="0" t="s">
        <v>137</v>
      </c>
      <c r="C86" s="0" t="n">
        <v>86</v>
      </c>
      <c r="D86" s="0" t="n">
        <v>6261149190210</v>
      </c>
      <c r="E86" s="94" t="s">
        <v>232</v>
      </c>
      <c r="F86" s="0" t="n">
        <v>20</v>
      </c>
      <c r="G86" s="0" t="n">
        <v>24</v>
      </c>
      <c r="I86" s="0" t="n">
        <v>480</v>
      </c>
      <c r="J86" s="0" t="n">
        <v>90</v>
      </c>
    </row>
    <row r="87" customFormat="false" ht="13.8" hidden="false" customHeight="false" outlineLevel="0" collapsed="false">
      <c r="A87" s="0" t="n">
        <v>10000</v>
      </c>
      <c r="B87" s="0" t="s">
        <v>137</v>
      </c>
      <c r="C87" s="0" t="n">
        <v>87</v>
      </c>
      <c r="D87" s="0" t="n">
        <v>6263057301481</v>
      </c>
      <c r="E87" s="94" t="s">
        <v>233</v>
      </c>
      <c r="F87" s="0" t="n">
        <v>3</v>
      </c>
      <c r="G87" s="0" t="n">
        <v>50</v>
      </c>
      <c r="I87" s="0" t="n">
        <v>150</v>
      </c>
      <c r="J87" s="0" t="n">
        <v>91</v>
      </c>
    </row>
    <row r="88" customFormat="false" ht="13.8" hidden="false" customHeight="false" outlineLevel="0" collapsed="false">
      <c r="A88" s="0" t="n">
        <v>10000</v>
      </c>
      <c r="B88" s="0" t="s">
        <v>137</v>
      </c>
      <c r="C88" s="0" t="n">
        <v>88</v>
      </c>
      <c r="D88" s="0" t="n">
        <v>6260007406463</v>
      </c>
      <c r="E88" s="94" t="s">
        <v>234</v>
      </c>
      <c r="F88" s="0" t="n">
        <v>22</v>
      </c>
      <c r="G88" s="0" t="n">
        <v>17</v>
      </c>
      <c r="I88" s="0" t="n">
        <v>374</v>
      </c>
      <c r="J88" s="0" t="n">
        <v>92</v>
      </c>
    </row>
    <row r="89" customFormat="false" ht="13.8" hidden="false" customHeight="false" outlineLevel="0" collapsed="false">
      <c r="A89" s="0" t="n">
        <v>10000</v>
      </c>
      <c r="B89" s="0" t="s">
        <v>137</v>
      </c>
      <c r="C89" s="0" t="n">
        <v>89</v>
      </c>
      <c r="D89" s="0" t="n">
        <v>6260007406487</v>
      </c>
      <c r="E89" s="94" t="s">
        <v>235</v>
      </c>
      <c r="F89" s="0" t="n">
        <v>5</v>
      </c>
      <c r="G89" s="0" t="n">
        <v>17</v>
      </c>
      <c r="I89" s="0" t="n">
        <v>85</v>
      </c>
      <c r="J89" s="0" t="n">
        <v>93</v>
      </c>
    </row>
    <row r="90" customFormat="false" ht="13.8" hidden="false" customHeight="false" outlineLevel="0" collapsed="false">
      <c r="A90" s="0" t="n">
        <v>10000</v>
      </c>
      <c r="B90" s="0" t="s">
        <v>137</v>
      </c>
      <c r="C90" s="0" t="n">
        <v>90</v>
      </c>
      <c r="D90" s="0" t="n">
        <v>2162410261960060</v>
      </c>
      <c r="E90" s="94" t="s">
        <v>236</v>
      </c>
      <c r="F90" s="0" t="n">
        <v>8</v>
      </c>
      <c r="G90" s="0" t="n">
        <v>25</v>
      </c>
      <c r="I90" s="0" t="n">
        <v>200</v>
      </c>
      <c r="J90" s="0" t="n">
        <v>94</v>
      </c>
    </row>
    <row r="91" customFormat="false" ht="13.8" hidden="false" customHeight="false" outlineLevel="0" collapsed="false">
      <c r="A91" s="0" t="n">
        <v>10000</v>
      </c>
      <c r="B91" s="0" t="s">
        <v>137</v>
      </c>
      <c r="C91" s="0" t="n">
        <v>91</v>
      </c>
      <c r="D91" s="0" t="n">
        <v>6262619600727</v>
      </c>
      <c r="E91" s="94" t="s">
        <v>236</v>
      </c>
      <c r="F91" s="0" t="n">
        <v>8</v>
      </c>
      <c r="G91" s="0" t="n">
        <v>25</v>
      </c>
      <c r="I91" s="0" t="n">
        <v>200</v>
      </c>
      <c r="J91" s="0" t="n">
        <v>95</v>
      </c>
    </row>
    <row r="92" customFormat="false" ht="13.8" hidden="false" customHeight="false" outlineLevel="0" collapsed="false">
      <c r="A92" s="0" t="n">
        <v>10000</v>
      </c>
      <c r="B92" s="0" t="s">
        <v>137</v>
      </c>
      <c r="C92" s="0" t="n">
        <v>92</v>
      </c>
      <c r="D92" s="0" t="n">
        <v>6261156800027</v>
      </c>
      <c r="E92" s="94" t="s">
        <v>237</v>
      </c>
      <c r="F92" s="0" t="n">
        <v>5</v>
      </c>
      <c r="G92" s="0" t="n">
        <v>35</v>
      </c>
      <c r="I92" s="0" t="n">
        <v>175</v>
      </c>
      <c r="J92" s="0" t="n">
        <v>96</v>
      </c>
    </row>
    <row r="93" customFormat="false" ht="13.8" hidden="false" customHeight="false" outlineLevel="0" collapsed="false">
      <c r="A93" s="0" t="n">
        <v>10000</v>
      </c>
      <c r="B93" s="0" t="s">
        <v>137</v>
      </c>
      <c r="C93" s="0" t="n">
        <v>93</v>
      </c>
      <c r="D93" s="0" t="n">
        <v>2162410115680000</v>
      </c>
      <c r="E93" s="94" t="s">
        <v>237</v>
      </c>
      <c r="F93" s="0" t="n">
        <v>5</v>
      </c>
      <c r="G93" s="0" t="n">
        <v>15</v>
      </c>
      <c r="I93" s="0" t="n">
        <v>75</v>
      </c>
      <c r="J93" s="0" t="n">
        <v>97</v>
      </c>
    </row>
    <row r="94" customFormat="false" ht="13.8" hidden="false" customHeight="false" outlineLevel="0" collapsed="false">
      <c r="A94" s="0" t="n">
        <v>10000</v>
      </c>
      <c r="B94" s="0" t="s">
        <v>137</v>
      </c>
      <c r="C94" s="0" t="n">
        <v>94</v>
      </c>
      <c r="D94" s="0" t="n">
        <v>2162410115680000</v>
      </c>
      <c r="E94" s="94" t="s">
        <v>238</v>
      </c>
      <c r="F94" s="0" t="n">
        <v>7</v>
      </c>
      <c r="G94" s="0" t="n">
        <v>15</v>
      </c>
      <c r="I94" s="0" t="n">
        <v>105</v>
      </c>
      <c r="J94" s="0" t="n">
        <v>98</v>
      </c>
    </row>
    <row r="95" customFormat="false" ht="13.8" hidden="false" customHeight="false" outlineLevel="0" collapsed="false">
      <c r="A95" s="0" t="n">
        <v>10000</v>
      </c>
      <c r="B95" s="0" t="s">
        <v>137</v>
      </c>
      <c r="C95" s="0" t="n">
        <v>95</v>
      </c>
      <c r="D95" s="0" t="n">
        <v>6261156800089</v>
      </c>
      <c r="E95" s="94" t="s">
        <v>238</v>
      </c>
      <c r="F95" s="0" t="n">
        <v>7</v>
      </c>
      <c r="G95" s="0" t="n">
        <v>15</v>
      </c>
      <c r="I95" s="0" t="n">
        <v>105</v>
      </c>
      <c r="J95" s="0" t="n">
        <v>99</v>
      </c>
    </row>
    <row r="96" customFormat="false" ht="13.8" hidden="false" customHeight="false" outlineLevel="0" collapsed="false">
      <c r="A96" s="0" t="n">
        <v>10000</v>
      </c>
      <c r="B96" s="0" t="s">
        <v>137</v>
      </c>
      <c r="C96" s="0" t="n">
        <v>96</v>
      </c>
      <c r="D96" s="0" t="n">
        <v>6260191700767</v>
      </c>
      <c r="E96" s="94" t="s">
        <v>239</v>
      </c>
      <c r="F96" s="0" t="n">
        <v>38</v>
      </c>
      <c r="G96" s="0" t="n">
        <v>15</v>
      </c>
      <c r="I96" s="0" t="n">
        <v>570</v>
      </c>
      <c r="J96" s="0" t="n">
        <v>100</v>
      </c>
    </row>
    <row r="97" customFormat="false" ht="13.8" hidden="false" customHeight="false" outlineLevel="0" collapsed="false">
      <c r="A97" s="0" t="n">
        <v>10000</v>
      </c>
      <c r="B97" s="0" t="s">
        <v>137</v>
      </c>
      <c r="C97" s="0" t="n">
        <v>97</v>
      </c>
      <c r="D97" s="0" t="n">
        <v>2162250019170010</v>
      </c>
      <c r="E97" s="94" t="s">
        <v>239</v>
      </c>
      <c r="F97" s="0" t="n">
        <v>38</v>
      </c>
      <c r="G97" s="0" t="n">
        <v>15</v>
      </c>
      <c r="I97" s="0" t="n">
        <v>570</v>
      </c>
      <c r="J97" s="0" t="n">
        <v>101</v>
      </c>
    </row>
    <row r="98" customFormat="false" ht="13.8" hidden="false" customHeight="false" outlineLevel="0" collapsed="false">
      <c r="A98" s="0" t="n">
        <v>10000</v>
      </c>
      <c r="B98" s="0" t="s">
        <v>137</v>
      </c>
      <c r="C98" s="0" t="n">
        <v>98</v>
      </c>
      <c r="D98" s="0" t="n">
        <v>6263957100184</v>
      </c>
      <c r="E98" s="94" t="s">
        <v>240</v>
      </c>
      <c r="F98" s="0" t="n">
        <v>30</v>
      </c>
      <c r="G98" s="0" t="n">
        <v>35</v>
      </c>
      <c r="I98" s="0" t="n">
        <v>1050</v>
      </c>
      <c r="J98" s="0" t="n">
        <v>102</v>
      </c>
    </row>
    <row r="99" customFormat="false" ht="13.8" hidden="false" customHeight="false" outlineLevel="0" collapsed="false">
      <c r="A99" s="0" t="n">
        <v>10000</v>
      </c>
      <c r="B99" s="0" t="s">
        <v>137</v>
      </c>
      <c r="C99" s="0" t="n">
        <v>99</v>
      </c>
      <c r="D99" s="0" t="n">
        <v>2162250395710000</v>
      </c>
      <c r="E99" s="94" t="s">
        <v>240</v>
      </c>
      <c r="F99" s="0" t="n">
        <v>30</v>
      </c>
      <c r="G99" s="0" t="n">
        <v>35</v>
      </c>
      <c r="I99" s="0" t="n">
        <v>1050</v>
      </c>
      <c r="J99" s="0" t="n">
        <v>103</v>
      </c>
    </row>
    <row r="100" customFormat="false" ht="13.8" hidden="false" customHeight="false" outlineLevel="0" collapsed="false">
      <c r="A100" s="0" t="n">
        <v>10000</v>
      </c>
      <c r="B100" s="0" t="s">
        <v>137</v>
      </c>
      <c r="C100" s="0" t="n">
        <v>100</v>
      </c>
      <c r="D100" s="0" t="n">
        <v>2162250019170010</v>
      </c>
      <c r="E100" s="94" t="s">
        <v>239</v>
      </c>
      <c r="F100" s="0" t="n">
        <v>2</v>
      </c>
      <c r="G100" s="0" t="n">
        <v>15</v>
      </c>
      <c r="I100" s="0" t="n">
        <v>30</v>
      </c>
      <c r="J100" s="0" t="n">
        <v>104</v>
      </c>
    </row>
    <row r="101" customFormat="false" ht="13.8" hidden="false" customHeight="false" outlineLevel="0" collapsed="false">
      <c r="A101" s="0" t="n">
        <v>10000</v>
      </c>
      <c r="B101" s="0" t="s">
        <v>137</v>
      </c>
      <c r="C101" s="0" t="n">
        <v>101</v>
      </c>
      <c r="D101" s="0" t="n">
        <v>6260191700767</v>
      </c>
      <c r="E101" s="94" t="s">
        <v>239</v>
      </c>
      <c r="F101" s="0" t="n">
        <v>2</v>
      </c>
      <c r="G101" s="0" t="n">
        <v>15</v>
      </c>
      <c r="I101" s="0" t="n">
        <v>30</v>
      </c>
      <c r="J101" s="0" t="n">
        <v>105</v>
      </c>
    </row>
    <row r="102" customFormat="false" ht="13.8" hidden="false" customHeight="false" outlineLevel="0" collapsed="false">
      <c r="A102" s="0" t="n">
        <v>10000</v>
      </c>
      <c r="B102" s="0" t="s">
        <v>137</v>
      </c>
      <c r="C102" s="0" t="n">
        <v>102</v>
      </c>
      <c r="D102" s="0" t="n">
        <v>6260142610053</v>
      </c>
      <c r="E102" s="94" t="s">
        <v>241</v>
      </c>
      <c r="F102" s="0" t="n">
        <v>3</v>
      </c>
      <c r="G102" s="0" t="n">
        <v>50</v>
      </c>
      <c r="I102" s="0" t="n">
        <v>150</v>
      </c>
      <c r="J102" s="0" t="n">
        <v>106</v>
      </c>
    </row>
    <row r="103" customFormat="false" ht="13.8" hidden="false" customHeight="false" outlineLevel="0" collapsed="false">
      <c r="A103" s="0" t="n">
        <v>10000</v>
      </c>
      <c r="B103" s="0" t="s">
        <v>137</v>
      </c>
      <c r="C103" s="0" t="n">
        <v>103</v>
      </c>
      <c r="D103" s="0" t="n">
        <v>6260142650523</v>
      </c>
      <c r="E103" s="94" t="s">
        <v>242</v>
      </c>
      <c r="F103" s="0" t="n">
        <v>1</v>
      </c>
      <c r="G103" s="0" t="n">
        <v>50</v>
      </c>
      <c r="I103" s="0" t="n">
        <v>50</v>
      </c>
      <c r="J103" s="0" t="n">
        <v>107</v>
      </c>
    </row>
    <row r="104" customFormat="false" ht="13.8" hidden="false" customHeight="false" outlineLevel="0" collapsed="false">
      <c r="A104" s="0" t="n">
        <v>10000</v>
      </c>
      <c r="B104" s="0" t="s">
        <v>137</v>
      </c>
      <c r="C104" s="0" t="n">
        <v>104</v>
      </c>
      <c r="D104" s="0" t="n">
        <v>6260108300165</v>
      </c>
      <c r="E104" s="94" t="s">
        <v>243</v>
      </c>
      <c r="F104" s="0" t="n">
        <v>1</v>
      </c>
      <c r="G104" s="0" t="n">
        <v>350</v>
      </c>
      <c r="I104" s="0" t="n">
        <v>350</v>
      </c>
      <c r="J104" s="0" t="n">
        <v>108</v>
      </c>
    </row>
    <row r="105" customFormat="false" ht="13.8" hidden="false" customHeight="false" outlineLevel="0" collapsed="false">
      <c r="A105" s="0" t="n">
        <v>10000</v>
      </c>
      <c r="B105" s="0" t="s">
        <v>137</v>
      </c>
      <c r="C105" s="0" t="n">
        <v>105</v>
      </c>
      <c r="D105" s="0" t="n">
        <v>6260100509023</v>
      </c>
      <c r="E105" s="94" t="s">
        <v>244</v>
      </c>
      <c r="F105" s="0" t="n">
        <v>4</v>
      </c>
      <c r="G105" s="0" t="n">
        <v>350</v>
      </c>
      <c r="I105" s="0" t="n">
        <v>1400</v>
      </c>
      <c r="J105" s="0" t="n">
        <v>109</v>
      </c>
    </row>
    <row r="106" customFormat="false" ht="13.8" hidden="false" customHeight="false" outlineLevel="0" collapsed="false">
      <c r="A106" s="0" t="n">
        <v>10000</v>
      </c>
      <c r="B106" s="0" t="s">
        <v>137</v>
      </c>
      <c r="C106" s="0" t="n">
        <v>106</v>
      </c>
      <c r="D106" s="0" t="n">
        <v>6260152300579</v>
      </c>
      <c r="E106" s="94" t="s">
        <v>245</v>
      </c>
      <c r="F106" s="0" t="n">
        <v>6</v>
      </c>
      <c r="G106" s="0" t="n">
        <v>130</v>
      </c>
      <c r="I106" s="0" t="n">
        <v>780</v>
      </c>
      <c r="J106" s="0" t="n">
        <v>110</v>
      </c>
    </row>
    <row r="107" customFormat="false" ht="13.8" hidden="false" customHeight="false" outlineLevel="0" collapsed="false">
      <c r="A107" s="0" t="n">
        <v>10000</v>
      </c>
      <c r="B107" s="0" t="s">
        <v>137</v>
      </c>
      <c r="C107" s="0" t="n">
        <v>107</v>
      </c>
      <c r="D107" s="0" t="n">
        <v>6260108300325</v>
      </c>
      <c r="E107" s="94" t="s">
        <v>246</v>
      </c>
      <c r="F107" s="0" t="n">
        <v>5</v>
      </c>
      <c r="G107" s="0" t="n">
        <v>130</v>
      </c>
      <c r="I107" s="0" t="n">
        <v>650</v>
      </c>
      <c r="J107" s="0" t="n">
        <v>111</v>
      </c>
    </row>
    <row r="108" customFormat="false" ht="13.8" hidden="false" customHeight="false" outlineLevel="0" collapsed="false">
      <c r="A108" s="0" t="n">
        <v>10000</v>
      </c>
      <c r="B108" s="0" t="s">
        <v>137</v>
      </c>
      <c r="C108" s="0" t="n">
        <v>108</v>
      </c>
      <c r="D108" s="0" t="n">
        <v>6260152300586</v>
      </c>
      <c r="E108" s="94" t="s">
        <v>247</v>
      </c>
      <c r="F108" s="0" t="n">
        <v>2</v>
      </c>
      <c r="G108" s="0" t="n">
        <v>130</v>
      </c>
      <c r="I108" s="0" t="n">
        <v>260</v>
      </c>
      <c r="J108" s="0" t="n">
        <v>112</v>
      </c>
    </row>
    <row r="109" customFormat="false" ht="13.8" hidden="false" customHeight="false" outlineLevel="0" collapsed="false">
      <c r="A109" s="0" t="n">
        <v>10000</v>
      </c>
      <c r="B109" s="0" t="s">
        <v>137</v>
      </c>
      <c r="C109" s="0" t="n">
        <v>109</v>
      </c>
      <c r="D109" s="0" t="n">
        <v>6260108300271</v>
      </c>
      <c r="E109" s="94" t="s">
        <v>246</v>
      </c>
      <c r="F109" s="0" t="n">
        <v>2</v>
      </c>
      <c r="G109" s="0" t="n">
        <v>130</v>
      </c>
      <c r="I109" s="0" t="n">
        <v>260</v>
      </c>
      <c r="J109" s="0" t="n">
        <v>113</v>
      </c>
    </row>
    <row r="110" customFormat="false" ht="13.8" hidden="false" customHeight="false" outlineLevel="0" collapsed="false">
      <c r="A110" s="0" t="n">
        <v>10000</v>
      </c>
      <c r="B110" s="0" t="s">
        <v>137</v>
      </c>
      <c r="C110" s="0" t="n">
        <v>110</v>
      </c>
      <c r="D110" s="0" t="n">
        <v>6262144200119</v>
      </c>
      <c r="E110" s="94" t="s">
        <v>248</v>
      </c>
      <c r="F110" s="0" t="n">
        <v>1</v>
      </c>
      <c r="G110" s="0" t="n">
        <v>70</v>
      </c>
      <c r="I110" s="0" t="n">
        <v>70</v>
      </c>
      <c r="J110" s="0" t="n">
        <v>114</v>
      </c>
    </row>
    <row r="111" customFormat="false" ht="13.8" hidden="false" customHeight="false" outlineLevel="0" collapsed="false">
      <c r="A111" s="0" t="n">
        <v>10000</v>
      </c>
      <c r="B111" s="0" t="s">
        <v>137</v>
      </c>
      <c r="C111" s="0" t="n">
        <v>111</v>
      </c>
      <c r="D111" s="0" t="n">
        <v>164200214420011</v>
      </c>
      <c r="E111" s="94" t="s">
        <v>248</v>
      </c>
      <c r="F111" s="0" t="n">
        <v>1</v>
      </c>
      <c r="G111" s="0" t="n">
        <v>70</v>
      </c>
      <c r="I111" s="0" t="n">
        <v>70</v>
      </c>
      <c r="J111" s="0" t="n">
        <v>115</v>
      </c>
    </row>
    <row r="112" customFormat="false" ht="13.8" hidden="false" customHeight="false" outlineLevel="0" collapsed="false">
      <c r="A112" s="0" t="n">
        <v>10000</v>
      </c>
      <c r="B112" s="0" t="s">
        <v>137</v>
      </c>
      <c r="C112" s="0" t="n">
        <v>112</v>
      </c>
      <c r="D112" s="0" t="n">
        <v>6260000897275</v>
      </c>
      <c r="E112" s="94" t="s">
        <v>249</v>
      </c>
      <c r="F112" s="0" t="n">
        <v>11</v>
      </c>
      <c r="G112" s="0" t="n">
        <v>60</v>
      </c>
      <c r="I112" s="0" t="n">
        <v>660</v>
      </c>
      <c r="J112" s="0" t="n">
        <v>116</v>
      </c>
    </row>
    <row r="113" customFormat="false" ht="13.8" hidden="false" customHeight="false" outlineLevel="0" collapsed="false">
      <c r="A113" s="0" t="n">
        <v>10000</v>
      </c>
      <c r="B113" s="0" t="s">
        <v>137</v>
      </c>
      <c r="C113" s="0" t="n">
        <v>113</v>
      </c>
      <c r="D113" s="0" t="n">
        <v>6261580000017</v>
      </c>
      <c r="E113" s="94" t="s">
        <v>250</v>
      </c>
      <c r="F113" s="0" t="n">
        <v>22</v>
      </c>
      <c r="G113" s="0" t="n">
        <v>10</v>
      </c>
      <c r="I113" s="0" t="n">
        <v>220</v>
      </c>
      <c r="J113" s="0" t="n">
        <v>117</v>
      </c>
    </row>
    <row r="114" customFormat="false" ht="13.8" hidden="false" customHeight="false" outlineLevel="0" collapsed="false">
      <c r="A114" s="0" t="n">
        <v>10000</v>
      </c>
      <c r="B114" s="0" t="s">
        <v>137</v>
      </c>
      <c r="C114" s="0" t="n">
        <v>114</v>
      </c>
      <c r="D114" s="0" t="n">
        <v>2162314158000000</v>
      </c>
      <c r="E114" s="94" t="s">
        <v>250</v>
      </c>
      <c r="F114" s="0" t="n">
        <v>22</v>
      </c>
      <c r="G114" s="0" t="n">
        <v>10</v>
      </c>
      <c r="I114" s="0" t="n">
        <v>220</v>
      </c>
      <c r="J114" s="0" t="n">
        <v>118</v>
      </c>
    </row>
    <row r="115" customFormat="false" ht="13.8" hidden="false" customHeight="false" outlineLevel="0" collapsed="false">
      <c r="A115" s="0" t="n">
        <v>10000</v>
      </c>
      <c r="B115" s="0" t="s">
        <v>137</v>
      </c>
      <c r="C115" s="0" t="n">
        <v>115</v>
      </c>
      <c r="D115" s="0" t="n">
        <v>6261580000031</v>
      </c>
      <c r="E115" s="94" t="s">
        <v>251</v>
      </c>
      <c r="F115" s="0" t="n">
        <v>20</v>
      </c>
      <c r="G115" s="0" t="n">
        <v>5</v>
      </c>
      <c r="I115" s="0" t="n">
        <v>100</v>
      </c>
      <c r="J115" s="0" t="n">
        <v>119</v>
      </c>
    </row>
    <row r="116" customFormat="false" ht="13.8" hidden="false" customHeight="false" outlineLevel="0" collapsed="false">
      <c r="A116" s="0" t="n">
        <v>10000</v>
      </c>
      <c r="B116" s="0" t="s">
        <v>137</v>
      </c>
      <c r="C116" s="0" t="n">
        <v>116</v>
      </c>
      <c r="D116" s="0" t="n">
        <v>2162314158000000</v>
      </c>
      <c r="E116" s="94" t="s">
        <v>252</v>
      </c>
      <c r="F116" s="0" t="n">
        <v>20</v>
      </c>
      <c r="G116" s="0" t="n">
        <v>5</v>
      </c>
      <c r="I116" s="0" t="n">
        <v>100</v>
      </c>
      <c r="J116" s="0" t="n">
        <v>120</v>
      </c>
    </row>
    <row r="117" customFormat="false" ht="13.8" hidden="false" customHeight="false" outlineLevel="0" collapsed="false">
      <c r="A117" s="0" t="n">
        <v>10000</v>
      </c>
      <c r="B117" s="0" t="s">
        <v>137</v>
      </c>
      <c r="C117" s="0" t="n">
        <v>117</v>
      </c>
      <c r="D117" s="0" t="n">
        <v>160290222820002</v>
      </c>
      <c r="E117" s="94" t="s">
        <v>253</v>
      </c>
      <c r="F117" s="0" t="n">
        <v>20</v>
      </c>
      <c r="G117" s="0" t="n">
        <v>7</v>
      </c>
      <c r="I117" s="0" t="n">
        <v>140</v>
      </c>
      <c r="J117" s="0" t="n">
        <v>121</v>
      </c>
    </row>
    <row r="118" customFormat="false" ht="13.8" hidden="false" customHeight="false" outlineLevel="0" collapsed="false">
      <c r="A118" s="0" t="n">
        <v>10000</v>
      </c>
      <c r="B118" s="0" t="s">
        <v>137</v>
      </c>
      <c r="C118" s="0" t="n">
        <v>118</v>
      </c>
      <c r="D118" s="0" t="n">
        <v>6262228200028</v>
      </c>
      <c r="E118" s="94" t="s">
        <v>254</v>
      </c>
      <c r="F118" s="0" t="n">
        <v>20</v>
      </c>
      <c r="G118" s="0" t="n">
        <v>10</v>
      </c>
      <c r="I118" s="0" t="n">
        <v>200</v>
      </c>
      <c r="J118" s="0" t="n">
        <v>122</v>
      </c>
    </row>
    <row r="119" customFormat="false" ht="13.8" hidden="false" customHeight="false" outlineLevel="0" collapsed="false">
      <c r="A119" s="0" t="n">
        <v>10000</v>
      </c>
      <c r="B119" s="0" t="s">
        <v>137</v>
      </c>
      <c r="C119" s="0" t="n">
        <v>119</v>
      </c>
      <c r="D119" s="0" t="n">
        <v>6260124301429</v>
      </c>
      <c r="E119" s="94" t="s">
        <v>255</v>
      </c>
      <c r="F119" s="0" t="n">
        <v>16</v>
      </c>
      <c r="G119" s="0" t="n">
        <v>8</v>
      </c>
      <c r="I119" s="0" t="n">
        <v>128</v>
      </c>
      <c r="J119" s="0" t="n">
        <v>123</v>
      </c>
    </row>
    <row r="120" customFormat="false" ht="13.8" hidden="false" customHeight="false" outlineLevel="0" collapsed="false">
      <c r="A120" s="0" t="n">
        <v>10000</v>
      </c>
      <c r="B120" s="0" t="s">
        <v>137</v>
      </c>
      <c r="C120" s="0" t="n">
        <v>120</v>
      </c>
      <c r="D120" s="0" t="n">
        <v>1100</v>
      </c>
      <c r="E120" s="94" t="s">
        <v>256</v>
      </c>
      <c r="F120" s="0" t="n">
        <v>36</v>
      </c>
      <c r="G120" s="0" t="n">
        <v>3</v>
      </c>
      <c r="I120" s="0" t="n">
        <v>108</v>
      </c>
      <c r="J120" s="0" t="n">
        <v>124</v>
      </c>
    </row>
    <row r="121" customFormat="false" ht="13.8" hidden="false" customHeight="false" outlineLevel="0" collapsed="false">
      <c r="A121" s="0" t="n">
        <v>10000</v>
      </c>
      <c r="B121" s="0" t="s">
        <v>137</v>
      </c>
      <c r="C121" s="0" t="n">
        <v>121</v>
      </c>
      <c r="D121" s="0" t="n">
        <v>3700</v>
      </c>
      <c r="E121" s="94" t="s">
        <v>257</v>
      </c>
      <c r="F121" s="0" t="n">
        <v>8.67</v>
      </c>
      <c r="G121" s="0" t="n">
        <v>150</v>
      </c>
      <c r="I121" s="0" t="n">
        <v>1300.5</v>
      </c>
      <c r="J121" s="0" t="n">
        <v>125</v>
      </c>
    </row>
    <row r="122" customFormat="false" ht="13.8" hidden="false" customHeight="false" outlineLevel="0" collapsed="false">
      <c r="A122" s="0" t="n">
        <v>10000</v>
      </c>
      <c r="B122" s="0" t="s">
        <v>137</v>
      </c>
      <c r="C122" s="0" t="n">
        <v>122</v>
      </c>
      <c r="D122" s="0" t="n">
        <v>6800</v>
      </c>
      <c r="E122" s="94" t="s">
        <v>258</v>
      </c>
      <c r="F122" s="0" t="n">
        <v>1</v>
      </c>
      <c r="G122" s="0" t="n">
        <v>300</v>
      </c>
      <c r="I122" s="0" t="n">
        <v>300</v>
      </c>
      <c r="J122" s="0" t="n">
        <v>126</v>
      </c>
    </row>
    <row r="123" customFormat="false" ht="13.8" hidden="false" customHeight="false" outlineLevel="0" collapsed="false">
      <c r="A123" s="0" t="n">
        <v>10000</v>
      </c>
      <c r="B123" s="0" t="s">
        <v>137</v>
      </c>
      <c r="C123" s="0" t="n">
        <v>123</v>
      </c>
      <c r="D123" s="0" t="n">
        <v>6260170900294</v>
      </c>
      <c r="E123" s="94" t="s">
        <v>259</v>
      </c>
      <c r="F123" s="0" t="n">
        <v>60</v>
      </c>
      <c r="G123" s="0" t="n">
        <v>8</v>
      </c>
      <c r="I123" s="0" t="n">
        <v>480</v>
      </c>
      <c r="J123" s="0" t="n">
        <v>127</v>
      </c>
    </row>
    <row r="124" customFormat="false" ht="13.8" hidden="false" customHeight="false" outlineLevel="0" collapsed="false">
      <c r="A124" s="0" t="n">
        <v>10000</v>
      </c>
      <c r="B124" s="0" t="s">
        <v>137</v>
      </c>
      <c r="C124" s="0" t="n">
        <v>124</v>
      </c>
      <c r="D124" s="0" t="n">
        <v>6260170900522</v>
      </c>
      <c r="E124" s="94" t="s">
        <v>260</v>
      </c>
      <c r="F124" s="0" t="n">
        <v>60</v>
      </c>
      <c r="G124" s="0" t="n">
        <v>6</v>
      </c>
      <c r="I124" s="0" t="n">
        <v>360</v>
      </c>
      <c r="J124" s="0" t="n">
        <v>128</v>
      </c>
    </row>
    <row r="125" customFormat="false" ht="13.8" hidden="false" customHeight="false" outlineLevel="0" collapsed="false">
      <c r="A125" s="0" t="n">
        <v>10000</v>
      </c>
      <c r="B125" s="0" t="s">
        <v>137</v>
      </c>
      <c r="C125" s="0" t="n">
        <v>125</v>
      </c>
      <c r="D125" s="0" t="n">
        <v>6260170901840</v>
      </c>
      <c r="E125" s="94" t="s">
        <v>259</v>
      </c>
      <c r="F125" s="0" t="n">
        <v>16</v>
      </c>
      <c r="G125" s="0" t="n">
        <v>8</v>
      </c>
      <c r="I125" s="0" t="n">
        <v>128</v>
      </c>
      <c r="J125" s="0" t="n">
        <v>129</v>
      </c>
    </row>
    <row r="126" customFormat="false" ht="13.8" hidden="false" customHeight="false" outlineLevel="0" collapsed="false">
      <c r="A126" s="0" t="n">
        <v>10000</v>
      </c>
      <c r="B126" s="0" t="s">
        <v>137</v>
      </c>
      <c r="C126" s="0" t="n">
        <v>126</v>
      </c>
      <c r="D126" s="0" t="n">
        <v>6261178017779</v>
      </c>
      <c r="E126" s="94" t="s">
        <v>261</v>
      </c>
      <c r="F126" s="0" t="n">
        <v>29</v>
      </c>
      <c r="G126" s="0" t="n">
        <v>15</v>
      </c>
      <c r="I126" s="0" t="n">
        <v>435</v>
      </c>
      <c r="J126" s="0" t="n">
        <v>130</v>
      </c>
    </row>
    <row r="127" customFormat="false" ht="13.8" hidden="false" customHeight="false" outlineLevel="0" collapsed="false">
      <c r="A127" s="0" t="n">
        <v>10000</v>
      </c>
      <c r="B127" s="0" t="s">
        <v>137</v>
      </c>
      <c r="C127" s="0" t="n">
        <v>127</v>
      </c>
      <c r="D127" s="0" t="n">
        <v>6260003111798</v>
      </c>
      <c r="E127" s="94" t="s">
        <v>262</v>
      </c>
      <c r="F127" s="0" t="n">
        <v>5</v>
      </c>
      <c r="G127" s="0" t="n">
        <v>13</v>
      </c>
      <c r="I127" s="0" t="n">
        <v>65</v>
      </c>
      <c r="J127" s="0" t="n">
        <v>131</v>
      </c>
    </row>
    <row r="128" customFormat="false" ht="13.8" hidden="false" customHeight="false" outlineLevel="0" collapsed="false">
      <c r="A128" s="0" t="n">
        <v>10000</v>
      </c>
      <c r="B128" s="0" t="s">
        <v>137</v>
      </c>
      <c r="C128" s="0" t="n">
        <v>128</v>
      </c>
      <c r="D128" s="0" t="n">
        <v>6260501003052</v>
      </c>
      <c r="E128" s="94" t="s">
        <v>263</v>
      </c>
      <c r="F128" s="0" t="n">
        <v>15</v>
      </c>
      <c r="G128" s="0" t="n">
        <v>9</v>
      </c>
      <c r="I128" s="0" t="n">
        <v>135</v>
      </c>
      <c r="J128" s="0" t="n">
        <v>132</v>
      </c>
    </row>
    <row r="129" customFormat="false" ht="13.8" hidden="false" customHeight="false" outlineLevel="0" collapsed="false">
      <c r="A129" s="0" t="n">
        <v>10000</v>
      </c>
      <c r="B129" s="0" t="s">
        <v>137</v>
      </c>
      <c r="C129" s="0" t="n">
        <v>129</v>
      </c>
      <c r="D129" s="0" t="n">
        <v>6260170900461</v>
      </c>
      <c r="E129" s="94" t="s">
        <v>264</v>
      </c>
      <c r="F129" s="0" t="n">
        <v>5</v>
      </c>
      <c r="G129" s="0" t="n">
        <v>6</v>
      </c>
      <c r="I129" s="0" t="n">
        <v>30</v>
      </c>
      <c r="J129" s="0" t="n">
        <v>133</v>
      </c>
    </row>
    <row r="130" customFormat="false" ht="13.8" hidden="false" customHeight="false" outlineLevel="0" collapsed="false">
      <c r="A130" s="0" t="n">
        <v>10000</v>
      </c>
      <c r="B130" s="0" t="s">
        <v>137</v>
      </c>
      <c r="C130" s="0" t="n">
        <v>130</v>
      </c>
      <c r="D130" s="0" t="n">
        <v>6261178014044</v>
      </c>
      <c r="E130" s="94" t="s">
        <v>265</v>
      </c>
      <c r="F130" s="0" t="n">
        <v>34</v>
      </c>
      <c r="G130" s="0" t="n">
        <v>8</v>
      </c>
      <c r="I130" s="0" t="n">
        <v>272</v>
      </c>
      <c r="J130" s="0" t="n">
        <v>134</v>
      </c>
    </row>
    <row r="131" customFormat="false" ht="13.8" hidden="false" customHeight="false" outlineLevel="0" collapsed="false">
      <c r="A131" s="0" t="n">
        <v>10000</v>
      </c>
      <c r="B131" s="0" t="s">
        <v>137</v>
      </c>
      <c r="C131" s="0" t="n">
        <v>131</v>
      </c>
      <c r="D131" s="0" t="n">
        <v>6260111310106</v>
      </c>
      <c r="E131" s="94" t="s">
        <v>266</v>
      </c>
      <c r="F131" s="0" t="n">
        <v>27</v>
      </c>
      <c r="G131" s="0" t="n">
        <v>18</v>
      </c>
      <c r="I131" s="0" t="n">
        <v>486</v>
      </c>
      <c r="J131" s="0" t="n">
        <v>135</v>
      </c>
    </row>
    <row r="132" customFormat="false" ht="13.8" hidden="false" customHeight="false" outlineLevel="0" collapsed="false">
      <c r="A132" s="0" t="n">
        <v>10000</v>
      </c>
      <c r="B132" s="0" t="s">
        <v>137</v>
      </c>
      <c r="C132" s="0" t="n">
        <v>132</v>
      </c>
      <c r="D132" s="0" t="n">
        <v>6261178574029</v>
      </c>
      <c r="E132" s="94" t="s">
        <v>267</v>
      </c>
      <c r="F132" s="0" t="n">
        <v>14</v>
      </c>
      <c r="G132" s="0" t="n">
        <v>20</v>
      </c>
      <c r="I132" s="0" t="n">
        <v>280</v>
      </c>
      <c r="J132" s="0" t="n">
        <v>136</v>
      </c>
    </row>
    <row r="133" customFormat="false" ht="13.8" hidden="false" customHeight="false" outlineLevel="0" collapsed="false">
      <c r="A133" s="0" t="n">
        <v>10000</v>
      </c>
      <c r="B133" s="0" t="s">
        <v>137</v>
      </c>
      <c r="C133" s="0" t="n">
        <v>133</v>
      </c>
      <c r="D133" s="0" t="n">
        <v>1300</v>
      </c>
      <c r="E133" s="94" t="s">
        <v>268</v>
      </c>
      <c r="F133" s="0" t="n">
        <v>120</v>
      </c>
      <c r="G133" s="0" t="n">
        <v>4.5</v>
      </c>
      <c r="I133" s="0" t="n">
        <v>540</v>
      </c>
      <c r="J133" s="0" t="n">
        <v>137</v>
      </c>
    </row>
    <row r="134" customFormat="false" ht="13.8" hidden="false" customHeight="false" outlineLevel="0" collapsed="false">
      <c r="A134" s="0" t="n">
        <v>10000</v>
      </c>
      <c r="B134" s="0" t="s">
        <v>137</v>
      </c>
      <c r="C134" s="0" t="n">
        <v>134</v>
      </c>
      <c r="D134" s="0" t="n">
        <v>160610198750002</v>
      </c>
      <c r="E134" s="94" t="s">
        <v>269</v>
      </c>
      <c r="F134" s="0" t="n">
        <v>28</v>
      </c>
      <c r="G134" s="0" t="n">
        <v>10</v>
      </c>
      <c r="I134" s="0" t="n">
        <v>280</v>
      </c>
      <c r="J134" s="0" t="n">
        <v>138</v>
      </c>
    </row>
    <row r="135" customFormat="false" ht="13.8" hidden="false" customHeight="false" outlineLevel="0" collapsed="false">
      <c r="A135" s="0" t="n">
        <v>10000</v>
      </c>
      <c r="B135" s="0" t="s">
        <v>137</v>
      </c>
      <c r="C135" s="0" t="n">
        <v>135</v>
      </c>
      <c r="D135" s="0" t="n">
        <v>6260268400170</v>
      </c>
      <c r="E135" s="94" t="s">
        <v>270</v>
      </c>
      <c r="F135" s="0" t="n">
        <v>11</v>
      </c>
      <c r="G135" s="0" t="n">
        <v>15</v>
      </c>
      <c r="I135" s="0" t="n">
        <v>165</v>
      </c>
      <c r="J135" s="0" t="n">
        <v>139</v>
      </c>
    </row>
    <row r="136" customFormat="false" ht="13.8" hidden="false" customHeight="false" outlineLevel="0" collapsed="false">
      <c r="A136" s="0" t="n">
        <v>10000</v>
      </c>
      <c r="B136" s="0" t="s">
        <v>137</v>
      </c>
      <c r="C136" s="0" t="n">
        <v>136</v>
      </c>
      <c r="D136" s="0" t="n">
        <v>6260002666725</v>
      </c>
      <c r="E136" s="94" t="s">
        <v>271</v>
      </c>
      <c r="F136" s="0" t="n">
        <v>14</v>
      </c>
      <c r="G136" s="0" t="n">
        <v>10</v>
      </c>
      <c r="I136" s="0" t="n">
        <v>140</v>
      </c>
      <c r="J136" s="0" t="n">
        <v>140</v>
      </c>
    </row>
    <row r="137" customFormat="false" ht="13.8" hidden="false" customHeight="false" outlineLevel="0" collapsed="false">
      <c r="A137" s="0" t="n">
        <v>10000</v>
      </c>
      <c r="B137" s="0" t="s">
        <v>137</v>
      </c>
      <c r="C137" s="0" t="n">
        <v>137</v>
      </c>
      <c r="D137" s="0" t="n">
        <v>6260002666725</v>
      </c>
      <c r="E137" s="94" t="s">
        <v>271</v>
      </c>
      <c r="F137" s="0" t="n">
        <v>1</v>
      </c>
      <c r="G137" s="0" t="n">
        <v>10</v>
      </c>
      <c r="I137" s="0" t="n">
        <v>10</v>
      </c>
      <c r="J137" s="0" t="n">
        <v>141</v>
      </c>
    </row>
    <row r="138" customFormat="false" ht="13.8" hidden="false" customHeight="false" outlineLevel="0" collapsed="false">
      <c r="A138" s="0" t="n">
        <v>10000</v>
      </c>
      <c r="B138" s="0" t="s">
        <v>137</v>
      </c>
      <c r="C138" s="0" t="n">
        <v>138</v>
      </c>
      <c r="D138" s="0" t="n">
        <v>6260002666725</v>
      </c>
      <c r="E138" s="94" t="s">
        <v>271</v>
      </c>
      <c r="F138" s="0" t="n">
        <v>1</v>
      </c>
      <c r="G138" s="0" t="n">
        <v>10</v>
      </c>
      <c r="I138" s="0" t="n">
        <v>10</v>
      </c>
      <c r="J138" s="0" t="n">
        <v>142</v>
      </c>
    </row>
    <row r="139" customFormat="false" ht="13.8" hidden="false" customHeight="false" outlineLevel="0" collapsed="false">
      <c r="A139" s="0" t="n">
        <v>10000</v>
      </c>
      <c r="B139" s="0" t="s">
        <v>137</v>
      </c>
      <c r="C139" s="0" t="n">
        <v>139</v>
      </c>
      <c r="D139" s="0" t="n">
        <v>6260002666725</v>
      </c>
      <c r="E139" s="94" t="s">
        <v>271</v>
      </c>
      <c r="F139" s="0" t="n">
        <v>1</v>
      </c>
      <c r="G139" s="0" t="n">
        <v>10</v>
      </c>
      <c r="I139" s="0" t="n">
        <v>10</v>
      </c>
      <c r="J139" s="0" t="n">
        <v>143</v>
      </c>
    </row>
    <row r="140" customFormat="false" ht="13.8" hidden="false" customHeight="false" outlineLevel="0" collapsed="false">
      <c r="A140" s="0" t="n">
        <v>10000</v>
      </c>
      <c r="B140" s="0" t="s">
        <v>137</v>
      </c>
      <c r="C140" s="0" t="n">
        <v>140</v>
      </c>
      <c r="D140" s="0" t="n">
        <v>6260002666725</v>
      </c>
      <c r="E140" s="94" t="s">
        <v>271</v>
      </c>
      <c r="F140" s="0" t="n">
        <v>1</v>
      </c>
      <c r="G140" s="0" t="n">
        <v>10</v>
      </c>
      <c r="I140" s="0" t="n">
        <v>10</v>
      </c>
      <c r="J140" s="0" t="n">
        <v>144</v>
      </c>
    </row>
    <row r="141" customFormat="false" ht="13.8" hidden="false" customHeight="false" outlineLevel="0" collapsed="false">
      <c r="A141" s="0" t="n">
        <v>10000</v>
      </c>
      <c r="B141" s="0" t="s">
        <v>137</v>
      </c>
      <c r="C141" s="0" t="n">
        <v>141</v>
      </c>
      <c r="D141" s="0" t="n">
        <v>6260002666725</v>
      </c>
      <c r="E141" s="94" t="s">
        <v>271</v>
      </c>
      <c r="F141" s="0" t="n">
        <v>1</v>
      </c>
      <c r="G141" s="0" t="n">
        <v>10</v>
      </c>
      <c r="I141" s="0" t="n">
        <v>10</v>
      </c>
      <c r="J141" s="0" t="n">
        <v>145</v>
      </c>
    </row>
    <row r="142" customFormat="false" ht="13.8" hidden="false" customHeight="false" outlineLevel="0" collapsed="false">
      <c r="A142" s="0" t="n">
        <v>10000</v>
      </c>
      <c r="B142" s="0" t="s">
        <v>137</v>
      </c>
      <c r="C142" s="0" t="n">
        <v>142</v>
      </c>
      <c r="D142" s="0" t="n">
        <v>6260002666725</v>
      </c>
      <c r="E142" s="94" t="s">
        <v>271</v>
      </c>
      <c r="F142" s="0" t="n">
        <v>1</v>
      </c>
      <c r="G142" s="0" t="n">
        <v>10</v>
      </c>
      <c r="I142" s="0" t="n">
        <v>10</v>
      </c>
      <c r="J142" s="0" t="n">
        <v>146</v>
      </c>
    </row>
    <row r="143" customFormat="false" ht="13.8" hidden="false" customHeight="false" outlineLevel="0" collapsed="false">
      <c r="A143" s="0" t="n">
        <v>10000</v>
      </c>
      <c r="B143" s="0" t="s">
        <v>137</v>
      </c>
      <c r="C143" s="0" t="n">
        <v>143</v>
      </c>
      <c r="D143" s="0" t="n">
        <v>6260002666725</v>
      </c>
      <c r="E143" s="94" t="s">
        <v>271</v>
      </c>
      <c r="F143" s="0" t="n">
        <v>11</v>
      </c>
      <c r="G143" s="0" t="n">
        <v>10</v>
      </c>
      <c r="I143" s="0" t="n">
        <v>110</v>
      </c>
      <c r="J143" s="0" t="n">
        <v>147</v>
      </c>
    </row>
    <row r="144" customFormat="false" ht="13.8" hidden="false" customHeight="false" outlineLevel="0" collapsed="false">
      <c r="A144" s="0" t="n">
        <v>10000</v>
      </c>
      <c r="B144" s="0" t="s">
        <v>137</v>
      </c>
      <c r="C144" s="0" t="n">
        <v>144</v>
      </c>
      <c r="D144" s="0" t="n">
        <v>6262036200272</v>
      </c>
      <c r="E144" s="94" t="s">
        <v>272</v>
      </c>
      <c r="F144" s="0" t="n">
        <v>7</v>
      </c>
      <c r="G144" s="0" t="n">
        <v>8</v>
      </c>
      <c r="I144" s="0" t="n">
        <v>56</v>
      </c>
      <c r="J144" s="0" t="n">
        <v>148</v>
      </c>
    </row>
    <row r="145" customFormat="false" ht="13.8" hidden="false" customHeight="false" outlineLevel="0" collapsed="false">
      <c r="A145" s="0" t="n">
        <v>10000</v>
      </c>
      <c r="B145" s="0" t="s">
        <v>137</v>
      </c>
      <c r="C145" s="0" t="n">
        <v>145</v>
      </c>
      <c r="D145" s="0" t="n">
        <v>6263186900012</v>
      </c>
      <c r="E145" s="94" t="s">
        <v>273</v>
      </c>
      <c r="F145" s="0" t="n">
        <v>26</v>
      </c>
      <c r="G145" s="0" t="n">
        <v>2</v>
      </c>
      <c r="I145" s="0" t="n">
        <v>52</v>
      </c>
      <c r="J145" s="0" t="n">
        <v>149</v>
      </c>
    </row>
    <row r="146" customFormat="false" ht="13.8" hidden="false" customHeight="false" outlineLevel="0" collapsed="false">
      <c r="A146" s="0" t="n">
        <v>10000</v>
      </c>
      <c r="B146" s="0" t="s">
        <v>137</v>
      </c>
      <c r="C146" s="0" t="n">
        <v>146</v>
      </c>
      <c r="D146" s="0" t="n">
        <v>160610318690001</v>
      </c>
      <c r="E146" s="94" t="s">
        <v>273</v>
      </c>
      <c r="F146" s="0" t="n">
        <v>26</v>
      </c>
      <c r="G146" s="0" t="n">
        <v>2</v>
      </c>
      <c r="I146" s="0" t="n">
        <v>52</v>
      </c>
      <c r="J146" s="0" t="n">
        <v>150</v>
      </c>
    </row>
    <row r="147" customFormat="false" ht="13.8" hidden="false" customHeight="false" outlineLevel="0" collapsed="false">
      <c r="A147" s="0" t="n">
        <v>10000</v>
      </c>
      <c r="B147" s="0" t="s">
        <v>137</v>
      </c>
      <c r="C147" s="0" t="n">
        <v>147</v>
      </c>
      <c r="D147" s="0" t="n">
        <v>6261149128213</v>
      </c>
      <c r="E147" s="94" t="s">
        <v>274</v>
      </c>
      <c r="F147" s="0" t="n">
        <v>1</v>
      </c>
      <c r="G147" s="0" t="n">
        <v>60</v>
      </c>
      <c r="I147" s="0" t="n">
        <v>60</v>
      </c>
      <c r="J147" s="0" t="n">
        <v>151</v>
      </c>
    </row>
    <row r="148" customFormat="false" ht="13.8" hidden="false" customHeight="false" outlineLevel="0" collapsed="false">
      <c r="A148" s="0" t="n">
        <v>10000</v>
      </c>
      <c r="B148" s="0" t="s">
        <v>137</v>
      </c>
      <c r="C148" s="0" t="n">
        <v>148</v>
      </c>
      <c r="D148" s="0" t="n">
        <v>6261149128213</v>
      </c>
      <c r="E148" s="94" t="s">
        <v>274</v>
      </c>
      <c r="F148" s="0" t="n">
        <v>1</v>
      </c>
      <c r="G148" s="0" t="n">
        <v>60</v>
      </c>
      <c r="I148" s="0" t="n">
        <v>60</v>
      </c>
      <c r="J148" s="0" t="n">
        <v>152</v>
      </c>
    </row>
    <row r="149" customFormat="false" ht="13.8" hidden="false" customHeight="false" outlineLevel="0" collapsed="false">
      <c r="A149" s="0" t="n">
        <v>10000</v>
      </c>
      <c r="B149" s="0" t="s">
        <v>137</v>
      </c>
      <c r="C149" s="0" t="n">
        <v>149</v>
      </c>
      <c r="D149" s="0" t="n">
        <v>6261149128213</v>
      </c>
      <c r="E149" s="94" t="s">
        <v>274</v>
      </c>
      <c r="F149" s="0" t="n">
        <v>1</v>
      </c>
      <c r="G149" s="0" t="n">
        <v>60</v>
      </c>
      <c r="I149" s="0" t="n">
        <v>60</v>
      </c>
      <c r="J149" s="0" t="n">
        <v>153</v>
      </c>
    </row>
    <row r="150" customFormat="false" ht="13.8" hidden="false" customHeight="false" outlineLevel="0" collapsed="false">
      <c r="A150" s="0" t="n">
        <v>10001</v>
      </c>
      <c r="B150" s="0" t="s">
        <v>137</v>
      </c>
      <c r="C150" s="0" t="n">
        <v>150</v>
      </c>
      <c r="D150" s="0" t="n">
        <v>6262181500128</v>
      </c>
      <c r="E150" s="94" t="s">
        <v>275</v>
      </c>
      <c r="F150" s="0" t="n">
        <v>1</v>
      </c>
      <c r="G150" s="0" t="n">
        <v>5</v>
      </c>
      <c r="I150" s="0" t="n">
        <v>5</v>
      </c>
      <c r="J150" s="0" t="n">
        <v>7</v>
      </c>
    </row>
    <row r="151" customFormat="false" ht="13.8" hidden="false" customHeight="false" outlineLevel="0" collapsed="false">
      <c r="A151" s="0" t="n">
        <v>10001</v>
      </c>
      <c r="B151" s="0" t="s">
        <v>137</v>
      </c>
      <c r="C151" s="0" t="n">
        <v>151</v>
      </c>
      <c r="D151" s="0" t="n">
        <v>6262181500128</v>
      </c>
      <c r="E151" s="94" t="s">
        <v>275</v>
      </c>
      <c r="F151" s="0" t="n">
        <v>1</v>
      </c>
      <c r="G151" s="0" t="n">
        <v>5</v>
      </c>
      <c r="I151" s="0" t="n">
        <v>5</v>
      </c>
      <c r="J151" s="0" t="n">
        <v>8</v>
      </c>
    </row>
    <row r="152" customFormat="false" ht="14.9" hidden="false" customHeight="false" outlineLevel="0" collapsed="false">
      <c r="A152" s="0" t="n">
        <v>10001</v>
      </c>
      <c r="B152" s="0" t="s">
        <v>137</v>
      </c>
      <c r="C152" s="0" t="n">
        <v>152</v>
      </c>
      <c r="D152" s="94" t="s">
        <v>276</v>
      </c>
      <c r="E152" s="94" t="s">
        <v>275</v>
      </c>
      <c r="F152" s="0" t="n">
        <v>45</v>
      </c>
      <c r="G152" s="0" t="n">
        <v>5</v>
      </c>
      <c r="I152" s="0" t="n">
        <v>225</v>
      </c>
      <c r="J152" s="0" t="n">
        <v>9</v>
      </c>
    </row>
    <row r="153" customFormat="false" ht="13.8" hidden="false" customHeight="false" outlineLevel="0" collapsed="false">
      <c r="A153" s="0" t="n">
        <v>10001</v>
      </c>
      <c r="B153" s="0" t="s">
        <v>137</v>
      </c>
      <c r="C153" s="0" t="n">
        <v>153</v>
      </c>
      <c r="D153" s="0" t="n">
        <v>6262181500128</v>
      </c>
      <c r="E153" s="94" t="s">
        <v>275</v>
      </c>
      <c r="F153" s="0" t="n">
        <v>45</v>
      </c>
      <c r="G153" s="0" t="n">
        <v>5</v>
      </c>
      <c r="I153" s="0" t="n">
        <v>225</v>
      </c>
      <c r="J153" s="0" t="n">
        <v>10</v>
      </c>
    </row>
    <row r="154" customFormat="false" ht="13.8" hidden="false" customHeight="false" outlineLevel="0" collapsed="false">
      <c r="A154" s="0" t="n">
        <v>10001</v>
      </c>
      <c r="B154" s="0" t="s">
        <v>137</v>
      </c>
      <c r="C154" s="0" t="n">
        <v>154</v>
      </c>
      <c r="D154" s="0" t="n">
        <v>3700</v>
      </c>
      <c r="E154" s="94" t="s">
        <v>257</v>
      </c>
      <c r="F154" s="0" t="n">
        <v>3</v>
      </c>
      <c r="G154" s="0" t="n">
        <v>150</v>
      </c>
      <c r="I154" s="0" t="n">
        <v>450</v>
      </c>
      <c r="J154" s="0" t="n">
        <v>11</v>
      </c>
    </row>
    <row r="155" customFormat="false" ht="13.8" hidden="false" customHeight="false" outlineLevel="0" collapsed="false">
      <c r="A155" s="0" t="n">
        <v>10001</v>
      </c>
      <c r="B155" s="0" t="s">
        <v>137</v>
      </c>
      <c r="C155" s="0" t="n">
        <v>155</v>
      </c>
      <c r="D155" s="0" t="n">
        <v>2800</v>
      </c>
      <c r="E155" s="94" t="s">
        <v>277</v>
      </c>
      <c r="F155" s="0" t="n">
        <v>3.48</v>
      </c>
      <c r="G155" s="0" t="n">
        <v>70</v>
      </c>
      <c r="I155" s="0" t="n">
        <v>243.6</v>
      </c>
      <c r="J155" s="0" t="n">
        <v>12</v>
      </c>
    </row>
    <row r="156" customFormat="false" ht="13.8" hidden="false" customHeight="false" outlineLevel="0" collapsed="false">
      <c r="A156" s="0" t="n">
        <v>10001</v>
      </c>
      <c r="B156" s="0" t="s">
        <v>137</v>
      </c>
      <c r="C156" s="0" t="n">
        <v>156</v>
      </c>
      <c r="D156" s="0" t="n">
        <v>2500</v>
      </c>
      <c r="E156" s="94" t="s">
        <v>278</v>
      </c>
      <c r="F156" s="0" t="n">
        <v>2.65</v>
      </c>
      <c r="G156" s="0" t="n">
        <v>80</v>
      </c>
      <c r="I156" s="0" t="n">
        <v>212</v>
      </c>
      <c r="J156" s="0" t="n">
        <v>13</v>
      </c>
    </row>
    <row r="157" customFormat="false" ht="13.8" hidden="false" customHeight="false" outlineLevel="0" collapsed="false">
      <c r="A157" s="0" t="n">
        <v>10001</v>
      </c>
      <c r="B157" s="0" t="s">
        <v>137</v>
      </c>
      <c r="C157" s="0" t="n">
        <v>157</v>
      </c>
      <c r="D157" s="0" t="n">
        <v>2600</v>
      </c>
      <c r="E157" s="94" t="s">
        <v>279</v>
      </c>
      <c r="F157" s="0" t="n">
        <v>3.8</v>
      </c>
      <c r="G157" s="0" t="n">
        <v>100</v>
      </c>
      <c r="I157" s="0" t="n">
        <v>380</v>
      </c>
      <c r="J157" s="0" t="n">
        <v>14</v>
      </c>
    </row>
    <row r="158" customFormat="false" ht="13.8" hidden="false" customHeight="false" outlineLevel="0" collapsed="false">
      <c r="A158" s="0" t="n">
        <v>10001</v>
      </c>
      <c r="B158" s="0" t="s">
        <v>137</v>
      </c>
      <c r="C158" s="0" t="n">
        <v>158</v>
      </c>
      <c r="D158" s="0" t="n">
        <v>2400</v>
      </c>
      <c r="E158" s="94" t="s">
        <v>280</v>
      </c>
      <c r="F158" s="0" t="n">
        <v>10</v>
      </c>
      <c r="G158" s="0" t="n">
        <v>70</v>
      </c>
      <c r="I158" s="0" t="n">
        <v>700</v>
      </c>
      <c r="J158" s="0" t="n">
        <v>15</v>
      </c>
    </row>
    <row r="159" customFormat="false" ht="13.8" hidden="false" customHeight="false" outlineLevel="0" collapsed="false">
      <c r="A159" s="0" t="n">
        <v>10001</v>
      </c>
      <c r="B159" s="0" t="s">
        <v>137</v>
      </c>
      <c r="C159" s="0" t="n">
        <v>159</v>
      </c>
      <c r="D159" s="0" t="n">
        <v>4000</v>
      </c>
      <c r="E159" s="94" t="s">
        <v>281</v>
      </c>
      <c r="F159" s="0" t="n">
        <v>2.73</v>
      </c>
      <c r="G159" s="0" t="n">
        <v>70</v>
      </c>
      <c r="I159" s="0" t="n">
        <v>191.1</v>
      </c>
      <c r="J159" s="0" t="n">
        <v>16</v>
      </c>
    </row>
    <row r="160" customFormat="false" ht="13.8" hidden="false" customHeight="false" outlineLevel="0" collapsed="false">
      <c r="A160" s="0" t="n">
        <v>10001</v>
      </c>
      <c r="B160" s="0" t="s">
        <v>137</v>
      </c>
      <c r="C160" s="0" t="n">
        <v>160</v>
      </c>
      <c r="D160" s="0" t="n">
        <v>6260000685506</v>
      </c>
      <c r="E160" s="94" t="s">
        <v>282</v>
      </c>
      <c r="F160" s="0" t="n">
        <v>1</v>
      </c>
      <c r="G160" s="0" t="n">
        <v>110</v>
      </c>
      <c r="I160" s="0" t="n">
        <v>110</v>
      </c>
      <c r="J160" s="0" t="n">
        <v>17</v>
      </c>
    </row>
    <row r="161" customFormat="false" ht="13.8" hidden="false" customHeight="false" outlineLevel="0" collapsed="false">
      <c r="A161" s="0" t="n">
        <v>10001</v>
      </c>
      <c r="B161" s="0" t="s">
        <v>137</v>
      </c>
      <c r="C161" s="0" t="n">
        <v>161</v>
      </c>
      <c r="D161" s="0" t="n">
        <v>6262723900058</v>
      </c>
      <c r="E161" s="94" t="s">
        <v>283</v>
      </c>
      <c r="F161" s="0" t="n">
        <v>1</v>
      </c>
      <c r="G161" s="0" t="n">
        <v>64</v>
      </c>
      <c r="I161" s="0" t="n">
        <v>64</v>
      </c>
      <c r="J161" s="0" t="n">
        <v>18</v>
      </c>
    </row>
    <row r="162" customFormat="false" ht="13.8" hidden="false" customHeight="false" outlineLevel="0" collapsed="false">
      <c r="A162" s="0" t="n">
        <v>10001</v>
      </c>
      <c r="B162" s="0" t="s">
        <v>137</v>
      </c>
      <c r="C162" s="0" t="n">
        <v>162</v>
      </c>
      <c r="D162" s="0" t="n">
        <v>6269447802224</v>
      </c>
      <c r="E162" s="94" t="s">
        <v>284</v>
      </c>
      <c r="F162" s="0" t="n">
        <v>13</v>
      </c>
      <c r="G162" s="0" t="n">
        <v>7</v>
      </c>
      <c r="I162" s="0" t="n">
        <v>91</v>
      </c>
      <c r="J162" s="0" t="n">
        <v>19</v>
      </c>
    </row>
    <row r="163" customFormat="false" ht="13.8" hidden="false" customHeight="false" outlineLevel="0" collapsed="false">
      <c r="A163" s="0" t="n">
        <v>10001</v>
      </c>
      <c r="B163" s="0" t="s">
        <v>137</v>
      </c>
      <c r="C163" s="0" t="n">
        <v>163</v>
      </c>
      <c r="D163" s="0" t="n">
        <v>6261005000257</v>
      </c>
      <c r="E163" s="94" t="s">
        <v>186</v>
      </c>
      <c r="F163" s="0" t="n">
        <v>2</v>
      </c>
      <c r="G163" s="0" t="n">
        <v>45</v>
      </c>
      <c r="I163" s="0" t="n">
        <v>90</v>
      </c>
      <c r="J163" s="0" t="n">
        <v>20</v>
      </c>
    </row>
    <row r="164" customFormat="false" ht="13.8" hidden="false" customHeight="false" outlineLevel="0" collapsed="false">
      <c r="A164" s="0" t="n">
        <v>10001</v>
      </c>
      <c r="B164" s="0" t="s">
        <v>137</v>
      </c>
      <c r="C164" s="0" t="n">
        <v>164</v>
      </c>
      <c r="D164" s="0" t="n">
        <v>6700</v>
      </c>
      <c r="E164" s="94" t="s">
        <v>285</v>
      </c>
      <c r="F164" s="0" t="n">
        <v>25.31</v>
      </c>
      <c r="G164" s="0" t="n">
        <v>50</v>
      </c>
      <c r="I164" s="0" t="n">
        <v>1265.5</v>
      </c>
      <c r="J164" s="0" t="n">
        <v>21</v>
      </c>
    </row>
    <row r="165" customFormat="false" ht="13.8" hidden="false" customHeight="false" outlineLevel="0" collapsed="false">
      <c r="A165" s="0" t="n">
        <v>10001</v>
      </c>
      <c r="B165" s="0" t="s">
        <v>137</v>
      </c>
      <c r="C165" s="0" t="n">
        <v>165</v>
      </c>
      <c r="D165" s="0" t="n">
        <v>4100</v>
      </c>
      <c r="E165" s="94" t="s">
        <v>286</v>
      </c>
      <c r="F165" s="0" t="n">
        <v>26</v>
      </c>
      <c r="G165" s="0" t="n">
        <v>120</v>
      </c>
      <c r="I165" s="0" t="n">
        <v>3120</v>
      </c>
      <c r="J165" s="0" t="n">
        <v>22</v>
      </c>
    </row>
    <row r="166" customFormat="false" ht="13.8" hidden="false" customHeight="false" outlineLevel="0" collapsed="false">
      <c r="A166" s="0" t="n">
        <v>10001</v>
      </c>
      <c r="B166" s="0" t="s">
        <v>137</v>
      </c>
      <c r="C166" s="0" t="n">
        <v>166</v>
      </c>
      <c r="D166" s="0" t="n">
        <v>7000</v>
      </c>
      <c r="E166" s="94" t="s">
        <v>287</v>
      </c>
      <c r="F166" s="0" t="n">
        <v>6.37</v>
      </c>
      <c r="G166" s="0" t="n">
        <v>80</v>
      </c>
      <c r="I166" s="0" t="n">
        <v>509.6</v>
      </c>
      <c r="J166" s="0" t="n">
        <v>23</v>
      </c>
    </row>
    <row r="167" customFormat="false" ht="13.8" hidden="false" customHeight="false" outlineLevel="0" collapsed="false">
      <c r="A167" s="0" t="n">
        <v>10001</v>
      </c>
      <c r="B167" s="0" t="s">
        <v>137</v>
      </c>
      <c r="C167" s="0" t="n">
        <v>167</v>
      </c>
      <c r="D167" s="0" t="n">
        <v>3200</v>
      </c>
      <c r="E167" s="94" t="s">
        <v>288</v>
      </c>
      <c r="F167" s="0" t="n">
        <v>3.5</v>
      </c>
      <c r="G167" s="0" t="n">
        <v>150</v>
      </c>
      <c r="I167" s="0" t="n">
        <v>525</v>
      </c>
      <c r="J167" s="0" t="n">
        <v>24</v>
      </c>
    </row>
    <row r="168" customFormat="false" ht="13.8" hidden="false" customHeight="false" outlineLevel="0" collapsed="false">
      <c r="A168" s="0" t="n">
        <v>10001</v>
      </c>
      <c r="B168" s="0" t="s">
        <v>137</v>
      </c>
      <c r="C168" s="0" t="n">
        <v>168</v>
      </c>
      <c r="D168" s="0" t="n">
        <v>3100</v>
      </c>
      <c r="E168" s="94" t="s">
        <v>289</v>
      </c>
      <c r="F168" s="0" t="n">
        <v>15</v>
      </c>
      <c r="G168" s="0" t="n">
        <v>90</v>
      </c>
      <c r="I168" s="0" t="n">
        <v>1350</v>
      </c>
      <c r="J168" s="0" t="n">
        <v>25</v>
      </c>
    </row>
    <row r="169" customFormat="false" ht="13.8" hidden="false" customHeight="false" outlineLevel="0" collapsed="false">
      <c r="A169" s="0" t="n">
        <v>10001</v>
      </c>
      <c r="B169" s="0" t="s">
        <v>137</v>
      </c>
      <c r="C169" s="0" t="n">
        <v>169</v>
      </c>
      <c r="D169" s="0" t="n">
        <v>3300</v>
      </c>
      <c r="E169" s="94" t="s">
        <v>290</v>
      </c>
      <c r="F169" s="0" t="n">
        <v>14</v>
      </c>
      <c r="G169" s="0" t="n">
        <v>150</v>
      </c>
      <c r="I169" s="0" t="n">
        <v>2100</v>
      </c>
      <c r="J169" s="0" t="n">
        <v>26</v>
      </c>
    </row>
    <row r="170" customFormat="false" ht="13.8" hidden="false" customHeight="false" outlineLevel="0" collapsed="false">
      <c r="A170" s="0" t="n">
        <v>10001</v>
      </c>
      <c r="B170" s="0" t="s">
        <v>137</v>
      </c>
      <c r="C170" s="0" t="n">
        <v>170</v>
      </c>
      <c r="D170" s="0" t="n">
        <v>6260079200914</v>
      </c>
      <c r="E170" s="94" t="s">
        <v>291</v>
      </c>
      <c r="F170" s="0" t="n">
        <v>9</v>
      </c>
      <c r="G170" s="0" t="n">
        <v>20</v>
      </c>
      <c r="I170" s="0" t="n">
        <v>180</v>
      </c>
      <c r="J170" s="0" t="n">
        <v>27</v>
      </c>
    </row>
    <row r="171" customFormat="false" ht="13.8" hidden="false" customHeight="false" outlineLevel="0" collapsed="false">
      <c r="A171" s="0" t="n">
        <v>10001</v>
      </c>
      <c r="B171" s="0" t="s">
        <v>137</v>
      </c>
      <c r="C171" s="0" t="n">
        <v>171</v>
      </c>
      <c r="D171" s="0" t="n">
        <v>6260079200839</v>
      </c>
      <c r="E171" s="94" t="s">
        <v>292</v>
      </c>
      <c r="F171" s="0" t="n">
        <v>22</v>
      </c>
      <c r="G171" s="0" t="n">
        <v>20</v>
      </c>
      <c r="I171" s="0" t="n">
        <v>440</v>
      </c>
      <c r="J171" s="0" t="n">
        <v>28</v>
      </c>
    </row>
    <row r="172" customFormat="false" ht="13.8" hidden="false" customHeight="false" outlineLevel="0" collapsed="false">
      <c r="A172" s="0" t="n">
        <v>10001</v>
      </c>
      <c r="B172" s="0" t="s">
        <v>137</v>
      </c>
      <c r="C172" s="0" t="n">
        <v>172</v>
      </c>
      <c r="D172" s="0" t="n">
        <v>8458412400024</v>
      </c>
      <c r="E172" s="94" t="s">
        <v>293</v>
      </c>
      <c r="F172" s="0" t="n">
        <v>12</v>
      </c>
      <c r="G172" s="0" t="n">
        <v>7.5</v>
      </c>
      <c r="I172" s="0" t="n">
        <v>90</v>
      </c>
      <c r="J172" s="0" t="n">
        <v>29</v>
      </c>
    </row>
    <row r="173" customFormat="false" ht="13.8" hidden="false" customHeight="false" outlineLevel="0" collapsed="false">
      <c r="A173" s="0" t="n">
        <v>10001</v>
      </c>
      <c r="B173" s="0" t="s">
        <v>137</v>
      </c>
      <c r="C173" s="0" t="n">
        <v>173</v>
      </c>
      <c r="D173" s="0" t="n">
        <v>6260575902312</v>
      </c>
      <c r="E173" s="94" t="s">
        <v>294</v>
      </c>
      <c r="F173" s="0" t="n">
        <v>40</v>
      </c>
      <c r="G173" s="0" t="n">
        <v>5</v>
      </c>
      <c r="I173" s="0" t="n">
        <v>200</v>
      </c>
      <c r="J173" s="0" t="n">
        <v>30</v>
      </c>
    </row>
    <row r="174" customFormat="false" ht="13.8" hidden="false" customHeight="false" outlineLevel="0" collapsed="false">
      <c r="A174" s="0" t="n">
        <v>10001</v>
      </c>
      <c r="B174" s="0" t="s">
        <v>137</v>
      </c>
      <c r="C174" s="0" t="n">
        <v>174</v>
      </c>
      <c r="D174" s="0" t="n">
        <v>6260575902404</v>
      </c>
      <c r="E174" s="94" t="s">
        <v>295</v>
      </c>
      <c r="F174" s="0" t="n">
        <v>48</v>
      </c>
      <c r="G174" s="0" t="n">
        <v>5</v>
      </c>
      <c r="I174" s="0" t="n">
        <v>240</v>
      </c>
      <c r="J174" s="0" t="n">
        <v>31</v>
      </c>
    </row>
    <row r="175" customFormat="false" ht="13.8" hidden="false" customHeight="false" outlineLevel="0" collapsed="false">
      <c r="A175" s="0" t="n">
        <v>10001</v>
      </c>
      <c r="B175" s="0" t="s">
        <v>137</v>
      </c>
      <c r="C175" s="0" t="n">
        <v>175</v>
      </c>
      <c r="D175" s="0" t="n">
        <v>6260575904330</v>
      </c>
      <c r="E175" s="94" t="s">
        <v>296</v>
      </c>
      <c r="F175" s="0" t="n">
        <v>19</v>
      </c>
      <c r="G175" s="0" t="n">
        <v>10</v>
      </c>
      <c r="I175" s="0" t="n">
        <v>190</v>
      </c>
      <c r="J175" s="0" t="n">
        <v>32</v>
      </c>
    </row>
    <row r="176" customFormat="false" ht="13.8" hidden="false" customHeight="false" outlineLevel="0" collapsed="false">
      <c r="A176" s="0" t="n">
        <v>10001</v>
      </c>
      <c r="B176" s="0" t="s">
        <v>137</v>
      </c>
      <c r="C176" s="0" t="n">
        <v>176</v>
      </c>
      <c r="D176" s="0" t="n">
        <v>6260002926348</v>
      </c>
      <c r="E176" s="94" t="s">
        <v>297</v>
      </c>
      <c r="F176" s="0" t="n">
        <v>20</v>
      </c>
      <c r="G176" s="0" t="n">
        <v>18</v>
      </c>
      <c r="I176" s="0" t="n">
        <v>360</v>
      </c>
      <c r="J176" s="0" t="n">
        <v>33</v>
      </c>
    </row>
    <row r="177" customFormat="false" ht="13.8" hidden="false" customHeight="false" outlineLevel="0" collapsed="false">
      <c r="A177" s="0" t="n">
        <v>10001</v>
      </c>
      <c r="B177" s="0" t="s">
        <v>137</v>
      </c>
      <c r="C177" s="0" t="n">
        <v>177</v>
      </c>
      <c r="D177" s="0" t="n">
        <v>6261178411010</v>
      </c>
      <c r="E177" s="94" t="s">
        <v>298</v>
      </c>
      <c r="F177" s="0" t="n">
        <v>20</v>
      </c>
      <c r="G177" s="0" t="n">
        <v>15</v>
      </c>
      <c r="I177" s="0" t="n">
        <v>300</v>
      </c>
      <c r="J177" s="0" t="n">
        <v>34</v>
      </c>
    </row>
    <row r="178" customFormat="false" ht="13.8" hidden="false" customHeight="false" outlineLevel="0" collapsed="false">
      <c r="A178" s="0" t="n">
        <v>10001</v>
      </c>
      <c r="B178" s="0" t="s">
        <v>137</v>
      </c>
      <c r="C178" s="0" t="n">
        <v>178</v>
      </c>
      <c r="D178" s="0" t="n">
        <v>6265663103565</v>
      </c>
      <c r="E178" s="94" t="s">
        <v>299</v>
      </c>
      <c r="F178" s="0" t="n">
        <v>28</v>
      </c>
      <c r="G178" s="0" t="n">
        <v>15</v>
      </c>
      <c r="I178" s="0" t="n">
        <v>420</v>
      </c>
      <c r="J178" s="0" t="n">
        <v>35</v>
      </c>
    </row>
    <row r="179" customFormat="false" ht="13.8" hidden="false" customHeight="false" outlineLevel="0" collapsed="false">
      <c r="A179" s="0" t="n">
        <v>10001</v>
      </c>
      <c r="B179" s="0" t="s">
        <v>137</v>
      </c>
      <c r="C179" s="0" t="n">
        <v>179</v>
      </c>
      <c r="D179" s="0" t="n">
        <v>6260053185640</v>
      </c>
      <c r="E179" s="94" t="s">
        <v>300</v>
      </c>
      <c r="F179" s="0" t="n">
        <v>48</v>
      </c>
      <c r="G179" s="0" t="n">
        <v>12</v>
      </c>
      <c r="I179" s="0" t="n">
        <v>576</v>
      </c>
      <c r="J179" s="0" t="n">
        <v>36</v>
      </c>
    </row>
    <row r="180" customFormat="false" ht="13.8" hidden="false" customHeight="false" outlineLevel="0" collapsed="false">
      <c r="A180" s="0" t="n">
        <v>10001</v>
      </c>
      <c r="B180" s="0" t="s">
        <v>137</v>
      </c>
      <c r="C180" s="0" t="n">
        <v>180</v>
      </c>
      <c r="D180" s="0" t="n">
        <v>162900054350642</v>
      </c>
      <c r="E180" s="94" t="s">
        <v>301</v>
      </c>
      <c r="F180" s="0" t="n">
        <v>20</v>
      </c>
      <c r="G180" s="0" t="n">
        <v>15</v>
      </c>
      <c r="I180" s="0" t="n">
        <v>300</v>
      </c>
      <c r="J180" s="0" t="n">
        <v>37</v>
      </c>
    </row>
    <row r="181" customFormat="false" ht="13.8" hidden="false" customHeight="false" outlineLevel="0" collapsed="false">
      <c r="A181" s="0" t="n">
        <v>10001</v>
      </c>
      <c r="B181" s="0" t="s">
        <v>137</v>
      </c>
      <c r="C181" s="0" t="n">
        <v>181</v>
      </c>
      <c r="D181" s="0" t="n">
        <v>6260543504289</v>
      </c>
      <c r="E181" s="94" t="s">
        <v>301</v>
      </c>
      <c r="F181" s="0" t="n">
        <v>20</v>
      </c>
      <c r="G181" s="0" t="n">
        <v>15</v>
      </c>
      <c r="I181" s="0" t="n">
        <v>300</v>
      </c>
      <c r="J181" s="0" t="n">
        <v>38</v>
      </c>
    </row>
    <row r="182" customFormat="false" ht="13.8" hidden="false" customHeight="false" outlineLevel="0" collapsed="false">
      <c r="A182" s="0" t="n">
        <v>10001</v>
      </c>
      <c r="B182" s="0" t="s">
        <v>137</v>
      </c>
      <c r="C182" s="0" t="n">
        <v>182</v>
      </c>
      <c r="D182" s="0" t="n">
        <v>6260543505347</v>
      </c>
      <c r="E182" s="94" t="s">
        <v>302</v>
      </c>
      <c r="F182" s="0" t="n">
        <v>30</v>
      </c>
      <c r="G182" s="0" t="n">
        <v>8</v>
      </c>
      <c r="I182" s="0" t="n">
        <v>240</v>
      </c>
      <c r="J182" s="0" t="n">
        <v>39</v>
      </c>
    </row>
    <row r="183" customFormat="false" ht="13.8" hidden="false" customHeight="false" outlineLevel="0" collapsed="false">
      <c r="A183" s="0" t="n">
        <v>10001</v>
      </c>
      <c r="B183" s="0" t="s">
        <v>137</v>
      </c>
      <c r="C183" s="0" t="n">
        <v>183</v>
      </c>
      <c r="D183" s="0" t="n">
        <v>162900054350801</v>
      </c>
      <c r="E183" s="94" t="s">
        <v>302</v>
      </c>
      <c r="F183" s="0" t="n">
        <v>30</v>
      </c>
      <c r="G183" s="0" t="n">
        <v>8</v>
      </c>
      <c r="I183" s="0" t="n">
        <v>240</v>
      </c>
      <c r="J183" s="0" t="n">
        <v>40</v>
      </c>
    </row>
    <row r="184" customFormat="false" ht="13.8" hidden="false" customHeight="false" outlineLevel="0" collapsed="false">
      <c r="A184" s="0" t="n">
        <v>10001</v>
      </c>
      <c r="B184" s="0" t="s">
        <v>137</v>
      </c>
      <c r="C184" s="0" t="n">
        <v>184</v>
      </c>
      <c r="D184" s="0" t="n">
        <v>6260002926379</v>
      </c>
      <c r="E184" s="94" t="s">
        <v>303</v>
      </c>
      <c r="F184" s="0" t="n">
        <v>30</v>
      </c>
      <c r="G184" s="0" t="n">
        <v>21</v>
      </c>
      <c r="I184" s="0" t="n">
        <v>630</v>
      </c>
      <c r="J184" s="0" t="n">
        <v>41</v>
      </c>
    </row>
    <row r="185" customFormat="false" ht="13.8" hidden="false" customHeight="false" outlineLevel="0" collapsed="false">
      <c r="A185" s="0" t="n">
        <v>10002</v>
      </c>
      <c r="B185" s="0" t="s">
        <v>95</v>
      </c>
      <c r="C185" s="0" t="n">
        <v>185</v>
      </c>
      <c r="D185" s="0" t="n">
        <v>2162314158000000</v>
      </c>
      <c r="E185" s="94" t="s">
        <v>250</v>
      </c>
      <c r="F185" s="0" t="n">
        <v>1</v>
      </c>
      <c r="G185" s="0" t="n">
        <v>10</v>
      </c>
      <c r="I185" s="0" t="n">
        <v>10</v>
      </c>
      <c r="J185" s="0" t="n">
        <v>7</v>
      </c>
    </row>
    <row r="186" customFormat="false" ht="13.8" hidden="false" customHeight="false" outlineLevel="0" collapsed="false">
      <c r="A186" s="0" t="n">
        <v>10003</v>
      </c>
      <c r="B186" s="0" t="s">
        <v>137</v>
      </c>
      <c r="C186" s="0" t="n">
        <v>186</v>
      </c>
      <c r="D186" s="0" t="n">
        <v>6260469900509</v>
      </c>
      <c r="E186" s="94" t="s">
        <v>304</v>
      </c>
      <c r="F186" s="0" t="n">
        <v>14</v>
      </c>
      <c r="G186" s="0" t="n">
        <v>10</v>
      </c>
      <c r="I186" s="0" t="n">
        <v>140</v>
      </c>
      <c r="J186" s="0" t="n">
        <v>7</v>
      </c>
    </row>
    <row r="187" customFormat="false" ht="13.8" hidden="false" customHeight="false" outlineLevel="0" collapsed="false">
      <c r="A187" s="0" t="n">
        <v>10003</v>
      </c>
      <c r="B187" s="0" t="s">
        <v>137</v>
      </c>
      <c r="C187" s="0" t="n">
        <v>187</v>
      </c>
      <c r="D187" s="0" t="n">
        <v>162510046990021</v>
      </c>
      <c r="E187" s="94" t="s">
        <v>304</v>
      </c>
      <c r="F187" s="0" t="n">
        <v>14</v>
      </c>
      <c r="G187" s="0" t="n">
        <v>10</v>
      </c>
      <c r="I187" s="0" t="n">
        <v>140</v>
      </c>
      <c r="J187" s="0" t="n">
        <v>8</v>
      </c>
    </row>
    <row r="188" customFormat="false" ht="13.8" hidden="false" customHeight="false" outlineLevel="0" collapsed="false">
      <c r="A188" s="0" t="n">
        <v>10003</v>
      </c>
      <c r="B188" s="0" t="s">
        <v>137</v>
      </c>
      <c r="C188" s="0" t="n">
        <v>188</v>
      </c>
      <c r="D188" s="0" t="n">
        <v>6262690600074</v>
      </c>
      <c r="E188" s="94" t="s">
        <v>305</v>
      </c>
      <c r="F188" s="0" t="n">
        <v>5</v>
      </c>
      <c r="G188" s="0" t="n">
        <v>10</v>
      </c>
      <c r="I188" s="0" t="n">
        <v>50</v>
      </c>
      <c r="J188" s="0" t="n">
        <v>9</v>
      </c>
    </row>
    <row r="189" customFormat="false" ht="13.8" hidden="false" customHeight="false" outlineLevel="0" collapsed="false">
      <c r="A189" s="0" t="n">
        <v>10003</v>
      </c>
      <c r="B189" s="0" t="s">
        <v>137</v>
      </c>
      <c r="C189" s="0" t="n">
        <v>189</v>
      </c>
      <c r="D189" s="0" t="n">
        <v>2000</v>
      </c>
      <c r="E189" s="94" t="s">
        <v>306</v>
      </c>
      <c r="F189" s="0" t="n">
        <v>8.775</v>
      </c>
      <c r="G189" s="0" t="n">
        <v>100</v>
      </c>
      <c r="I189" s="0" t="n">
        <v>877.5</v>
      </c>
      <c r="J189" s="0" t="n">
        <v>10</v>
      </c>
    </row>
    <row r="190" customFormat="false" ht="13.8" hidden="false" customHeight="false" outlineLevel="0" collapsed="false">
      <c r="A190" s="0" t="n">
        <v>10003</v>
      </c>
      <c r="B190" s="0" t="s">
        <v>137</v>
      </c>
      <c r="C190" s="0" t="n">
        <v>190</v>
      </c>
      <c r="D190" s="0" t="n">
        <v>2100</v>
      </c>
      <c r="E190" s="94" t="s">
        <v>307</v>
      </c>
      <c r="F190" s="0" t="n">
        <v>10.735</v>
      </c>
      <c r="G190" s="0" t="n">
        <v>120</v>
      </c>
      <c r="I190" s="0" t="n">
        <v>1288.2</v>
      </c>
      <c r="J190" s="0" t="n">
        <v>11</v>
      </c>
    </row>
    <row r="191" customFormat="false" ht="13.8" hidden="false" customHeight="false" outlineLevel="0" collapsed="false">
      <c r="A191" s="0" t="n">
        <v>10003</v>
      </c>
      <c r="B191" s="0" t="s">
        <v>137</v>
      </c>
      <c r="C191" s="0" t="n">
        <v>191</v>
      </c>
      <c r="D191" s="0" t="n">
        <v>6260022324025</v>
      </c>
      <c r="E191" s="94" t="s">
        <v>308</v>
      </c>
      <c r="F191" s="0" t="n">
        <v>6</v>
      </c>
      <c r="G191" s="0" t="n">
        <v>30</v>
      </c>
      <c r="I191" s="0" t="n">
        <v>180</v>
      </c>
      <c r="J191" s="0" t="n">
        <v>12</v>
      </c>
    </row>
    <row r="192" customFormat="false" ht="13.8" hidden="false" customHeight="false" outlineLevel="0" collapsed="false">
      <c r="A192" s="0" t="n">
        <v>10003</v>
      </c>
      <c r="B192" s="0" t="s">
        <v>137</v>
      </c>
      <c r="C192" s="0" t="n">
        <v>192</v>
      </c>
      <c r="D192" s="0" t="n">
        <v>6260806400020</v>
      </c>
      <c r="E192" s="94" t="s">
        <v>309</v>
      </c>
      <c r="F192" s="0" t="n">
        <v>28</v>
      </c>
      <c r="G192" s="0" t="n">
        <v>45</v>
      </c>
      <c r="I192" s="0" t="n">
        <v>1260</v>
      </c>
      <c r="J192" s="0" t="n">
        <v>13</v>
      </c>
    </row>
    <row r="193" customFormat="false" ht="13.8" hidden="false" customHeight="false" outlineLevel="0" collapsed="false">
      <c r="A193" s="0" t="n">
        <v>10003</v>
      </c>
      <c r="B193" s="0" t="s">
        <v>137</v>
      </c>
      <c r="C193" s="0" t="n">
        <v>193</v>
      </c>
      <c r="D193" s="0" t="n">
        <v>6260055843036</v>
      </c>
      <c r="E193" s="94" t="s">
        <v>310</v>
      </c>
      <c r="F193" s="0" t="n">
        <v>20</v>
      </c>
      <c r="G193" s="0" t="n">
        <v>35</v>
      </c>
      <c r="I193" s="0" t="n">
        <v>700</v>
      </c>
      <c r="J193" s="0" t="n">
        <v>14</v>
      </c>
    </row>
    <row r="194" customFormat="false" ht="13.8" hidden="false" customHeight="false" outlineLevel="0" collapsed="false">
      <c r="A194" s="0" t="n">
        <v>10003</v>
      </c>
      <c r="B194" s="0" t="s">
        <v>137</v>
      </c>
      <c r="C194" s="0" t="n">
        <v>194</v>
      </c>
      <c r="D194" s="0" t="n">
        <v>6261845300173</v>
      </c>
      <c r="E194" s="94" t="s">
        <v>310</v>
      </c>
      <c r="F194" s="0" t="n">
        <v>1</v>
      </c>
      <c r="G194" s="0" t="n">
        <v>35</v>
      </c>
      <c r="I194" s="0" t="n">
        <v>35</v>
      </c>
      <c r="J194" s="0" t="n">
        <v>15</v>
      </c>
    </row>
    <row r="195" customFormat="false" ht="13.8" hidden="false" customHeight="false" outlineLevel="0" collapsed="false">
      <c r="A195" s="0" t="n">
        <v>10003</v>
      </c>
      <c r="B195" s="0" t="s">
        <v>137</v>
      </c>
      <c r="C195" s="0" t="n">
        <v>195</v>
      </c>
      <c r="D195" s="0" t="n">
        <v>6260806400068</v>
      </c>
      <c r="E195" s="94" t="s">
        <v>161</v>
      </c>
      <c r="F195" s="0" t="n">
        <v>8</v>
      </c>
      <c r="G195" s="0" t="n">
        <v>35</v>
      </c>
      <c r="I195" s="0" t="n">
        <v>280</v>
      </c>
      <c r="J195" s="0" t="n">
        <v>16</v>
      </c>
    </row>
    <row r="196" customFormat="false" ht="13.8" hidden="false" customHeight="false" outlineLevel="0" collapsed="false">
      <c r="A196" s="0" t="n">
        <v>10003</v>
      </c>
      <c r="B196" s="0" t="s">
        <v>137</v>
      </c>
      <c r="C196" s="0" t="n">
        <v>196</v>
      </c>
      <c r="D196" s="0" t="n">
        <v>6260079211316</v>
      </c>
      <c r="E196" s="94" t="s">
        <v>311</v>
      </c>
      <c r="F196" s="0" t="n">
        <v>1</v>
      </c>
      <c r="G196" s="0" t="n">
        <v>30</v>
      </c>
      <c r="I196" s="0" t="n">
        <v>30</v>
      </c>
      <c r="J196" s="0" t="n">
        <v>17</v>
      </c>
    </row>
    <row r="197" customFormat="false" ht="13.8" hidden="false" customHeight="false" outlineLevel="0" collapsed="false">
      <c r="A197" s="0" t="n">
        <v>10003</v>
      </c>
      <c r="B197" s="0" t="s">
        <v>137</v>
      </c>
      <c r="C197" s="0" t="n">
        <v>197</v>
      </c>
      <c r="D197" s="0" t="n">
        <v>6260079211316</v>
      </c>
      <c r="E197" s="94" t="s">
        <v>311</v>
      </c>
      <c r="F197" s="0" t="n">
        <v>1</v>
      </c>
      <c r="G197" s="0" t="n">
        <v>30</v>
      </c>
      <c r="I197" s="0" t="n">
        <v>30</v>
      </c>
      <c r="J197" s="0" t="n">
        <v>18</v>
      </c>
    </row>
    <row r="198" customFormat="false" ht="13.8" hidden="false" customHeight="false" outlineLevel="0" collapsed="false">
      <c r="A198" s="0" t="n">
        <v>10003</v>
      </c>
      <c r="B198" s="0" t="s">
        <v>137</v>
      </c>
      <c r="C198" s="0" t="n">
        <v>198</v>
      </c>
      <c r="D198" s="0" t="n">
        <v>6260079211316</v>
      </c>
      <c r="E198" s="94" t="s">
        <v>311</v>
      </c>
      <c r="F198" s="0" t="n">
        <v>1</v>
      </c>
      <c r="G198" s="0" t="n">
        <v>30</v>
      </c>
      <c r="I198" s="0" t="n">
        <v>30</v>
      </c>
      <c r="J198" s="0" t="n">
        <v>19</v>
      </c>
    </row>
    <row r="199" customFormat="false" ht="13.8" hidden="false" customHeight="false" outlineLevel="0" collapsed="false">
      <c r="A199" s="0" t="n">
        <v>10003</v>
      </c>
      <c r="B199" s="0" t="s">
        <v>137</v>
      </c>
      <c r="C199" s="0" t="n">
        <v>199</v>
      </c>
      <c r="D199" s="0" t="n">
        <v>6260079211316</v>
      </c>
      <c r="E199" s="94" t="s">
        <v>311</v>
      </c>
      <c r="F199" s="0" t="n">
        <v>1</v>
      </c>
      <c r="G199" s="0" t="n">
        <v>30</v>
      </c>
      <c r="I199" s="0" t="n">
        <v>30</v>
      </c>
      <c r="J199" s="0" t="n">
        <v>20</v>
      </c>
    </row>
    <row r="200" customFormat="false" ht="13.8" hidden="false" customHeight="false" outlineLevel="0" collapsed="false">
      <c r="A200" s="0" t="n">
        <v>10003</v>
      </c>
      <c r="B200" s="0" t="s">
        <v>137</v>
      </c>
      <c r="C200" s="0" t="n">
        <v>200</v>
      </c>
      <c r="D200" s="0" t="n">
        <v>6260079211323</v>
      </c>
      <c r="E200" s="94" t="s">
        <v>163</v>
      </c>
      <c r="F200" s="0" t="n">
        <v>1</v>
      </c>
      <c r="G200" s="0" t="n">
        <v>30</v>
      </c>
      <c r="I200" s="0" t="n">
        <v>30</v>
      </c>
      <c r="J200" s="0" t="n">
        <v>21</v>
      </c>
    </row>
    <row r="201" customFormat="false" ht="13.8" hidden="false" customHeight="false" outlineLevel="0" collapsed="false">
      <c r="A201" s="0" t="n">
        <v>10003</v>
      </c>
      <c r="B201" s="0" t="s">
        <v>137</v>
      </c>
      <c r="C201" s="0" t="n">
        <v>201</v>
      </c>
      <c r="D201" s="0" t="n">
        <v>6260079211323</v>
      </c>
      <c r="E201" s="94" t="s">
        <v>163</v>
      </c>
      <c r="F201" s="0" t="n">
        <v>1</v>
      </c>
      <c r="G201" s="0" t="n">
        <v>30</v>
      </c>
      <c r="I201" s="0" t="n">
        <v>30</v>
      </c>
      <c r="J201" s="0" t="n">
        <v>22</v>
      </c>
    </row>
    <row r="202" customFormat="false" ht="15" hidden="false" customHeight="false" outlineLevel="0" collapsed="false">
      <c r="A202" s="0" t="n">
        <v>10003</v>
      </c>
      <c r="B202" s="0" t="s">
        <v>137</v>
      </c>
      <c r="C202" s="0" t="n">
        <v>202</v>
      </c>
      <c r="D202" s="0" t="n">
        <v>6260079211323</v>
      </c>
      <c r="E202" s="94" t="s">
        <v>163</v>
      </c>
      <c r="F202" s="0" t="n">
        <v>1</v>
      </c>
      <c r="G202" s="0" t="n">
        <v>30</v>
      </c>
      <c r="I202" s="0" t="n">
        <v>30</v>
      </c>
      <c r="J202" s="0" t="n">
        <v>23</v>
      </c>
    </row>
    <row r="203" customFormat="false" ht="15" hidden="false" customHeight="false" outlineLevel="0" collapsed="false">
      <c r="A203" s="0" t="n">
        <v>10003</v>
      </c>
      <c r="B203" s="0" t="s">
        <v>137</v>
      </c>
      <c r="C203" s="0" t="n">
        <v>203</v>
      </c>
      <c r="D203" s="0" t="n">
        <v>6260079211323</v>
      </c>
      <c r="E203" s="94" t="s">
        <v>163</v>
      </c>
      <c r="F203" s="0" t="n">
        <v>1</v>
      </c>
      <c r="G203" s="0" t="n">
        <v>30</v>
      </c>
      <c r="I203" s="0" t="n">
        <v>30</v>
      </c>
      <c r="J203" s="0" t="n">
        <v>24</v>
      </c>
    </row>
    <row r="204" customFormat="false" ht="15" hidden="false" customHeight="false" outlineLevel="0" collapsed="false">
      <c r="A204" s="0" t="n">
        <v>10003</v>
      </c>
      <c r="B204" s="0" t="s">
        <v>137</v>
      </c>
      <c r="C204" s="0" t="n">
        <v>204</v>
      </c>
      <c r="D204" s="0" t="n">
        <v>6260079211293</v>
      </c>
      <c r="E204" s="94" t="s">
        <v>312</v>
      </c>
      <c r="F204" s="0" t="n">
        <v>5</v>
      </c>
      <c r="G204" s="0" t="n">
        <v>30</v>
      </c>
      <c r="I204" s="0" t="n">
        <v>150</v>
      </c>
      <c r="J204" s="0" t="n">
        <v>25</v>
      </c>
    </row>
    <row r="205" customFormat="false" ht="15" hidden="false" customHeight="false" outlineLevel="0" collapsed="false">
      <c r="A205" s="0" t="n">
        <v>10003</v>
      </c>
      <c r="B205" s="0" t="s">
        <v>137</v>
      </c>
      <c r="C205" s="0" t="n">
        <v>205</v>
      </c>
      <c r="D205" s="0" t="n">
        <v>6261149146071</v>
      </c>
      <c r="E205" s="94" t="s">
        <v>313</v>
      </c>
      <c r="F205" s="0" t="n">
        <v>6</v>
      </c>
      <c r="G205" s="0" t="n">
        <v>30</v>
      </c>
      <c r="I205" s="0" t="n">
        <v>180</v>
      </c>
      <c r="J205" s="0" t="n">
        <v>26</v>
      </c>
    </row>
    <row r="206" customFormat="false" ht="15" hidden="false" customHeight="false" outlineLevel="0" collapsed="false">
      <c r="A206" s="0" t="n">
        <v>10003</v>
      </c>
      <c r="B206" s="0" t="s">
        <v>137</v>
      </c>
      <c r="C206" s="0" t="n">
        <v>206</v>
      </c>
      <c r="D206" s="0" t="n">
        <v>6261149146088</v>
      </c>
      <c r="E206" s="94" t="s">
        <v>314</v>
      </c>
      <c r="F206" s="0" t="n">
        <v>8</v>
      </c>
      <c r="G206" s="0" t="n">
        <v>30</v>
      </c>
      <c r="I206" s="0" t="n">
        <v>240</v>
      </c>
      <c r="J206" s="0" t="n">
        <v>27</v>
      </c>
    </row>
    <row r="207" customFormat="false" ht="15" hidden="false" customHeight="false" outlineLevel="0" collapsed="false">
      <c r="A207" s="0" t="n">
        <v>10003</v>
      </c>
      <c r="B207" s="0" t="s">
        <v>137</v>
      </c>
      <c r="C207" s="0" t="n">
        <v>207</v>
      </c>
      <c r="D207" s="0" t="n">
        <v>6260079277138</v>
      </c>
      <c r="E207" s="94" t="s">
        <v>315</v>
      </c>
      <c r="F207" s="0" t="n">
        <v>11</v>
      </c>
      <c r="G207" s="0" t="n">
        <v>24</v>
      </c>
      <c r="I207" s="0" t="n">
        <v>264</v>
      </c>
      <c r="J207" s="0" t="n">
        <v>28</v>
      </c>
    </row>
    <row r="208" customFormat="false" ht="15" hidden="false" customHeight="false" outlineLevel="0" collapsed="false">
      <c r="A208" s="0" t="n">
        <v>10003</v>
      </c>
      <c r="B208" s="0" t="s">
        <v>137</v>
      </c>
      <c r="C208" s="0" t="n">
        <v>208</v>
      </c>
      <c r="D208" s="0" t="n">
        <v>6261149146231</v>
      </c>
      <c r="E208" s="94" t="s">
        <v>316</v>
      </c>
      <c r="F208" s="0" t="n">
        <v>6</v>
      </c>
      <c r="G208" s="0" t="n">
        <v>25</v>
      </c>
      <c r="I208" s="0" t="n">
        <v>150</v>
      </c>
      <c r="J208" s="0" t="n">
        <v>29</v>
      </c>
    </row>
    <row r="209" customFormat="false" ht="15" hidden="false" customHeight="false" outlineLevel="0" collapsed="false">
      <c r="A209" s="0" t="n">
        <v>10003</v>
      </c>
      <c r="B209" s="0" t="s">
        <v>137</v>
      </c>
      <c r="C209" s="0" t="n">
        <v>209</v>
      </c>
      <c r="D209" s="0" t="n">
        <v>7900</v>
      </c>
      <c r="E209" s="94" t="s">
        <v>317</v>
      </c>
      <c r="F209" s="0" t="n">
        <v>1</v>
      </c>
      <c r="G209" s="0" t="n">
        <v>280</v>
      </c>
      <c r="I209" s="0" t="n">
        <v>280</v>
      </c>
      <c r="J209" s="0" t="n">
        <v>30</v>
      </c>
    </row>
    <row r="210" customFormat="false" ht="15" hidden="false" customHeight="false" outlineLevel="0" collapsed="false">
      <c r="A210" s="0" t="n">
        <v>10003</v>
      </c>
      <c r="B210" s="0" t="s">
        <v>137</v>
      </c>
      <c r="C210" s="0" t="n">
        <v>210</v>
      </c>
      <c r="D210" s="0" t="n">
        <v>7500</v>
      </c>
      <c r="E210" s="94" t="s">
        <v>318</v>
      </c>
      <c r="F210" s="0" t="n">
        <v>54</v>
      </c>
      <c r="G210" s="0" t="n">
        <v>2</v>
      </c>
      <c r="I210" s="0" t="n">
        <v>108</v>
      </c>
      <c r="J210" s="0" t="n">
        <v>31</v>
      </c>
    </row>
    <row r="211" customFormat="false" ht="15" hidden="false" customHeight="false" outlineLevel="0" collapsed="false">
      <c r="A211" s="0" t="n">
        <v>10003</v>
      </c>
      <c r="B211" s="0" t="s">
        <v>137</v>
      </c>
      <c r="C211" s="0" t="n">
        <v>211</v>
      </c>
      <c r="D211" s="0" t="n">
        <v>7400</v>
      </c>
      <c r="E211" s="94" t="s">
        <v>319</v>
      </c>
      <c r="F211" s="0" t="n">
        <v>39</v>
      </c>
      <c r="G211" s="0" t="n">
        <v>6</v>
      </c>
      <c r="I211" s="0" t="n">
        <v>234</v>
      </c>
      <c r="J211" s="0" t="n">
        <v>32</v>
      </c>
    </row>
    <row r="212" customFormat="false" ht="15" hidden="false" customHeight="false" outlineLevel="0" collapsed="false">
      <c r="A212" s="0" t="n">
        <v>10003</v>
      </c>
      <c r="B212" s="0" t="s">
        <v>137</v>
      </c>
      <c r="C212" s="0" t="n">
        <v>212</v>
      </c>
      <c r="D212" s="0" t="n">
        <v>5100</v>
      </c>
      <c r="E212" s="94" t="s">
        <v>320</v>
      </c>
      <c r="F212" s="0" t="n">
        <v>153</v>
      </c>
      <c r="G212" s="0" t="n">
        <v>2</v>
      </c>
      <c r="I212" s="0" t="n">
        <v>306</v>
      </c>
      <c r="J212" s="0" t="n">
        <v>33</v>
      </c>
    </row>
    <row r="213" customFormat="false" ht="15" hidden="false" customHeight="false" outlineLevel="0" collapsed="false">
      <c r="A213" s="0" t="n">
        <v>10003</v>
      </c>
      <c r="B213" s="0" t="s">
        <v>137</v>
      </c>
      <c r="C213" s="0" t="n">
        <v>213</v>
      </c>
      <c r="D213" s="0" t="n">
        <v>6263380901228</v>
      </c>
      <c r="E213" s="94" t="s">
        <v>321</v>
      </c>
      <c r="F213" s="0" t="n">
        <v>6</v>
      </c>
      <c r="G213" s="0" t="n">
        <v>10</v>
      </c>
      <c r="I213" s="0" t="n">
        <v>60</v>
      </c>
      <c r="J213" s="0" t="n">
        <v>34</v>
      </c>
    </row>
    <row r="214" customFormat="false" ht="15" hidden="false" customHeight="false" outlineLevel="0" collapsed="false">
      <c r="A214" s="0" t="n">
        <v>10003</v>
      </c>
      <c r="B214" s="0" t="s">
        <v>137</v>
      </c>
      <c r="C214" s="0" t="n">
        <v>214</v>
      </c>
      <c r="D214" s="0" t="n">
        <v>6260109281555</v>
      </c>
      <c r="E214" s="94" t="s">
        <v>322</v>
      </c>
      <c r="F214" s="0" t="n">
        <v>14</v>
      </c>
      <c r="G214" s="0" t="n">
        <v>12</v>
      </c>
      <c r="I214" s="0" t="n">
        <v>168</v>
      </c>
      <c r="J214" s="0" t="n">
        <v>35</v>
      </c>
    </row>
    <row r="215" customFormat="false" ht="15" hidden="false" customHeight="false" outlineLevel="0" collapsed="false">
      <c r="A215" s="0" t="n">
        <v>10003</v>
      </c>
      <c r="B215" s="0" t="s">
        <v>137</v>
      </c>
      <c r="C215" s="0" t="n">
        <v>215</v>
      </c>
      <c r="D215" s="0" t="n">
        <v>5200</v>
      </c>
      <c r="E215" s="94" t="s">
        <v>323</v>
      </c>
      <c r="F215" s="0" t="n">
        <v>265</v>
      </c>
      <c r="G215" s="0" t="n">
        <v>1</v>
      </c>
      <c r="I215" s="0" t="n">
        <v>265</v>
      </c>
      <c r="J215" s="0" t="n">
        <v>36</v>
      </c>
    </row>
    <row r="216" customFormat="false" ht="15" hidden="false" customHeight="false" outlineLevel="0" collapsed="false">
      <c r="A216" s="0" t="n">
        <v>10003</v>
      </c>
      <c r="B216" s="0" t="s">
        <v>137</v>
      </c>
      <c r="C216" s="0" t="n">
        <v>216</v>
      </c>
      <c r="D216" s="0" t="n">
        <v>4900</v>
      </c>
      <c r="E216" s="94" t="s">
        <v>324</v>
      </c>
      <c r="F216" s="0" t="n">
        <v>28</v>
      </c>
      <c r="G216" s="0" t="n">
        <v>4</v>
      </c>
      <c r="I216" s="0" t="n">
        <v>112</v>
      </c>
      <c r="J216" s="0" t="n">
        <v>37</v>
      </c>
    </row>
    <row r="217" customFormat="false" ht="15" hidden="false" customHeight="false" outlineLevel="0" collapsed="false">
      <c r="A217" s="0" t="n">
        <v>10003</v>
      </c>
      <c r="B217" s="0" t="s">
        <v>137</v>
      </c>
      <c r="C217" s="0" t="n">
        <v>217</v>
      </c>
      <c r="D217" s="0" t="n">
        <v>5000</v>
      </c>
      <c r="E217" s="94" t="s">
        <v>271</v>
      </c>
      <c r="F217" s="0" t="n">
        <v>34</v>
      </c>
      <c r="G217" s="0" t="n">
        <v>2</v>
      </c>
      <c r="I217" s="0" t="n">
        <v>68</v>
      </c>
      <c r="J217" s="0" t="n">
        <v>38</v>
      </c>
    </row>
    <row r="218" customFormat="false" ht="15" hidden="false" customHeight="false" outlineLevel="0" collapsed="false">
      <c r="A218" s="0" t="n">
        <v>10003</v>
      </c>
      <c r="B218" s="0" t="s">
        <v>137</v>
      </c>
      <c r="C218" s="0" t="n">
        <v>218</v>
      </c>
      <c r="D218" s="0" t="n">
        <v>6260474216800</v>
      </c>
      <c r="E218" s="94" t="s">
        <v>325</v>
      </c>
      <c r="F218" s="0" t="n">
        <v>30</v>
      </c>
      <c r="G218" s="0" t="n">
        <v>5</v>
      </c>
      <c r="I218" s="0" t="n">
        <v>150</v>
      </c>
      <c r="J218" s="0" t="n">
        <v>39</v>
      </c>
    </row>
    <row r="219" customFormat="false" ht="15" hidden="false" customHeight="false" outlineLevel="0" collapsed="false">
      <c r="A219" s="0" t="n">
        <v>10003</v>
      </c>
      <c r="B219" s="0" t="s">
        <v>137</v>
      </c>
      <c r="C219" s="0" t="n">
        <v>219</v>
      </c>
      <c r="D219" s="0" t="n">
        <v>6269948100638</v>
      </c>
      <c r="E219" s="94" t="s">
        <v>326</v>
      </c>
      <c r="F219" s="0" t="n">
        <v>47</v>
      </c>
      <c r="G219" s="0" t="n">
        <v>8</v>
      </c>
      <c r="I219" s="0" t="n">
        <v>376</v>
      </c>
      <c r="J219" s="0" t="n">
        <v>40</v>
      </c>
    </row>
    <row r="220" customFormat="false" ht="15" hidden="false" customHeight="false" outlineLevel="0" collapsed="false">
      <c r="A220" s="0" t="n">
        <v>10004</v>
      </c>
      <c r="B220" s="0" t="s">
        <v>95</v>
      </c>
      <c r="C220" s="0" t="n">
        <v>220</v>
      </c>
      <c r="D220" s="0" t="n">
        <v>6260002931380</v>
      </c>
      <c r="E220" s="94" t="s">
        <v>229</v>
      </c>
      <c r="F220" s="0" t="n">
        <v>1</v>
      </c>
      <c r="G220" s="0" t="n">
        <v>16</v>
      </c>
      <c r="I220" s="0" t="n">
        <v>16</v>
      </c>
      <c r="J220" s="0" t="n">
        <v>7</v>
      </c>
    </row>
    <row r="221" customFormat="false" ht="15" hidden="false" customHeight="false" outlineLevel="0" collapsed="false">
      <c r="A221" s="0" t="n">
        <v>10005</v>
      </c>
      <c r="B221" s="0" t="s">
        <v>137</v>
      </c>
      <c r="C221" s="0" t="n">
        <v>221</v>
      </c>
      <c r="D221" s="0" t="n">
        <v>6260474216800</v>
      </c>
      <c r="E221" s="94" t="s">
        <v>325</v>
      </c>
      <c r="F221" s="0" t="n">
        <v>40</v>
      </c>
      <c r="G221" s="0" t="n">
        <v>5</v>
      </c>
      <c r="I221" s="0" t="n">
        <v>200</v>
      </c>
      <c r="J221" s="0" t="n">
        <v>7</v>
      </c>
    </row>
    <row r="222" customFormat="false" ht="15" hidden="false" customHeight="false" outlineLevel="0" collapsed="false">
      <c r="A222" s="0" t="n">
        <v>10005</v>
      </c>
      <c r="B222" s="0" t="s">
        <v>137</v>
      </c>
      <c r="C222" s="0" t="n">
        <v>222</v>
      </c>
      <c r="D222" s="0" t="n">
        <v>6260138002121</v>
      </c>
      <c r="E222" s="94" t="s">
        <v>327</v>
      </c>
      <c r="F222" s="0" t="n">
        <v>18</v>
      </c>
      <c r="G222" s="0" t="n">
        <v>10</v>
      </c>
      <c r="I222" s="0" t="n">
        <v>180</v>
      </c>
      <c r="J222" s="0" t="n">
        <v>8</v>
      </c>
    </row>
    <row r="223" customFormat="false" ht="15" hidden="false" customHeight="false" outlineLevel="0" collapsed="false">
      <c r="A223" s="0" t="n">
        <v>10005</v>
      </c>
      <c r="B223" s="0" t="s">
        <v>137</v>
      </c>
      <c r="C223" s="0" t="n">
        <v>223</v>
      </c>
      <c r="D223" s="0" t="n">
        <v>162240047420017</v>
      </c>
      <c r="E223" s="94" t="s">
        <v>328</v>
      </c>
      <c r="F223" s="0" t="n">
        <v>1</v>
      </c>
      <c r="G223" s="0" t="n">
        <v>10</v>
      </c>
      <c r="I223" s="0" t="n">
        <v>10</v>
      </c>
      <c r="J223" s="0" t="n">
        <v>9</v>
      </c>
    </row>
    <row r="224" customFormat="false" ht="15" hidden="false" customHeight="false" outlineLevel="0" collapsed="false">
      <c r="A224" s="0" t="n">
        <v>10005</v>
      </c>
      <c r="B224" s="0" t="s">
        <v>137</v>
      </c>
      <c r="C224" s="0" t="n">
        <v>224</v>
      </c>
      <c r="D224" s="0" t="n">
        <v>162240047420017</v>
      </c>
      <c r="E224" s="94" t="s">
        <v>328</v>
      </c>
      <c r="F224" s="0" t="n">
        <v>1</v>
      </c>
      <c r="G224" s="0" t="n">
        <v>10</v>
      </c>
      <c r="I224" s="0" t="n">
        <v>10</v>
      </c>
      <c r="J224" s="0" t="n">
        <v>10</v>
      </c>
    </row>
    <row r="225" customFormat="false" ht="15" hidden="false" customHeight="false" outlineLevel="0" collapsed="false">
      <c r="A225" s="0" t="n">
        <v>10005</v>
      </c>
      <c r="B225" s="0" t="s">
        <v>137</v>
      </c>
      <c r="C225" s="0" t="n">
        <v>225</v>
      </c>
      <c r="D225" s="0" t="n">
        <v>8936036022933</v>
      </c>
      <c r="E225" s="94" t="s">
        <v>329</v>
      </c>
      <c r="F225" s="0" t="n">
        <v>20</v>
      </c>
      <c r="G225" s="0" t="n">
        <v>8</v>
      </c>
      <c r="I225" s="0" t="n">
        <v>160</v>
      </c>
      <c r="J225" s="0" t="n">
        <v>11</v>
      </c>
    </row>
    <row r="226" customFormat="false" ht="15" hidden="false" customHeight="false" outlineLevel="0" collapsed="false">
      <c r="A226" s="0" t="n">
        <v>10005</v>
      </c>
      <c r="B226" s="0" t="s">
        <v>137</v>
      </c>
      <c r="C226" s="0" t="n">
        <v>226</v>
      </c>
      <c r="D226" s="0" t="n">
        <v>6260138002169</v>
      </c>
      <c r="E226" s="94" t="s">
        <v>330</v>
      </c>
      <c r="F226" s="0" t="n">
        <v>11</v>
      </c>
      <c r="G226" s="0" t="n">
        <v>10</v>
      </c>
      <c r="I226" s="0" t="n">
        <v>110</v>
      </c>
      <c r="J226" s="0" t="n">
        <v>12</v>
      </c>
    </row>
    <row r="227" customFormat="false" ht="15" hidden="false" customHeight="false" outlineLevel="0" collapsed="false">
      <c r="A227" s="0" t="n">
        <v>10006</v>
      </c>
      <c r="B227" s="0" t="s">
        <v>137</v>
      </c>
      <c r="C227" s="0" t="n">
        <v>227</v>
      </c>
      <c r="D227" s="0" t="n">
        <v>5300</v>
      </c>
      <c r="E227" s="94" t="s">
        <v>331</v>
      </c>
      <c r="F227" s="0" t="n">
        <v>33</v>
      </c>
      <c r="G227" s="0" t="n">
        <v>2</v>
      </c>
      <c r="I227" s="0" t="n">
        <v>66</v>
      </c>
      <c r="J227" s="0" t="n">
        <v>7</v>
      </c>
    </row>
    <row r="228" customFormat="false" ht="15" hidden="false" customHeight="false" outlineLevel="0" collapsed="false">
      <c r="A228" s="0" t="n">
        <v>10006</v>
      </c>
      <c r="B228" s="0" t="s">
        <v>137</v>
      </c>
      <c r="C228" s="0" t="n">
        <v>228</v>
      </c>
      <c r="D228" s="0" t="n">
        <v>6260138002169</v>
      </c>
      <c r="E228" s="94" t="s">
        <v>330</v>
      </c>
      <c r="F228" s="0" t="n">
        <v>19</v>
      </c>
      <c r="G228" s="0" t="n">
        <v>10</v>
      </c>
      <c r="I228" s="0" t="n">
        <v>190</v>
      </c>
      <c r="J228" s="0" t="n">
        <v>8</v>
      </c>
    </row>
    <row r="229" customFormat="false" ht="15" hidden="false" customHeight="false" outlineLevel="0" collapsed="false">
      <c r="A229" s="0" t="n">
        <v>10006</v>
      </c>
      <c r="B229" s="0" t="s">
        <v>137</v>
      </c>
      <c r="C229" s="0" t="n">
        <v>229</v>
      </c>
      <c r="D229" s="0" t="n">
        <v>6260138000011</v>
      </c>
      <c r="E229" s="94" t="s">
        <v>323</v>
      </c>
      <c r="F229" s="0" t="n">
        <v>3</v>
      </c>
      <c r="G229" s="0" t="n">
        <v>10</v>
      </c>
      <c r="I229" s="0" t="n">
        <v>30</v>
      </c>
      <c r="J229" s="0" t="n">
        <v>9</v>
      </c>
    </row>
    <row r="230" customFormat="false" ht="15" hidden="false" customHeight="false" outlineLevel="0" collapsed="false">
      <c r="A230" s="0" t="n">
        <v>10006</v>
      </c>
      <c r="B230" s="0" t="s">
        <v>137</v>
      </c>
      <c r="C230" s="0" t="n">
        <v>230</v>
      </c>
      <c r="D230" s="0" t="n">
        <v>6260138002138</v>
      </c>
      <c r="E230" s="94" t="s">
        <v>332</v>
      </c>
      <c r="F230" s="0" t="n">
        <v>34</v>
      </c>
      <c r="G230" s="0" t="n">
        <v>10</v>
      </c>
      <c r="I230" s="0" t="n">
        <v>340</v>
      </c>
      <c r="J230" s="0" t="n">
        <v>10</v>
      </c>
    </row>
    <row r="231" customFormat="false" ht="15" hidden="false" customHeight="false" outlineLevel="0" collapsed="false">
      <c r="A231" s="0" t="n">
        <v>10006</v>
      </c>
      <c r="B231" s="0" t="s">
        <v>137</v>
      </c>
      <c r="C231" s="0" t="n">
        <v>231</v>
      </c>
      <c r="D231" s="0" t="n">
        <v>6261149074541</v>
      </c>
      <c r="E231" s="94" t="s">
        <v>333</v>
      </c>
      <c r="F231" s="0" t="n">
        <v>1</v>
      </c>
      <c r="G231" s="0" t="n">
        <v>10</v>
      </c>
      <c r="I231" s="0" t="n">
        <v>10</v>
      </c>
      <c r="J231" s="0" t="n">
        <v>11</v>
      </c>
    </row>
    <row r="232" customFormat="false" ht="15" hidden="false" customHeight="false" outlineLevel="0" collapsed="false">
      <c r="A232" s="0" t="n">
        <v>10006</v>
      </c>
      <c r="B232" s="0" t="s">
        <v>137</v>
      </c>
      <c r="C232" s="0" t="n">
        <v>232</v>
      </c>
      <c r="D232" s="0" t="n">
        <v>8902061156820</v>
      </c>
      <c r="E232" s="94" t="s">
        <v>334</v>
      </c>
      <c r="F232" s="0" t="n">
        <v>3</v>
      </c>
      <c r="G232" s="0" t="n">
        <v>6.5</v>
      </c>
      <c r="I232" s="0" t="n">
        <v>19.5</v>
      </c>
      <c r="J232" s="0" t="n">
        <v>12</v>
      </c>
    </row>
    <row r="233" customFormat="false" ht="15" hidden="false" customHeight="false" outlineLevel="0" collapsed="false">
      <c r="A233" s="0" t="n">
        <v>10006</v>
      </c>
      <c r="B233" s="0" t="s">
        <v>137</v>
      </c>
      <c r="C233" s="0" t="n">
        <v>233</v>
      </c>
      <c r="D233" s="0" t="n">
        <v>6260138003319</v>
      </c>
      <c r="E233" s="94" t="s">
        <v>335</v>
      </c>
      <c r="F233" s="0" t="n">
        <v>34</v>
      </c>
      <c r="G233" s="0" t="n">
        <v>10</v>
      </c>
      <c r="I233" s="0" t="n">
        <v>340</v>
      </c>
      <c r="J233" s="0" t="n">
        <v>13</v>
      </c>
    </row>
    <row r="234" customFormat="false" ht="15" hidden="false" customHeight="false" outlineLevel="0" collapsed="false">
      <c r="A234" s="0" t="n">
        <v>10006</v>
      </c>
      <c r="B234" s="0" t="s">
        <v>137</v>
      </c>
      <c r="C234" s="0" t="n">
        <v>234</v>
      </c>
      <c r="D234" s="0" t="n">
        <v>6260567198587</v>
      </c>
      <c r="E234" s="94" t="s">
        <v>336</v>
      </c>
      <c r="F234" s="0" t="n">
        <v>24</v>
      </c>
      <c r="G234" s="0" t="n">
        <v>12</v>
      </c>
      <c r="I234" s="0" t="n">
        <v>288</v>
      </c>
      <c r="J234" s="0" t="n">
        <v>14</v>
      </c>
    </row>
    <row r="235" customFormat="false" ht="15" hidden="false" customHeight="false" outlineLevel="0" collapsed="false">
      <c r="A235" s="0" t="n">
        <v>10006</v>
      </c>
      <c r="B235" s="0" t="s">
        <v>137</v>
      </c>
      <c r="C235" s="0" t="n">
        <v>235</v>
      </c>
      <c r="D235" s="0" t="n">
        <v>162230056710017</v>
      </c>
      <c r="E235" s="94" t="s">
        <v>336</v>
      </c>
      <c r="F235" s="0" t="n">
        <v>24</v>
      </c>
      <c r="G235" s="0" t="n">
        <v>12</v>
      </c>
      <c r="I235" s="0" t="n">
        <v>288</v>
      </c>
      <c r="J235" s="0" t="n">
        <v>15</v>
      </c>
    </row>
    <row r="236" customFormat="false" ht="15" hidden="false" customHeight="false" outlineLevel="0" collapsed="false">
      <c r="A236" s="0" t="n">
        <v>10006</v>
      </c>
      <c r="B236" s="0" t="s">
        <v>137</v>
      </c>
      <c r="C236" s="0" t="n">
        <v>236</v>
      </c>
      <c r="D236" s="0" t="n">
        <v>6260567101723</v>
      </c>
      <c r="E236" s="94" t="s">
        <v>337</v>
      </c>
      <c r="F236" s="0" t="n">
        <v>40</v>
      </c>
      <c r="G236" s="0" t="n">
        <v>5</v>
      </c>
      <c r="I236" s="0" t="n">
        <v>200</v>
      </c>
      <c r="J236" s="0" t="n">
        <v>16</v>
      </c>
    </row>
    <row r="237" customFormat="false" ht="15" hidden="false" customHeight="false" outlineLevel="0" collapsed="false">
      <c r="A237" s="0" t="n">
        <v>10006</v>
      </c>
      <c r="B237" s="0" t="s">
        <v>137</v>
      </c>
      <c r="C237" s="0" t="n">
        <v>237</v>
      </c>
      <c r="D237" s="0" t="n">
        <v>1169910018400000</v>
      </c>
      <c r="E237" s="94" t="s">
        <v>338</v>
      </c>
      <c r="F237" s="0" t="n">
        <v>75</v>
      </c>
      <c r="G237" s="0" t="n">
        <v>1</v>
      </c>
      <c r="I237" s="0" t="n">
        <v>75</v>
      </c>
      <c r="J237" s="0" t="n">
        <v>17</v>
      </c>
    </row>
    <row r="238" customFormat="false" ht="15" hidden="false" customHeight="false" outlineLevel="0" collapsed="false">
      <c r="A238" s="0" t="n">
        <v>10006</v>
      </c>
      <c r="B238" s="0" t="s">
        <v>137</v>
      </c>
      <c r="C238" s="0" t="n">
        <v>238</v>
      </c>
      <c r="D238" s="0" t="n">
        <v>6260000700025</v>
      </c>
      <c r="E238" s="94" t="s">
        <v>339</v>
      </c>
      <c r="F238" s="0" t="n">
        <v>9</v>
      </c>
      <c r="G238" s="0" t="n">
        <v>8</v>
      </c>
      <c r="I238" s="0" t="n">
        <v>72</v>
      </c>
      <c r="J238" s="0" t="n">
        <v>18</v>
      </c>
    </row>
    <row r="239" customFormat="false" ht="15" hidden="false" customHeight="false" outlineLevel="0" collapsed="false">
      <c r="A239" s="0" t="n">
        <v>10006</v>
      </c>
      <c r="B239" s="0" t="s">
        <v>137</v>
      </c>
      <c r="C239" s="0" t="n">
        <v>239</v>
      </c>
      <c r="D239" s="0" t="n">
        <v>6260000700032</v>
      </c>
      <c r="E239" s="94" t="s">
        <v>340</v>
      </c>
      <c r="F239" s="0" t="n">
        <v>20</v>
      </c>
      <c r="G239" s="0" t="n">
        <v>8</v>
      </c>
      <c r="I239" s="0" t="n">
        <v>160</v>
      </c>
      <c r="J239" s="0" t="n">
        <v>19</v>
      </c>
    </row>
    <row r="240" customFormat="false" ht="15" hidden="false" customHeight="false" outlineLevel="0" collapsed="false">
      <c r="A240" s="0" t="n">
        <v>10006</v>
      </c>
      <c r="B240" s="0" t="s">
        <v>137</v>
      </c>
      <c r="C240" s="0" t="n">
        <v>240</v>
      </c>
      <c r="D240" s="0" t="n">
        <v>5200</v>
      </c>
      <c r="E240" s="94" t="s">
        <v>323</v>
      </c>
      <c r="F240" s="0" t="n">
        <v>90</v>
      </c>
      <c r="G240" s="0" t="n">
        <v>1</v>
      </c>
      <c r="I240" s="0" t="n">
        <v>90</v>
      </c>
      <c r="J240" s="0" t="n">
        <v>20</v>
      </c>
    </row>
    <row r="241" customFormat="false" ht="15" hidden="false" customHeight="false" outlineLevel="0" collapsed="false">
      <c r="A241" s="0" t="n">
        <v>10006</v>
      </c>
      <c r="B241" s="0" t="s">
        <v>137</v>
      </c>
      <c r="C241" s="0" t="n">
        <v>241</v>
      </c>
      <c r="D241" s="0" t="n">
        <v>5000</v>
      </c>
      <c r="E241" s="94" t="s">
        <v>271</v>
      </c>
      <c r="F241" s="0" t="n">
        <v>67</v>
      </c>
      <c r="G241" s="0" t="n">
        <v>2</v>
      </c>
      <c r="I241" s="0" t="n">
        <v>134</v>
      </c>
      <c r="J241" s="0" t="n">
        <v>21</v>
      </c>
    </row>
    <row r="242" customFormat="false" ht="15" hidden="false" customHeight="false" outlineLevel="0" collapsed="false">
      <c r="A242" s="0" t="n">
        <v>10006</v>
      </c>
      <c r="B242" s="0" t="s">
        <v>137</v>
      </c>
      <c r="C242" s="0" t="n">
        <v>242</v>
      </c>
      <c r="D242" s="0" t="n">
        <v>6260000771995</v>
      </c>
      <c r="E242" s="94" t="s">
        <v>341</v>
      </c>
      <c r="F242" s="0" t="n">
        <v>4</v>
      </c>
      <c r="G242" s="0" t="n">
        <v>25</v>
      </c>
      <c r="I242" s="0" t="n">
        <v>100</v>
      </c>
      <c r="J242" s="0" t="n">
        <v>22</v>
      </c>
    </row>
    <row r="243" customFormat="false" ht="15" hidden="false" customHeight="false" outlineLevel="0" collapsed="false">
      <c r="A243" s="0" t="n">
        <v>10006</v>
      </c>
      <c r="B243" s="0" t="s">
        <v>137</v>
      </c>
      <c r="C243" s="0" t="n">
        <v>243</v>
      </c>
      <c r="D243" s="0" t="n">
        <v>6200</v>
      </c>
      <c r="E243" s="94" t="s">
        <v>342</v>
      </c>
      <c r="F243" s="0" t="n">
        <v>12</v>
      </c>
      <c r="G243" s="0" t="n">
        <v>15</v>
      </c>
      <c r="I243" s="0" t="n">
        <v>180</v>
      </c>
      <c r="J243" s="0" t="n">
        <v>23</v>
      </c>
    </row>
    <row r="244" customFormat="false" ht="15" hidden="false" customHeight="false" outlineLevel="0" collapsed="false">
      <c r="A244" s="0" t="n">
        <v>10006</v>
      </c>
      <c r="B244" s="0" t="s">
        <v>137</v>
      </c>
      <c r="C244" s="0" t="n">
        <v>244</v>
      </c>
      <c r="D244" s="0" t="n">
        <v>1661983229391</v>
      </c>
      <c r="E244" s="94" t="s">
        <v>343</v>
      </c>
      <c r="F244" s="0" t="n">
        <v>1</v>
      </c>
      <c r="G244" s="0" t="n">
        <v>15</v>
      </c>
      <c r="I244" s="0" t="n">
        <v>15</v>
      </c>
      <c r="J244" s="0" t="n">
        <v>24</v>
      </c>
    </row>
    <row r="245" customFormat="false" ht="15" hidden="false" customHeight="false" outlineLevel="0" collapsed="false">
      <c r="A245" s="0" t="n">
        <v>10006</v>
      </c>
      <c r="B245" s="0" t="s">
        <v>137</v>
      </c>
      <c r="C245" s="0" t="n">
        <v>245</v>
      </c>
      <c r="D245" s="0" t="n">
        <v>2300</v>
      </c>
      <c r="E245" s="94" t="s">
        <v>344</v>
      </c>
      <c r="F245" s="0" t="n">
        <v>15</v>
      </c>
      <c r="G245" s="0" t="n">
        <v>20</v>
      </c>
      <c r="I245" s="0" t="n">
        <v>300</v>
      </c>
      <c r="J245" s="0" t="n">
        <v>25</v>
      </c>
    </row>
    <row r="246" customFormat="false" ht="15" hidden="false" customHeight="false" outlineLevel="0" collapsed="false">
      <c r="A246" s="0" t="n">
        <v>10006</v>
      </c>
      <c r="B246" s="0" t="s">
        <v>137</v>
      </c>
      <c r="C246" s="0" t="n">
        <v>246</v>
      </c>
      <c r="D246" s="0" t="n">
        <v>6260748000371</v>
      </c>
      <c r="E246" s="94" t="s">
        <v>345</v>
      </c>
      <c r="F246" s="0" t="n">
        <v>40</v>
      </c>
      <c r="G246" s="0" t="n">
        <v>7</v>
      </c>
      <c r="I246" s="0" t="n">
        <v>280</v>
      </c>
      <c r="J246" s="0" t="n">
        <v>26</v>
      </c>
    </row>
    <row r="247" customFormat="false" ht="15" hidden="false" customHeight="false" outlineLevel="0" collapsed="false">
      <c r="A247" s="0" t="n">
        <v>10006</v>
      </c>
      <c r="B247" s="0" t="s">
        <v>137</v>
      </c>
      <c r="C247" s="0" t="n">
        <v>247</v>
      </c>
      <c r="D247" s="0" t="n">
        <v>6263380901228</v>
      </c>
      <c r="E247" s="94" t="s">
        <v>321</v>
      </c>
      <c r="F247" s="0" t="n">
        <v>24</v>
      </c>
      <c r="G247" s="0" t="n">
        <v>10</v>
      </c>
      <c r="I247" s="0" t="n">
        <v>240</v>
      </c>
      <c r="J247" s="0" t="n">
        <v>27</v>
      </c>
    </row>
    <row r="248" customFormat="false" ht="15" hidden="false" customHeight="false" outlineLevel="0" collapsed="false">
      <c r="A248" s="0" t="n">
        <v>10007</v>
      </c>
      <c r="B248" s="0" t="s">
        <v>95</v>
      </c>
      <c r="C248" s="0" t="n">
        <v>248</v>
      </c>
      <c r="D248" s="0" t="n">
        <v>2400</v>
      </c>
      <c r="E248" s="94" t="s">
        <v>280</v>
      </c>
      <c r="F248" s="0" t="n">
        <v>0.775</v>
      </c>
      <c r="G248" s="0" t="n">
        <v>80</v>
      </c>
      <c r="I248" s="0" t="n">
        <v>62</v>
      </c>
      <c r="J248" s="0" t="n">
        <v>7</v>
      </c>
    </row>
    <row r="249" customFormat="false" ht="15" hidden="false" customHeight="false" outlineLevel="0" collapsed="false">
      <c r="A249" s="0" t="n">
        <v>10008</v>
      </c>
      <c r="B249" s="0" t="s">
        <v>95</v>
      </c>
      <c r="C249" s="0" t="n">
        <v>249</v>
      </c>
      <c r="D249" s="0" t="n">
        <v>6268612401767</v>
      </c>
      <c r="E249" s="94" t="s">
        <v>192</v>
      </c>
      <c r="F249" s="0" t="n">
        <v>1</v>
      </c>
      <c r="G249" s="0" t="n">
        <v>27</v>
      </c>
      <c r="I249" s="0" t="n">
        <v>27</v>
      </c>
      <c r="J249" s="0" t="n">
        <v>7</v>
      </c>
    </row>
    <row r="250" customFormat="false" ht="15" hidden="false" customHeight="false" outlineLevel="0" collapsed="false">
      <c r="A250" s="0" t="n">
        <v>10008</v>
      </c>
      <c r="B250" s="0" t="s">
        <v>95</v>
      </c>
      <c r="C250" s="0" t="n">
        <v>250</v>
      </c>
      <c r="D250" s="0" t="n">
        <v>7500</v>
      </c>
      <c r="E250" s="94" t="s">
        <v>318</v>
      </c>
      <c r="F250" s="0" t="n">
        <v>1</v>
      </c>
      <c r="G250" s="0" t="n">
        <v>2</v>
      </c>
      <c r="I250" s="0" t="n">
        <v>2</v>
      </c>
      <c r="J250" s="0" t="n">
        <v>8</v>
      </c>
    </row>
    <row r="251" customFormat="false" ht="15" hidden="false" customHeight="false" outlineLevel="0" collapsed="false">
      <c r="A251" s="0" t="n">
        <v>10009</v>
      </c>
      <c r="B251" s="0" t="s">
        <v>137</v>
      </c>
      <c r="C251" s="0" t="n">
        <v>251</v>
      </c>
      <c r="D251" s="0" t="n">
        <v>6260140300130</v>
      </c>
      <c r="E251" s="94" t="s">
        <v>346</v>
      </c>
      <c r="F251" s="0" t="n">
        <v>7</v>
      </c>
      <c r="G251" s="0" t="n">
        <v>35</v>
      </c>
      <c r="I251" s="0" t="n">
        <v>245</v>
      </c>
      <c r="J251" s="0" t="n">
        <v>7</v>
      </c>
    </row>
    <row r="252" customFormat="false" ht="15" hidden="false" customHeight="false" outlineLevel="0" collapsed="false">
      <c r="A252" s="0" t="n">
        <v>10009</v>
      </c>
      <c r="B252" s="0" t="s">
        <v>137</v>
      </c>
      <c r="C252" s="0" t="n">
        <v>252</v>
      </c>
      <c r="D252" s="0" t="n">
        <v>6260140300154</v>
      </c>
      <c r="E252" s="94" t="s">
        <v>347</v>
      </c>
      <c r="F252" s="0" t="n">
        <v>7</v>
      </c>
      <c r="G252" s="0" t="n">
        <v>35</v>
      </c>
      <c r="I252" s="0" t="n">
        <v>245</v>
      </c>
      <c r="J252" s="0" t="n">
        <v>8</v>
      </c>
    </row>
    <row r="253" customFormat="false" ht="15" hidden="false" customHeight="false" outlineLevel="0" collapsed="false">
      <c r="A253" s="0" t="n">
        <v>10009</v>
      </c>
      <c r="B253" s="0" t="s">
        <v>137</v>
      </c>
      <c r="C253" s="0" t="n">
        <v>253</v>
      </c>
      <c r="D253" s="0" t="n">
        <v>6260140300338</v>
      </c>
      <c r="E253" s="94" t="s">
        <v>346</v>
      </c>
      <c r="F253" s="0" t="n">
        <v>7</v>
      </c>
      <c r="G253" s="0" t="n">
        <v>35</v>
      </c>
      <c r="I253" s="0" t="n">
        <v>245</v>
      </c>
      <c r="J253" s="0" t="n">
        <v>9</v>
      </c>
    </row>
    <row r="254" customFormat="false" ht="15" hidden="false" customHeight="false" outlineLevel="0" collapsed="false">
      <c r="A254" s="0" t="n">
        <v>10010</v>
      </c>
      <c r="B254" s="0" t="s">
        <v>95</v>
      </c>
      <c r="C254" s="0" t="n">
        <v>254</v>
      </c>
      <c r="D254" s="0" t="n">
        <v>6265554201035</v>
      </c>
      <c r="E254" s="94" t="s">
        <v>159</v>
      </c>
      <c r="F254" s="0" t="n">
        <v>1</v>
      </c>
      <c r="G254" s="0" t="n">
        <v>750</v>
      </c>
      <c r="I254" s="0" t="n">
        <v>750</v>
      </c>
      <c r="J254" s="0" t="n">
        <v>7</v>
      </c>
    </row>
    <row r="255" customFormat="false" ht="15" hidden="false" customHeight="false" outlineLevel="0" collapsed="false">
      <c r="A255" s="0" t="n">
        <v>10011</v>
      </c>
      <c r="B255" s="0" t="s">
        <v>95</v>
      </c>
      <c r="C255" s="0" t="n">
        <v>255</v>
      </c>
      <c r="D255" s="0" t="n">
        <v>6260308304444</v>
      </c>
      <c r="E255" s="94" t="s">
        <v>212</v>
      </c>
      <c r="F255" s="0" t="n">
        <v>1</v>
      </c>
      <c r="G255" s="0" t="n">
        <v>35</v>
      </c>
      <c r="I255" s="0" t="n">
        <v>35</v>
      </c>
      <c r="J255" s="0" t="n">
        <v>7</v>
      </c>
    </row>
    <row r="256" customFormat="false" ht="15" hidden="false" customHeight="false" outlineLevel="0" collapsed="false">
      <c r="A256" s="0" t="n">
        <v>10012</v>
      </c>
      <c r="B256" s="0" t="s">
        <v>95</v>
      </c>
      <c r="C256" s="0" t="n">
        <v>256</v>
      </c>
      <c r="D256" s="0" t="n">
        <v>6261178017779</v>
      </c>
      <c r="E256" s="94" t="s">
        <v>261</v>
      </c>
      <c r="F256" s="0" t="n">
        <v>1</v>
      </c>
      <c r="G256" s="0" t="n">
        <v>15</v>
      </c>
      <c r="I256" s="0" t="n">
        <v>15</v>
      </c>
      <c r="J256" s="0" t="n">
        <v>7</v>
      </c>
    </row>
    <row r="257" customFormat="false" ht="15" hidden="false" customHeight="false" outlineLevel="0" collapsed="false">
      <c r="A257" s="0" t="n">
        <v>10012</v>
      </c>
      <c r="B257" s="0" t="s">
        <v>95</v>
      </c>
      <c r="C257" s="0" t="n">
        <v>257</v>
      </c>
      <c r="D257" s="0" t="n">
        <v>6262723900058</v>
      </c>
      <c r="E257" s="94" t="s">
        <v>283</v>
      </c>
      <c r="F257" s="0" t="n">
        <v>1</v>
      </c>
      <c r="G257" s="0" t="n">
        <v>72</v>
      </c>
      <c r="I257" s="0" t="n">
        <v>72</v>
      </c>
      <c r="J257" s="0" t="n">
        <v>8</v>
      </c>
    </row>
    <row r="258" customFormat="false" ht="15" hidden="false" customHeight="false" outlineLevel="0" collapsed="false">
      <c r="A258" s="0" t="n">
        <v>10013</v>
      </c>
      <c r="B258" s="0" t="s">
        <v>95</v>
      </c>
      <c r="C258" s="0" t="n">
        <v>258</v>
      </c>
      <c r="D258" s="0" t="n">
        <v>6269948100638</v>
      </c>
      <c r="E258" s="94" t="s">
        <v>326</v>
      </c>
      <c r="F258" s="0" t="n">
        <v>1</v>
      </c>
      <c r="G258" s="0" t="n">
        <v>8</v>
      </c>
      <c r="I258" s="0" t="n">
        <v>8</v>
      </c>
      <c r="J258" s="0" t="n">
        <v>7</v>
      </c>
    </row>
    <row r="259" customFormat="false" ht="15" hidden="false" customHeight="false" outlineLevel="0" collapsed="false">
      <c r="A259" s="0" t="n">
        <v>10014</v>
      </c>
      <c r="B259" s="0" t="s">
        <v>95</v>
      </c>
      <c r="C259" s="0" t="n">
        <v>259</v>
      </c>
      <c r="D259" s="0" t="n">
        <v>6269948100638</v>
      </c>
      <c r="E259" s="94" t="s">
        <v>326</v>
      </c>
      <c r="F259" s="0" t="n">
        <v>2</v>
      </c>
      <c r="G259" s="0" t="n">
        <v>8</v>
      </c>
      <c r="I259" s="0" t="n">
        <v>16</v>
      </c>
      <c r="J259" s="0" t="n">
        <v>7</v>
      </c>
    </row>
    <row r="260" customFormat="false" ht="15" hidden="false" customHeight="false" outlineLevel="0" collapsed="false">
      <c r="A260" s="0" t="n">
        <v>10014</v>
      </c>
      <c r="B260" s="0" t="s">
        <v>95</v>
      </c>
      <c r="C260" s="0" t="n">
        <v>260</v>
      </c>
      <c r="D260" s="0" t="n">
        <v>6263186900012</v>
      </c>
      <c r="E260" s="94" t="s">
        <v>273</v>
      </c>
      <c r="F260" s="0" t="n">
        <v>2</v>
      </c>
      <c r="G260" s="0" t="n">
        <v>2</v>
      </c>
      <c r="I260" s="0" t="n">
        <v>4</v>
      </c>
      <c r="J260" s="0" t="n">
        <v>8</v>
      </c>
    </row>
    <row r="261" customFormat="false" ht="15" hidden="false" customHeight="false" outlineLevel="0" collapsed="false">
      <c r="A261" s="0" t="n">
        <v>10015</v>
      </c>
      <c r="B261" s="0" t="s">
        <v>95</v>
      </c>
      <c r="C261" s="0" t="n">
        <v>261</v>
      </c>
      <c r="D261" s="0" t="n">
        <v>6269948100638</v>
      </c>
      <c r="E261" s="94" t="s">
        <v>326</v>
      </c>
      <c r="F261" s="0" t="n">
        <v>1</v>
      </c>
      <c r="G261" s="0" t="n">
        <v>8</v>
      </c>
      <c r="I261" s="0" t="n">
        <v>8</v>
      </c>
      <c r="J261" s="0" t="n">
        <v>7</v>
      </c>
    </row>
    <row r="262" customFormat="false" ht="15" hidden="false" customHeight="false" outlineLevel="0" collapsed="false">
      <c r="A262" s="0" t="n">
        <v>10015</v>
      </c>
      <c r="B262" s="0" t="s">
        <v>95</v>
      </c>
      <c r="C262" s="0" t="n">
        <v>262</v>
      </c>
      <c r="D262" s="0" t="n">
        <v>7500</v>
      </c>
      <c r="E262" s="94" t="s">
        <v>318</v>
      </c>
      <c r="F262" s="0" t="n">
        <v>1</v>
      </c>
      <c r="G262" s="0" t="n">
        <v>2</v>
      </c>
      <c r="I262" s="0" t="n">
        <v>2</v>
      </c>
      <c r="J262" s="0" t="n">
        <v>8</v>
      </c>
    </row>
    <row r="263" customFormat="false" ht="15" hidden="false" customHeight="false" outlineLevel="0" collapsed="false">
      <c r="A263" s="0" t="n">
        <v>10016</v>
      </c>
      <c r="B263" s="0" t="s">
        <v>95</v>
      </c>
      <c r="C263" s="0" t="n">
        <v>263</v>
      </c>
      <c r="D263" s="0" t="n">
        <v>7400</v>
      </c>
      <c r="E263" s="94" t="s">
        <v>319</v>
      </c>
      <c r="F263" s="0" t="n">
        <v>8</v>
      </c>
      <c r="G263" s="0" t="n">
        <v>6</v>
      </c>
      <c r="I263" s="0" t="n">
        <v>48</v>
      </c>
      <c r="J263" s="0" t="n">
        <v>7</v>
      </c>
    </row>
    <row r="264" customFormat="false" ht="15" hidden="false" customHeight="false" outlineLevel="0" collapsed="false">
      <c r="A264" s="0" t="n">
        <v>10017</v>
      </c>
      <c r="B264" s="0" t="s">
        <v>95</v>
      </c>
      <c r="C264" s="0" t="n">
        <v>264</v>
      </c>
      <c r="D264" s="0" t="n">
        <v>6261422503157</v>
      </c>
      <c r="E264" s="94" t="s">
        <v>223</v>
      </c>
      <c r="F264" s="0" t="n">
        <v>2</v>
      </c>
      <c r="G264" s="0" t="n">
        <v>30</v>
      </c>
      <c r="I264" s="0" t="n">
        <v>60</v>
      </c>
      <c r="J264" s="0" t="n">
        <v>7</v>
      </c>
    </row>
    <row r="265" customFormat="false" ht="15" hidden="false" customHeight="false" outlineLevel="0" collapsed="false">
      <c r="A265" s="0" t="n">
        <v>10018</v>
      </c>
      <c r="B265" s="0" t="s">
        <v>95</v>
      </c>
      <c r="C265" s="0" t="n">
        <v>265</v>
      </c>
      <c r="D265" s="0" t="n">
        <v>6261178574029</v>
      </c>
      <c r="E265" s="94" t="s">
        <v>267</v>
      </c>
      <c r="F265" s="0" t="n">
        <v>1</v>
      </c>
      <c r="G265" s="0" t="n">
        <v>25</v>
      </c>
      <c r="I265" s="0" t="n">
        <v>25</v>
      </c>
      <c r="J265" s="0" t="n">
        <v>7</v>
      </c>
    </row>
    <row r="266" customFormat="false" ht="15" hidden="false" customHeight="false" outlineLevel="0" collapsed="false">
      <c r="A266" s="0" t="n">
        <v>10018</v>
      </c>
      <c r="B266" s="0" t="s">
        <v>95</v>
      </c>
      <c r="C266" s="0" t="n">
        <v>266</v>
      </c>
      <c r="D266" s="0" t="n">
        <v>6269948100638</v>
      </c>
      <c r="E266" s="94" t="s">
        <v>326</v>
      </c>
      <c r="F266" s="0" t="n">
        <v>1</v>
      </c>
      <c r="G266" s="0" t="n">
        <v>8</v>
      </c>
      <c r="I266" s="0" t="n">
        <v>8</v>
      </c>
      <c r="J266" s="0" t="n">
        <v>8</v>
      </c>
    </row>
    <row r="267" customFormat="false" ht="15" hidden="false" customHeight="false" outlineLevel="0" collapsed="false">
      <c r="A267" s="0" t="n">
        <v>10019</v>
      </c>
      <c r="B267" s="0" t="s">
        <v>95</v>
      </c>
      <c r="C267" s="0" t="n">
        <v>267</v>
      </c>
      <c r="D267" s="0" t="n">
        <v>6269948100638</v>
      </c>
      <c r="E267" s="94" t="s">
        <v>326</v>
      </c>
      <c r="F267" s="0" t="n">
        <v>3</v>
      </c>
      <c r="G267" s="0" t="n">
        <v>8</v>
      </c>
      <c r="I267" s="0" t="n">
        <v>24</v>
      </c>
      <c r="J267" s="0" t="n">
        <v>7</v>
      </c>
    </row>
    <row r="268" customFormat="false" ht="15" hidden="false" customHeight="false" outlineLevel="0" collapsed="false">
      <c r="A268" s="0" t="n">
        <v>10019</v>
      </c>
      <c r="B268" s="0" t="s">
        <v>95</v>
      </c>
      <c r="C268" s="0" t="n">
        <v>268</v>
      </c>
      <c r="D268" s="0" t="n">
        <v>5200</v>
      </c>
      <c r="E268" s="94" t="s">
        <v>323</v>
      </c>
      <c r="F268" s="0" t="n">
        <v>1</v>
      </c>
      <c r="G268" s="0" t="n">
        <v>1</v>
      </c>
      <c r="I268" s="0" t="n">
        <v>1</v>
      </c>
      <c r="J268" s="0" t="n">
        <v>8</v>
      </c>
    </row>
    <row r="269" customFormat="false" ht="15" hidden="false" customHeight="false" outlineLevel="0" collapsed="false">
      <c r="A269" s="0" t="n">
        <v>10020</v>
      </c>
      <c r="B269" s="0" t="s">
        <v>137</v>
      </c>
      <c r="C269" s="0" t="n">
        <v>269</v>
      </c>
      <c r="D269" s="0" t="n">
        <v>6263812801249</v>
      </c>
      <c r="E269" s="94" t="s">
        <v>348</v>
      </c>
      <c r="F269" s="0" t="n">
        <v>13</v>
      </c>
      <c r="G269" s="0" t="n">
        <v>20</v>
      </c>
      <c r="I269" s="0" t="n">
        <v>260</v>
      </c>
      <c r="J269" s="0" t="n">
        <v>7</v>
      </c>
    </row>
    <row r="270" customFormat="false" ht="15" hidden="false" customHeight="false" outlineLevel="0" collapsed="false">
      <c r="A270" s="0" t="n">
        <v>10020</v>
      </c>
      <c r="B270" s="0" t="s">
        <v>137</v>
      </c>
      <c r="C270" s="0" t="n">
        <v>270</v>
      </c>
      <c r="D270" s="0" t="n">
        <v>6261847503275</v>
      </c>
      <c r="E270" s="94" t="s">
        <v>349</v>
      </c>
      <c r="F270" s="0" t="n">
        <v>33</v>
      </c>
      <c r="G270" s="0" t="n">
        <v>18</v>
      </c>
      <c r="I270" s="0" t="n">
        <v>594</v>
      </c>
      <c r="J270" s="0" t="n">
        <v>8</v>
      </c>
    </row>
    <row r="271" customFormat="false" ht="15" hidden="false" customHeight="false" outlineLevel="0" collapsed="false">
      <c r="A271" s="0" t="n">
        <v>10020</v>
      </c>
      <c r="B271" s="0" t="s">
        <v>137</v>
      </c>
      <c r="C271" s="0" t="n">
        <v>271</v>
      </c>
      <c r="D271" s="0" t="n">
        <v>6261847503244</v>
      </c>
      <c r="E271" s="94" t="s">
        <v>350</v>
      </c>
      <c r="F271" s="0" t="n">
        <v>25</v>
      </c>
      <c r="G271" s="0" t="n">
        <v>18</v>
      </c>
      <c r="I271" s="0" t="n">
        <v>450</v>
      </c>
      <c r="J271" s="0" t="n">
        <v>9</v>
      </c>
    </row>
    <row r="272" customFormat="false" ht="15" hidden="false" customHeight="false" outlineLevel="0" collapsed="false">
      <c r="A272" s="0" t="n">
        <v>10021</v>
      </c>
      <c r="B272" s="0" t="s">
        <v>95</v>
      </c>
      <c r="C272" s="0" t="n">
        <v>272</v>
      </c>
      <c r="D272" s="0" t="n">
        <v>2600</v>
      </c>
      <c r="E272" s="94" t="s">
        <v>279</v>
      </c>
      <c r="F272" s="0" t="n">
        <v>0.19</v>
      </c>
      <c r="G272" s="0" t="n">
        <v>110</v>
      </c>
      <c r="I272" s="0" t="n">
        <v>20.9</v>
      </c>
      <c r="J272" s="0" t="n">
        <v>7</v>
      </c>
    </row>
    <row r="273" customFormat="false" ht="15" hidden="false" customHeight="false" outlineLevel="0" collapsed="false">
      <c r="A273" s="0" t="n">
        <v>10021</v>
      </c>
      <c r="B273" s="0" t="s">
        <v>95</v>
      </c>
      <c r="C273" s="0" t="n">
        <v>273</v>
      </c>
      <c r="D273" s="0" t="n">
        <v>6269948100638</v>
      </c>
      <c r="E273" s="94" t="s">
        <v>326</v>
      </c>
      <c r="F273" s="0" t="n">
        <v>5</v>
      </c>
      <c r="G273" s="0" t="n">
        <v>8</v>
      </c>
      <c r="I273" s="0" t="n">
        <v>40</v>
      </c>
      <c r="J273" s="0" t="n">
        <v>8</v>
      </c>
    </row>
    <row r="274" customFormat="false" ht="15" hidden="false" customHeight="false" outlineLevel="0" collapsed="false">
      <c r="A274" s="0" t="n">
        <v>10021</v>
      </c>
      <c r="B274" s="0" t="s">
        <v>95</v>
      </c>
      <c r="C274" s="0" t="n">
        <v>274</v>
      </c>
      <c r="D274" s="0" t="n">
        <v>5200</v>
      </c>
      <c r="E274" s="94" t="s">
        <v>323</v>
      </c>
      <c r="F274" s="0" t="n">
        <v>1</v>
      </c>
      <c r="G274" s="0" t="n">
        <v>1</v>
      </c>
      <c r="I274" s="0" t="n">
        <v>1</v>
      </c>
      <c r="J274" s="0" t="n">
        <v>9</v>
      </c>
    </row>
    <row r="275" customFormat="false" ht="15" hidden="false" customHeight="false" outlineLevel="0" collapsed="false">
      <c r="A275" s="0" t="n">
        <v>10020</v>
      </c>
      <c r="B275" s="0" t="s">
        <v>137</v>
      </c>
      <c r="C275" s="0" t="n">
        <v>275</v>
      </c>
      <c r="D275" s="0" t="n">
        <v>6261178411010</v>
      </c>
      <c r="E275" s="94" t="s">
        <v>298</v>
      </c>
      <c r="F275" s="0" t="n">
        <v>5</v>
      </c>
      <c r="G275" s="0" t="n">
        <v>15</v>
      </c>
      <c r="I275" s="0" t="n">
        <v>75</v>
      </c>
      <c r="J275" s="0" t="n">
        <v>10</v>
      </c>
    </row>
    <row r="276" customFormat="false" ht="15" hidden="false" customHeight="false" outlineLevel="0" collapsed="false">
      <c r="A276" s="0" t="n">
        <v>10020</v>
      </c>
      <c r="B276" s="0" t="s">
        <v>137</v>
      </c>
      <c r="C276" s="0" t="n">
        <v>276</v>
      </c>
      <c r="D276" s="0" t="n">
        <v>6260002926379</v>
      </c>
      <c r="E276" s="94" t="s">
        <v>303</v>
      </c>
      <c r="F276" s="0" t="n">
        <v>4</v>
      </c>
      <c r="G276" s="0" t="n">
        <v>21</v>
      </c>
      <c r="I276" s="0" t="n">
        <v>84</v>
      </c>
      <c r="J276" s="0" t="n">
        <v>11</v>
      </c>
    </row>
    <row r="277" customFormat="false" ht="15" hidden="false" customHeight="false" outlineLevel="0" collapsed="false">
      <c r="A277" s="0" t="n">
        <v>10020</v>
      </c>
      <c r="B277" s="0" t="s">
        <v>137</v>
      </c>
      <c r="C277" s="0" t="n">
        <v>277</v>
      </c>
      <c r="D277" s="0" t="n">
        <v>6260543504289</v>
      </c>
      <c r="E277" s="94" t="s">
        <v>301</v>
      </c>
      <c r="F277" s="0" t="n">
        <v>4</v>
      </c>
      <c r="G277" s="0" t="n">
        <v>15</v>
      </c>
      <c r="I277" s="0" t="n">
        <v>60</v>
      </c>
      <c r="J277" s="0" t="n">
        <v>12</v>
      </c>
    </row>
    <row r="278" customFormat="false" ht="15" hidden="false" customHeight="false" outlineLevel="0" collapsed="false">
      <c r="A278" s="0" t="n">
        <v>10020</v>
      </c>
      <c r="B278" s="0" t="s">
        <v>137</v>
      </c>
      <c r="C278" s="0" t="n">
        <v>278</v>
      </c>
      <c r="D278" s="0" t="n">
        <v>162900054350642</v>
      </c>
      <c r="E278" s="94" t="s">
        <v>301</v>
      </c>
      <c r="F278" s="0" t="n">
        <v>4</v>
      </c>
      <c r="G278" s="0" t="n">
        <v>15</v>
      </c>
      <c r="I278" s="0" t="n">
        <v>60</v>
      </c>
      <c r="J278" s="0" t="n">
        <v>13</v>
      </c>
    </row>
    <row r="279" customFormat="false" ht="15" hidden="false" customHeight="false" outlineLevel="0" collapsed="false">
      <c r="A279" s="0" t="n">
        <v>10020</v>
      </c>
      <c r="B279" s="0" t="s">
        <v>137</v>
      </c>
      <c r="C279" s="0" t="n">
        <v>279</v>
      </c>
      <c r="D279" s="0" t="n">
        <v>6261178014334</v>
      </c>
      <c r="E279" s="94" t="s">
        <v>351</v>
      </c>
      <c r="F279" s="0" t="n">
        <v>13</v>
      </c>
      <c r="G279" s="0" t="n">
        <v>4</v>
      </c>
      <c r="I279" s="0" t="n">
        <v>52</v>
      </c>
      <c r="J279" s="0" t="n">
        <v>14</v>
      </c>
    </row>
    <row r="280" customFormat="false" ht="15" hidden="false" customHeight="false" outlineLevel="0" collapsed="false">
      <c r="A280" s="0" t="n">
        <v>10020</v>
      </c>
      <c r="B280" s="0" t="s">
        <v>137</v>
      </c>
      <c r="C280" s="0" t="n">
        <v>280</v>
      </c>
      <c r="D280" s="0" t="n">
        <v>6260002926348</v>
      </c>
      <c r="E280" s="94" t="s">
        <v>297</v>
      </c>
      <c r="F280" s="0" t="n">
        <v>12</v>
      </c>
      <c r="G280" s="0" t="n">
        <v>18</v>
      </c>
      <c r="I280" s="0" t="n">
        <v>216</v>
      </c>
      <c r="J280" s="0" t="n">
        <v>15</v>
      </c>
    </row>
    <row r="281" customFormat="false" ht="15" hidden="false" customHeight="false" outlineLevel="0" collapsed="false">
      <c r="A281" s="0" t="n">
        <v>10020</v>
      </c>
      <c r="B281" s="0" t="s">
        <v>137</v>
      </c>
      <c r="C281" s="0" t="n">
        <v>281</v>
      </c>
      <c r="D281" s="0" t="n">
        <v>6260002926362</v>
      </c>
      <c r="E281" s="94" t="s">
        <v>352</v>
      </c>
      <c r="F281" s="0" t="n">
        <v>17</v>
      </c>
      <c r="G281" s="0" t="n">
        <v>18</v>
      </c>
      <c r="I281" s="0" t="n">
        <v>306</v>
      </c>
      <c r="J281" s="0" t="n">
        <v>16</v>
      </c>
    </row>
    <row r="282" customFormat="false" ht="15" hidden="false" customHeight="false" outlineLevel="0" collapsed="false">
      <c r="A282" s="0" t="n">
        <v>10020</v>
      </c>
      <c r="B282" s="0" t="s">
        <v>137</v>
      </c>
      <c r="C282" s="0" t="n">
        <v>282</v>
      </c>
      <c r="D282" s="0" t="n">
        <v>6265663103565</v>
      </c>
      <c r="E282" s="94" t="s">
        <v>299</v>
      </c>
      <c r="F282" s="0" t="n">
        <v>13</v>
      </c>
      <c r="G282" s="0" t="n">
        <v>4</v>
      </c>
      <c r="I282" s="0" t="n">
        <v>52</v>
      </c>
      <c r="J282" s="0" t="n">
        <v>17</v>
      </c>
    </row>
    <row r="283" customFormat="false" ht="15" hidden="false" customHeight="false" outlineLevel="0" collapsed="false">
      <c r="A283" s="0" t="n">
        <v>10020</v>
      </c>
      <c r="B283" s="0" t="s">
        <v>137</v>
      </c>
      <c r="C283" s="0" t="n">
        <v>283</v>
      </c>
      <c r="D283" s="0" t="n">
        <v>6263812800334</v>
      </c>
      <c r="E283" s="94" t="s">
        <v>353</v>
      </c>
      <c r="F283" s="0" t="n">
        <v>19</v>
      </c>
      <c r="G283" s="0" t="n">
        <v>15</v>
      </c>
      <c r="I283" s="0" t="n">
        <v>285</v>
      </c>
      <c r="J283" s="0" t="n">
        <v>18</v>
      </c>
    </row>
    <row r="284" customFormat="false" ht="15" hidden="false" customHeight="false" outlineLevel="0" collapsed="false">
      <c r="A284" s="0" t="n">
        <v>10020</v>
      </c>
      <c r="B284" s="0" t="s">
        <v>137</v>
      </c>
      <c r="C284" s="0" t="n">
        <v>284</v>
      </c>
      <c r="D284" s="0" t="n">
        <v>6260053186333</v>
      </c>
      <c r="E284" s="94" t="s">
        <v>354</v>
      </c>
      <c r="F284" s="0" t="n">
        <v>20</v>
      </c>
      <c r="G284" s="0" t="n">
        <v>15</v>
      </c>
      <c r="I284" s="0" t="n">
        <v>300</v>
      </c>
      <c r="J284" s="0" t="n">
        <v>19</v>
      </c>
    </row>
    <row r="285" customFormat="false" ht="15" hidden="false" customHeight="false" outlineLevel="0" collapsed="false">
      <c r="A285" s="0" t="n">
        <v>10020</v>
      </c>
      <c r="B285" s="0" t="s">
        <v>137</v>
      </c>
      <c r="C285" s="0" t="n">
        <v>285</v>
      </c>
      <c r="D285" s="0" t="n">
        <v>6260053185640</v>
      </c>
      <c r="E285" s="94" t="s">
        <v>300</v>
      </c>
      <c r="F285" s="0" t="n">
        <v>105</v>
      </c>
      <c r="G285" s="0" t="n">
        <v>10.5</v>
      </c>
      <c r="I285" s="0" t="n">
        <v>1102.5</v>
      </c>
      <c r="J285" s="0" t="n">
        <v>20</v>
      </c>
    </row>
    <row r="286" customFormat="false" ht="15" hidden="false" customHeight="false" outlineLevel="0" collapsed="false">
      <c r="A286" s="0" t="n">
        <v>10020</v>
      </c>
      <c r="B286" s="0" t="s">
        <v>137</v>
      </c>
      <c r="C286" s="0" t="n">
        <v>286</v>
      </c>
      <c r="D286" s="0" t="n">
        <v>6260053186241</v>
      </c>
      <c r="E286" s="94" t="s">
        <v>355</v>
      </c>
      <c r="F286" s="0" t="n">
        <v>9</v>
      </c>
      <c r="G286" s="0" t="n">
        <v>23</v>
      </c>
      <c r="I286" s="0" t="n">
        <v>207</v>
      </c>
      <c r="J286" s="0" t="n">
        <v>21</v>
      </c>
    </row>
    <row r="287" customFormat="false" ht="15" hidden="false" customHeight="false" outlineLevel="0" collapsed="false">
      <c r="A287" s="0" t="n">
        <v>10020</v>
      </c>
      <c r="B287" s="0" t="s">
        <v>137</v>
      </c>
      <c r="C287" s="0" t="n">
        <v>287</v>
      </c>
      <c r="D287" s="0" t="n">
        <v>6260575904309</v>
      </c>
      <c r="E287" s="94" t="s">
        <v>356</v>
      </c>
      <c r="F287" s="0" t="n">
        <v>22</v>
      </c>
      <c r="G287" s="0" t="n">
        <v>10</v>
      </c>
      <c r="I287" s="0" t="n">
        <v>220</v>
      </c>
      <c r="J287" s="0" t="n">
        <v>22</v>
      </c>
    </row>
    <row r="288" customFormat="false" ht="15" hidden="false" customHeight="false" outlineLevel="0" collapsed="false">
      <c r="A288" s="0" t="n">
        <v>10020</v>
      </c>
      <c r="B288" s="0" t="s">
        <v>137</v>
      </c>
      <c r="C288" s="0" t="n">
        <v>288</v>
      </c>
      <c r="D288" s="0" t="n">
        <v>6260575904279</v>
      </c>
      <c r="E288" s="94" t="s">
        <v>357</v>
      </c>
      <c r="F288" s="0" t="n">
        <v>16</v>
      </c>
      <c r="G288" s="0" t="n">
        <v>10</v>
      </c>
      <c r="I288" s="0" t="n">
        <v>160</v>
      </c>
      <c r="J288" s="0" t="n">
        <v>23</v>
      </c>
    </row>
    <row r="289" customFormat="false" ht="15" hidden="false" customHeight="false" outlineLevel="0" collapsed="false">
      <c r="A289" s="0" t="n">
        <v>10020</v>
      </c>
      <c r="B289" s="0" t="s">
        <v>137</v>
      </c>
      <c r="C289" s="0" t="n">
        <v>289</v>
      </c>
      <c r="D289" s="0" t="n">
        <v>6260543505682</v>
      </c>
      <c r="E289" s="94" t="s">
        <v>358</v>
      </c>
      <c r="F289" s="0" t="n">
        <v>1</v>
      </c>
      <c r="G289" s="0" t="n">
        <v>1.8</v>
      </c>
      <c r="I289" s="0" t="n">
        <v>1.8</v>
      </c>
      <c r="J289" s="0" t="n">
        <v>24</v>
      </c>
    </row>
    <row r="290" customFormat="false" ht="15" hidden="false" customHeight="false" outlineLevel="0" collapsed="false">
      <c r="A290" s="0" t="n">
        <v>10020</v>
      </c>
      <c r="B290" s="0" t="s">
        <v>137</v>
      </c>
      <c r="C290" s="0" t="n">
        <v>290</v>
      </c>
      <c r="D290" s="0" t="n">
        <v>162900054350821</v>
      </c>
      <c r="E290" s="94" t="s">
        <v>358</v>
      </c>
      <c r="F290" s="0" t="n">
        <v>52</v>
      </c>
      <c r="G290" s="0" t="n">
        <v>4</v>
      </c>
      <c r="I290" s="0" t="n">
        <v>208</v>
      </c>
      <c r="J290" s="0" t="n">
        <v>25</v>
      </c>
    </row>
    <row r="291" customFormat="false" ht="15" hidden="false" customHeight="false" outlineLevel="0" collapsed="false">
      <c r="A291" s="0" t="n">
        <v>10020</v>
      </c>
      <c r="B291" s="0" t="s">
        <v>137</v>
      </c>
      <c r="C291" s="0" t="n">
        <v>291</v>
      </c>
      <c r="D291" s="0" t="n">
        <v>6260575904330</v>
      </c>
      <c r="E291" s="94" t="s">
        <v>296</v>
      </c>
      <c r="F291" s="0" t="n">
        <v>7</v>
      </c>
      <c r="G291" s="0" t="n">
        <v>10</v>
      </c>
      <c r="I291" s="0" t="n">
        <v>70</v>
      </c>
      <c r="J291" s="0" t="n">
        <v>26</v>
      </c>
    </row>
    <row r="292" customFormat="false" ht="15" hidden="false" customHeight="false" outlineLevel="0" collapsed="false">
      <c r="A292" s="0" t="n">
        <v>10020</v>
      </c>
      <c r="B292" s="0" t="s">
        <v>137</v>
      </c>
      <c r="C292" s="0" t="n">
        <v>292</v>
      </c>
      <c r="D292" s="0" t="n">
        <v>6260575900769</v>
      </c>
      <c r="E292" s="94" t="s">
        <v>359</v>
      </c>
      <c r="F292" s="0" t="n">
        <v>17</v>
      </c>
      <c r="G292" s="0" t="n">
        <v>5</v>
      </c>
      <c r="I292" s="0" t="n">
        <v>85</v>
      </c>
      <c r="J292" s="0" t="n">
        <v>27</v>
      </c>
    </row>
    <row r="293" customFormat="false" ht="15" hidden="false" customHeight="false" outlineLevel="0" collapsed="false">
      <c r="A293" s="0" t="n">
        <v>10020</v>
      </c>
      <c r="B293" s="0" t="s">
        <v>137</v>
      </c>
      <c r="C293" s="0" t="n">
        <v>293</v>
      </c>
      <c r="D293" s="0" t="n">
        <v>6260575902312</v>
      </c>
      <c r="E293" s="94" t="s">
        <v>294</v>
      </c>
      <c r="F293" s="0" t="n">
        <v>9</v>
      </c>
      <c r="G293" s="0" t="n">
        <v>5</v>
      </c>
      <c r="I293" s="0" t="n">
        <v>45</v>
      </c>
      <c r="J293" s="0" t="n">
        <v>28</v>
      </c>
    </row>
    <row r="294" customFormat="false" ht="15" hidden="false" customHeight="false" outlineLevel="0" collapsed="false">
      <c r="A294" s="0" t="n">
        <v>10020</v>
      </c>
      <c r="B294" s="0" t="s">
        <v>137</v>
      </c>
      <c r="C294" s="0" t="n">
        <v>294</v>
      </c>
      <c r="D294" s="0" t="n">
        <v>6260543505668</v>
      </c>
      <c r="E294" s="94" t="s">
        <v>360</v>
      </c>
      <c r="F294" s="0" t="n">
        <v>8</v>
      </c>
      <c r="G294" s="0" t="n">
        <v>5</v>
      </c>
      <c r="I294" s="0" t="n">
        <v>40</v>
      </c>
      <c r="J294" s="0" t="n">
        <v>29</v>
      </c>
    </row>
    <row r="295" customFormat="false" ht="15" hidden="false" customHeight="false" outlineLevel="0" collapsed="false">
      <c r="A295" s="0" t="n">
        <v>10020</v>
      </c>
      <c r="B295" s="0" t="s">
        <v>137</v>
      </c>
      <c r="C295" s="0" t="n">
        <v>295</v>
      </c>
      <c r="D295" s="0" t="n">
        <v>6265663103961</v>
      </c>
      <c r="E295" s="94" t="s">
        <v>361</v>
      </c>
      <c r="F295" s="0" t="n">
        <v>2</v>
      </c>
      <c r="G295" s="0" t="n">
        <v>15</v>
      </c>
      <c r="I295" s="0" t="n">
        <v>30</v>
      </c>
      <c r="J295" s="0" t="n">
        <v>30</v>
      </c>
    </row>
    <row r="296" customFormat="false" ht="15" hidden="false" customHeight="false" outlineLevel="0" collapsed="false">
      <c r="A296" s="0" t="n">
        <v>10020</v>
      </c>
      <c r="B296" s="0" t="s">
        <v>137</v>
      </c>
      <c r="C296" s="0" t="n">
        <v>296</v>
      </c>
      <c r="D296" s="0" t="n">
        <v>6260543503855</v>
      </c>
      <c r="E296" s="94" t="s">
        <v>362</v>
      </c>
      <c r="F296" s="0" t="n">
        <v>1</v>
      </c>
      <c r="G296" s="0" t="n">
        <v>4.5</v>
      </c>
      <c r="I296" s="0" t="n">
        <v>4.5</v>
      </c>
      <c r="J296" s="0" t="n">
        <v>31</v>
      </c>
    </row>
    <row r="297" customFormat="false" ht="15" hidden="false" customHeight="false" outlineLevel="0" collapsed="false">
      <c r="A297" s="0" t="n">
        <v>10020</v>
      </c>
      <c r="B297" s="0" t="s">
        <v>137</v>
      </c>
      <c r="C297" s="0" t="n">
        <v>297</v>
      </c>
      <c r="D297" s="0" t="n">
        <v>162900054350626</v>
      </c>
      <c r="E297" s="94" t="s">
        <v>362</v>
      </c>
      <c r="F297" s="0" t="n">
        <v>90</v>
      </c>
      <c r="G297" s="0" t="n">
        <v>5</v>
      </c>
      <c r="I297" s="0" t="n">
        <v>450</v>
      </c>
      <c r="J297" s="0" t="n">
        <v>32</v>
      </c>
    </row>
    <row r="298" customFormat="false" ht="15" hidden="false" customHeight="false" outlineLevel="0" collapsed="false">
      <c r="A298" s="0" t="n">
        <v>10020</v>
      </c>
      <c r="B298" s="0" t="s">
        <v>137</v>
      </c>
      <c r="C298" s="0" t="n">
        <v>298</v>
      </c>
      <c r="D298" s="0" t="n">
        <v>6265663104265</v>
      </c>
      <c r="E298" s="94" t="s">
        <v>363</v>
      </c>
      <c r="F298" s="0" t="n">
        <v>15</v>
      </c>
      <c r="G298" s="0" t="n">
        <v>10</v>
      </c>
      <c r="I298" s="0" t="n">
        <v>150</v>
      </c>
      <c r="J298" s="0" t="n">
        <v>33</v>
      </c>
    </row>
    <row r="299" customFormat="false" ht="15" hidden="false" customHeight="false" outlineLevel="0" collapsed="false">
      <c r="A299" s="0" t="n">
        <v>10020</v>
      </c>
      <c r="B299" s="0" t="s">
        <v>137</v>
      </c>
      <c r="C299" s="0" t="n">
        <v>299</v>
      </c>
      <c r="D299" s="0" t="n">
        <v>6260469900509</v>
      </c>
      <c r="E299" s="94" t="s">
        <v>304</v>
      </c>
      <c r="F299" s="0" t="n">
        <v>7</v>
      </c>
      <c r="G299" s="0" t="n">
        <v>10</v>
      </c>
      <c r="I299" s="0" t="n">
        <v>70</v>
      </c>
      <c r="J299" s="0" t="n">
        <v>34</v>
      </c>
    </row>
    <row r="300" customFormat="false" ht="15" hidden="false" customHeight="false" outlineLevel="0" collapsed="false">
      <c r="A300" s="0" t="n">
        <v>10020</v>
      </c>
      <c r="B300" s="0" t="s">
        <v>137</v>
      </c>
      <c r="C300" s="0" t="n">
        <v>300</v>
      </c>
      <c r="D300" s="0" t="n">
        <v>162510046990021</v>
      </c>
      <c r="E300" s="94" t="s">
        <v>304</v>
      </c>
      <c r="F300" s="0" t="n">
        <v>7</v>
      </c>
      <c r="G300" s="0" t="n">
        <v>10</v>
      </c>
      <c r="I300" s="0" t="n">
        <v>70</v>
      </c>
      <c r="J300" s="0" t="n">
        <v>35</v>
      </c>
    </row>
    <row r="301" customFormat="false" ht="15" hidden="false" customHeight="false" outlineLevel="0" collapsed="false">
      <c r="A301" s="0" t="n">
        <v>10020</v>
      </c>
      <c r="B301" s="0" t="s">
        <v>137</v>
      </c>
      <c r="C301" s="0" t="n">
        <v>301</v>
      </c>
      <c r="D301" s="0" t="n">
        <v>6260469900110</v>
      </c>
      <c r="E301" s="94" t="s">
        <v>173</v>
      </c>
      <c r="F301" s="0" t="n">
        <v>17</v>
      </c>
      <c r="G301" s="0" t="n">
        <v>7</v>
      </c>
      <c r="I301" s="0" t="n">
        <v>119</v>
      </c>
      <c r="J301" s="0" t="n">
        <v>36</v>
      </c>
    </row>
    <row r="302" customFormat="false" ht="15" hidden="false" customHeight="false" outlineLevel="0" collapsed="false">
      <c r="A302" s="0" t="n">
        <v>10020</v>
      </c>
      <c r="B302" s="0" t="s">
        <v>137</v>
      </c>
      <c r="C302" s="0" t="n">
        <v>302</v>
      </c>
      <c r="D302" s="0" t="n">
        <v>162510046990122</v>
      </c>
      <c r="E302" s="94" t="s">
        <v>173</v>
      </c>
      <c r="F302" s="0" t="n">
        <v>17</v>
      </c>
      <c r="G302" s="0" t="n">
        <v>7</v>
      </c>
      <c r="I302" s="0" t="n">
        <v>119</v>
      </c>
      <c r="J302" s="0" t="n">
        <v>37</v>
      </c>
    </row>
    <row r="303" customFormat="false" ht="15" hidden="false" customHeight="false" outlineLevel="0" collapsed="false">
      <c r="A303" s="0" t="n">
        <v>10020</v>
      </c>
      <c r="B303" s="0" t="s">
        <v>137</v>
      </c>
      <c r="C303" s="0" t="n">
        <v>303</v>
      </c>
      <c r="D303" s="0" t="n">
        <v>6261149024867</v>
      </c>
      <c r="E303" s="94" t="s">
        <v>364</v>
      </c>
      <c r="F303" s="0" t="n">
        <v>19</v>
      </c>
      <c r="G303" s="0" t="n">
        <v>10</v>
      </c>
      <c r="I303" s="0" t="n">
        <v>190</v>
      </c>
      <c r="J303" s="0" t="n">
        <v>38</v>
      </c>
    </row>
    <row r="304" customFormat="false" ht="15" hidden="false" customHeight="false" outlineLevel="0" collapsed="false">
      <c r="A304" s="0" t="n">
        <v>10020</v>
      </c>
      <c r="B304" s="0" t="s">
        <v>137</v>
      </c>
      <c r="C304" s="0" t="n">
        <v>304</v>
      </c>
      <c r="D304" s="0" t="n">
        <v>6260176502508</v>
      </c>
      <c r="E304" s="94" t="s">
        <v>365</v>
      </c>
      <c r="F304" s="0" t="n">
        <v>76</v>
      </c>
      <c r="G304" s="0" t="n">
        <v>3.1</v>
      </c>
      <c r="I304" s="0" t="n">
        <v>235.6</v>
      </c>
      <c r="J304" s="0" t="n">
        <v>39</v>
      </c>
    </row>
    <row r="305" customFormat="false" ht="15" hidden="false" customHeight="false" outlineLevel="0" collapsed="false">
      <c r="A305" s="0" t="n">
        <v>10020</v>
      </c>
      <c r="B305" s="0" t="s">
        <v>137</v>
      </c>
      <c r="C305" s="0" t="n">
        <v>305</v>
      </c>
      <c r="D305" s="0" t="n">
        <v>162300017650160</v>
      </c>
      <c r="E305" s="94" t="s">
        <v>365</v>
      </c>
      <c r="F305" s="0" t="n">
        <v>76</v>
      </c>
      <c r="G305" s="0" t="n">
        <v>3.1</v>
      </c>
      <c r="I305" s="0" t="n">
        <v>235.6</v>
      </c>
      <c r="J305" s="0" t="n">
        <v>40</v>
      </c>
    </row>
    <row r="306" customFormat="false" ht="15" hidden="false" customHeight="false" outlineLevel="0" collapsed="false">
      <c r="A306" s="0" t="n">
        <v>10020</v>
      </c>
      <c r="B306" s="0" t="s">
        <v>137</v>
      </c>
      <c r="C306" s="0" t="n">
        <v>306</v>
      </c>
      <c r="D306" s="0" t="n">
        <v>6269100604011</v>
      </c>
      <c r="E306" s="94" t="s">
        <v>366</v>
      </c>
      <c r="F306" s="0" t="n">
        <v>3</v>
      </c>
      <c r="G306" s="0" t="n">
        <v>15</v>
      </c>
      <c r="I306" s="0" t="n">
        <v>45</v>
      </c>
      <c r="J306" s="0" t="n">
        <v>41</v>
      </c>
    </row>
    <row r="307" customFormat="false" ht="15" hidden="false" customHeight="false" outlineLevel="0" collapsed="false">
      <c r="A307" s="0" t="n">
        <v>10020</v>
      </c>
      <c r="B307" s="0" t="s">
        <v>137</v>
      </c>
      <c r="C307" s="0" t="n">
        <v>307</v>
      </c>
      <c r="D307" s="0" t="n">
        <v>162810910060001</v>
      </c>
      <c r="E307" s="94" t="s">
        <v>366</v>
      </c>
      <c r="F307" s="0" t="n">
        <v>3</v>
      </c>
      <c r="G307" s="0" t="n">
        <v>15</v>
      </c>
      <c r="I307" s="0" t="n">
        <v>45</v>
      </c>
      <c r="J307" s="0" t="n">
        <v>42</v>
      </c>
    </row>
    <row r="308" customFormat="false" ht="15" hidden="false" customHeight="false" outlineLevel="0" collapsed="false">
      <c r="A308" s="0" t="n">
        <v>10020</v>
      </c>
      <c r="B308" s="0" t="s">
        <v>137</v>
      </c>
      <c r="C308" s="0" t="n">
        <v>308</v>
      </c>
      <c r="D308" s="0" t="n">
        <v>6269100604028</v>
      </c>
      <c r="E308" s="94" t="s">
        <v>367</v>
      </c>
      <c r="F308" s="0" t="n">
        <v>3</v>
      </c>
      <c r="G308" s="0" t="n">
        <v>15</v>
      </c>
      <c r="I308" s="0" t="n">
        <v>45</v>
      </c>
      <c r="J308" s="0" t="n">
        <v>43</v>
      </c>
    </row>
    <row r="309" customFormat="false" ht="15" hidden="false" customHeight="false" outlineLevel="0" collapsed="false">
      <c r="A309" s="0" t="n">
        <v>10020</v>
      </c>
      <c r="B309" s="0" t="s">
        <v>137</v>
      </c>
      <c r="C309" s="0" t="n">
        <v>309</v>
      </c>
      <c r="D309" s="0" t="n">
        <v>162810910060002</v>
      </c>
      <c r="E309" s="94" t="s">
        <v>367</v>
      </c>
      <c r="F309" s="0" t="n">
        <v>3</v>
      </c>
      <c r="G309" s="0" t="n">
        <v>15</v>
      </c>
      <c r="I309" s="0" t="n">
        <v>45</v>
      </c>
      <c r="J309" s="0" t="n">
        <v>44</v>
      </c>
    </row>
    <row r="310" customFormat="false" ht="15" hidden="false" customHeight="false" outlineLevel="0" collapsed="false">
      <c r="A310" s="0" t="n">
        <v>10020</v>
      </c>
      <c r="B310" s="0" t="s">
        <v>137</v>
      </c>
      <c r="C310" s="0" t="n">
        <v>310</v>
      </c>
      <c r="D310" s="0" t="n">
        <v>6260501000440</v>
      </c>
      <c r="E310" s="94" t="s">
        <v>174</v>
      </c>
      <c r="F310" s="0" t="n">
        <v>20</v>
      </c>
      <c r="G310" s="0" t="n">
        <v>10</v>
      </c>
      <c r="I310" s="0" t="n">
        <v>200</v>
      </c>
      <c r="J310" s="0" t="n">
        <v>45</v>
      </c>
    </row>
    <row r="311" customFormat="false" ht="15" hidden="false" customHeight="false" outlineLevel="0" collapsed="false">
      <c r="A311" s="0" t="n">
        <v>10020</v>
      </c>
      <c r="B311" s="0" t="s">
        <v>137</v>
      </c>
      <c r="C311" s="0" t="n">
        <v>311</v>
      </c>
      <c r="D311" s="0" t="n">
        <v>6261178540284</v>
      </c>
      <c r="E311" s="94" t="s">
        <v>368</v>
      </c>
      <c r="F311" s="0" t="n">
        <v>56</v>
      </c>
      <c r="G311" s="0" t="n">
        <v>3.1</v>
      </c>
      <c r="I311" s="0" t="n">
        <v>173.6</v>
      </c>
      <c r="J311" s="0" t="n">
        <v>46</v>
      </c>
    </row>
    <row r="312" customFormat="false" ht="15" hidden="false" customHeight="false" outlineLevel="0" collapsed="false">
      <c r="A312" s="0" t="n">
        <v>10020</v>
      </c>
      <c r="B312" s="0" t="s">
        <v>137</v>
      </c>
      <c r="C312" s="0" t="n">
        <v>312</v>
      </c>
      <c r="D312" s="0" t="n">
        <v>6260404400200</v>
      </c>
      <c r="E312" s="94" t="s">
        <v>369</v>
      </c>
      <c r="F312" s="0" t="n">
        <v>70</v>
      </c>
      <c r="G312" s="0" t="n">
        <v>5</v>
      </c>
      <c r="I312" s="0" t="n">
        <v>350</v>
      </c>
      <c r="J312" s="0" t="n">
        <v>47</v>
      </c>
    </row>
    <row r="313" customFormat="false" ht="15" hidden="false" customHeight="false" outlineLevel="0" collapsed="false">
      <c r="A313" s="0" t="n">
        <v>10020</v>
      </c>
      <c r="B313" s="0" t="s">
        <v>137</v>
      </c>
      <c r="C313" s="0" t="n">
        <v>313</v>
      </c>
      <c r="D313" s="0" t="n">
        <v>6260918500175</v>
      </c>
      <c r="E313" s="94" t="s">
        <v>370</v>
      </c>
      <c r="F313" s="0" t="n">
        <v>27</v>
      </c>
      <c r="G313" s="0" t="n">
        <v>10</v>
      </c>
      <c r="I313" s="0" t="n">
        <v>270</v>
      </c>
      <c r="J313" s="0" t="n">
        <v>48</v>
      </c>
    </row>
    <row r="314" customFormat="false" ht="15" hidden="false" customHeight="false" outlineLevel="0" collapsed="false">
      <c r="A314" s="0" t="n">
        <v>10020</v>
      </c>
      <c r="B314" s="0" t="s">
        <v>137</v>
      </c>
      <c r="C314" s="0" t="n">
        <v>314</v>
      </c>
      <c r="D314" s="0" t="n">
        <v>6262477911973</v>
      </c>
      <c r="E314" s="94" t="s">
        <v>371</v>
      </c>
      <c r="F314" s="0" t="n">
        <v>10</v>
      </c>
      <c r="G314" s="0" t="n">
        <v>15</v>
      </c>
      <c r="I314" s="0" t="n">
        <v>150</v>
      </c>
      <c r="J314" s="0" t="n">
        <v>49</v>
      </c>
    </row>
    <row r="315" customFormat="false" ht="15" hidden="false" customHeight="false" outlineLevel="0" collapsed="false">
      <c r="A315" s="0" t="n">
        <v>10020</v>
      </c>
      <c r="B315" s="0" t="s">
        <v>137</v>
      </c>
      <c r="C315" s="0" t="n">
        <v>315</v>
      </c>
      <c r="D315" s="0" t="n">
        <v>6262477911157</v>
      </c>
      <c r="E315" s="94" t="s">
        <v>372</v>
      </c>
      <c r="F315" s="0" t="n">
        <v>4</v>
      </c>
      <c r="G315" s="0" t="n">
        <v>20</v>
      </c>
      <c r="I315" s="0" t="n">
        <v>80</v>
      </c>
      <c r="J315" s="0" t="n">
        <v>50</v>
      </c>
    </row>
    <row r="316" customFormat="false" ht="15" hidden="false" customHeight="false" outlineLevel="0" collapsed="false">
      <c r="A316" s="0" t="n">
        <v>10020</v>
      </c>
      <c r="B316" s="0" t="s">
        <v>137</v>
      </c>
      <c r="C316" s="0" t="n">
        <v>316</v>
      </c>
      <c r="D316" s="0" t="n">
        <v>6261149065136</v>
      </c>
      <c r="E316" s="94" t="s">
        <v>373</v>
      </c>
      <c r="F316" s="0" t="n">
        <v>1</v>
      </c>
      <c r="G316" s="0" t="n">
        <v>5</v>
      </c>
      <c r="I316" s="0" t="n">
        <v>5</v>
      </c>
      <c r="J316" s="0" t="n">
        <v>51</v>
      </c>
    </row>
    <row r="317" customFormat="false" ht="15" hidden="false" customHeight="false" outlineLevel="0" collapsed="false">
      <c r="A317" s="0" t="n">
        <v>10020</v>
      </c>
      <c r="B317" s="0" t="s">
        <v>137</v>
      </c>
      <c r="C317" s="0" t="n">
        <v>317</v>
      </c>
      <c r="D317" s="0" t="n">
        <v>6261149065112</v>
      </c>
      <c r="E317" s="94" t="s">
        <v>374</v>
      </c>
      <c r="F317" s="0" t="n">
        <v>1</v>
      </c>
      <c r="G317" s="0" t="n">
        <v>5</v>
      </c>
      <c r="I317" s="0" t="n">
        <v>5</v>
      </c>
      <c r="J317" s="0" t="n">
        <v>52</v>
      </c>
    </row>
    <row r="318" customFormat="false" ht="15" hidden="false" customHeight="false" outlineLevel="0" collapsed="false">
      <c r="A318" s="0" t="n">
        <v>10020</v>
      </c>
      <c r="B318" s="0" t="s">
        <v>137</v>
      </c>
      <c r="C318" s="0" t="n">
        <v>318</v>
      </c>
      <c r="D318" s="0" t="n">
        <v>6261149065594</v>
      </c>
      <c r="E318" s="94" t="s">
        <v>375</v>
      </c>
      <c r="F318" s="0" t="n">
        <v>1</v>
      </c>
      <c r="G318" s="0" t="n">
        <v>5</v>
      </c>
      <c r="I318" s="0" t="n">
        <v>5</v>
      </c>
      <c r="J318" s="0" t="n">
        <v>53</v>
      </c>
    </row>
    <row r="319" customFormat="false" ht="15" hidden="false" customHeight="false" outlineLevel="0" collapsed="false">
      <c r="A319" s="0" t="n">
        <v>10020</v>
      </c>
      <c r="B319" s="0" t="s">
        <v>137</v>
      </c>
      <c r="C319" s="0" t="n">
        <v>319</v>
      </c>
      <c r="D319" s="0" t="n">
        <v>6261149065679</v>
      </c>
      <c r="E319" s="94" t="s">
        <v>376</v>
      </c>
      <c r="F319" s="0" t="n">
        <v>1</v>
      </c>
      <c r="G319" s="0" t="n">
        <v>5</v>
      </c>
      <c r="I319" s="0" t="n">
        <v>5</v>
      </c>
      <c r="J319" s="0" t="n">
        <v>54</v>
      </c>
    </row>
    <row r="320" customFormat="false" ht="15" hidden="false" customHeight="false" outlineLevel="0" collapsed="false">
      <c r="A320" s="0" t="n">
        <v>10020</v>
      </c>
      <c r="B320" s="0" t="s">
        <v>137</v>
      </c>
      <c r="C320" s="0" t="n">
        <v>320</v>
      </c>
      <c r="D320" s="0" t="n">
        <v>6261149065112</v>
      </c>
      <c r="E320" s="94" t="s">
        <v>374</v>
      </c>
      <c r="F320" s="0" t="n">
        <v>1</v>
      </c>
      <c r="G320" s="0" t="n">
        <v>5</v>
      </c>
      <c r="I320" s="0" t="n">
        <v>5</v>
      </c>
      <c r="J320" s="0" t="n">
        <v>55</v>
      </c>
    </row>
    <row r="321" customFormat="false" ht="15" hidden="false" customHeight="false" outlineLevel="0" collapsed="false">
      <c r="A321" s="0" t="n">
        <v>10020</v>
      </c>
      <c r="B321" s="0" t="s">
        <v>137</v>
      </c>
      <c r="C321" s="0" t="n">
        <v>321</v>
      </c>
      <c r="D321" s="0" t="n">
        <v>6261149065112</v>
      </c>
      <c r="E321" s="94" t="s">
        <v>374</v>
      </c>
      <c r="F321" s="0" t="n">
        <v>1</v>
      </c>
      <c r="G321" s="0" t="n">
        <v>5</v>
      </c>
      <c r="I321" s="0" t="n">
        <v>5</v>
      </c>
      <c r="J321" s="0" t="n">
        <v>56</v>
      </c>
    </row>
    <row r="322" customFormat="false" ht="15" hidden="false" customHeight="false" outlineLevel="0" collapsed="false">
      <c r="A322" s="0" t="n">
        <v>10020</v>
      </c>
      <c r="B322" s="0" t="s">
        <v>137</v>
      </c>
      <c r="C322" s="0" t="n">
        <v>322</v>
      </c>
      <c r="D322" s="0" t="n">
        <v>6261149065679</v>
      </c>
      <c r="E322" s="94" t="s">
        <v>376</v>
      </c>
      <c r="F322" s="0" t="n">
        <v>1</v>
      </c>
      <c r="G322" s="0" t="n">
        <v>5</v>
      </c>
      <c r="I322" s="0" t="n">
        <v>5</v>
      </c>
      <c r="J322" s="0" t="n">
        <v>57</v>
      </c>
    </row>
    <row r="323" customFormat="false" ht="15" hidden="false" customHeight="false" outlineLevel="0" collapsed="false">
      <c r="A323" s="0" t="n">
        <v>10020</v>
      </c>
      <c r="B323" s="0" t="s">
        <v>137</v>
      </c>
      <c r="C323" s="0" t="n">
        <v>323</v>
      </c>
      <c r="D323" s="0" t="n">
        <v>6261149065679</v>
      </c>
      <c r="E323" s="94" t="s">
        <v>376</v>
      </c>
      <c r="F323" s="0" t="n">
        <v>1</v>
      </c>
      <c r="G323" s="0" t="n">
        <v>5</v>
      </c>
      <c r="I323" s="0" t="n">
        <v>5</v>
      </c>
      <c r="J323" s="0" t="n">
        <v>58</v>
      </c>
    </row>
    <row r="324" customFormat="false" ht="15" hidden="false" customHeight="false" outlineLevel="0" collapsed="false">
      <c r="A324" s="0" t="n">
        <v>10020</v>
      </c>
      <c r="B324" s="0" t="s">
        <v>137</v>
      </c>
      <c r="C324" s="0" t="n">
        <v>324</v>
      </c>
      <c r="D324" s="0" t="n">
        <v>6261149065679</v>
      </c>
      <c r="E324" s="94" t="s">
        <v>376</v>
      </c>
      <c r="F324" s="0" t="n">
        <v>1</v>
      </c>
      <c r="G324" s="0" t="n">
        <v>5</v>
      </c>
      <c r="I324" s="0" t="n">
        <v>5</v>
      </c>
      <c r="J324" s="0" t="n">
        <v>59</v>
      </c>
    </row>
    <row r="325" customFormat="false" ht="15" hidden="false" customHeight="false" outlineLevel="0" collapsed="false">
      <c r="A325" s="0" t="n">
        <v>10020</v>
      </c>
      <c r="B325" s="0" t="s">
        <v>137</v>
      </c>
      <c r="C325" s="0" t="n">
        <v>325</v>
      </c>
      <c r="D325" s="0" t="n">
        <v>6261149065679</v>
      </c>
      <c r="E325" s="94" t="s">
        <v>376</v>
      </c>
      <c r="F325" s="0" t="n">
        <v>1</v>
      </c>
      <c r="G325" s="0" t="n">
        <v>5</v>
      </c>
      <c r="I325" s="0" t="n">
        <v>5</v>
      </c>
      <c r="J325" s="0" t="n">
        <v>60</v>
      </c>
    </row>
    <row r="326" customFormat="false" ht="15" hidden="false" customHeight="false" outlineLevel="0" collapsed="false">
      <c r="A326" s="0" t="n">
        <v>10020</v>
      </c>
      <c r="B326" s="0" t="s">
        <v>137</v>
      </c>
      <c r="C326" s="0" t="n">
        <v>326</v>
      </c>
      <c r="D326" s="0" t="n">
        <v>6261149065679</v>
      </c>
      <c r="E326" s="94" t="s">
        <v>376</v>
      </c>
      <c r="F326" s="0" t="n">
        <v>1</v>
      </c>
      <c r="G326" s="0" t="n">
        <v>5</v>
      </c>
      <c r="I326" s="0" t="n">
        <v>5</v>
      </c>
      <c r="J326" s="0" t="n">
        <v>61</v>
      </c>
    </row>
    <row r="327" customFormat="false" ht="15" hidden="false" customHeight="false" outlineLevel="0" collapsed="false">
      <c r="A327" s="0" t="n">
        <v>10022</v>
      </c>
      <c r="B327" s="0" t="s">
        <v>137</v>
      </c>
      <c r="C327" s="0" t="n">
        <v>327</v>
      </c>
      <c r="D327" s="0" t="n">
        <v>6260053186241</v>
      </c>
      <c r="E327" s="94" t="s">
        <v>355</v>
      </c>
      <c r="F327" s="0" t="n">
        <v>12</v>
      </c>
      <c r="G327" s="0" t="n">
        <v>23</v>
      </c>
      <c r="I327" s="0" t="n">
        <v>276</v>
      </c>
      <c r="J327" s="0" t="n">
        <v>7</v>
      </c>
    </row>
    <row r="328" customFormat="false" ht="15" hidden="false" customHeight="false" outlineLevel="0" collapsed="false">
      <c r="A328" s="0" t="n">
        <v>10022</v>
      </c>
      <c r="B328" s="0" t="s">
        <v>137</v>
      </c>
      <c r="C328" s="0" t="n">
        <v>328</v>
      </c>
      <c r="D328" s="0" t="n">
        <v>6263812801249</v>
      </c>
      <c r="E328" s="94" t="s">
        <v>348</v>
      </c>
      <c r="F328" s="0" t="n">
        <v>7</v>
      </c>
      <c r="G328" s="0" t="n">
        <v>20</v>
      </c>
      <c r="I328" s="0" t="n">
        <v>140</v>
      </c>
      <c r="J328" s="0" t="n">
        <v>8</v>
      </c>
    </row>
    <row r="329" customFormat="false" ht="15" hidden="false" customHeight="false" outlineLevel="0" collapsed="false">
      <c r="A329" s="0" t="n">
        <v>10022</v>
      </c>
      <c r="B329" s="0" t="s">
        <v>137</v>
      </c>
      <c r="C329" s="0" t="n">
        <v>329</v>
      </c>
      <c r="D329" s="0" t="n">
        <v>6263812801225</v>
      </c>
      <c r="E329" s="94" t="s">
        <v>377</v>
      </c>
      <c r="F329" s="0" t="n">
        <v>1</v>
      </c>
      <c r="G329" s="0" t="n">
        <v>20</v>
      </c>
      <c r="I329" s="0" t="n">
        <v>20</v>
      </c>
      <c r="J329" s="0" t="n">
        <v>9</v>
      </c>
    </row>
    <row r="330" customFormat="false" ht="15" hidden="false" customHeight="false" outlineLevel="0" collapsed="false">
      <c r="A330" s="0" t="n">
        <v>10022</v>
      </c>
      <c r="B330" s="0" t="s">
        <v>137</v>
      </c>
      <c r="C330" s="0" t="n">
        <v>330</v>
      </c>
      <c r="D330" s="0" t="n">
        <v>6261178411010</v>
      </c>
      <c r="E330" s="94" t="s">
        <v>298</v>
      </c>
      <c r="F330" s="0" t="n">
        <v>9</v>
      </c>
      <c r="G330" s="0" t="n">
        <v>15</v>
      </c>
      <c r="I330" s="0" t="n">
        <v>135</v>
      </c>
      <c r="J330" s="0" t="n">
        <v>10</v>
      </c>
    </row>
    <row r="331" customFormat="false" ht="15" hidden="false" customHeight="false" outlineLevel="0" collapsed="false">
      <c r="A331" s="0" t="n">
        <v>10022</v>
      </c>
      <c r="B331" s="0" t="s">
        <v>137</v>
      </c>
      <c r="C331" s="0" t="n">
        <v>331</v>
      </c>
      <c r="D331" s="0" t="n">
        <v>6263812801393</v>
      </c>
      <c r="E331" s="94" t="s">
        <v>378</v>
      </c>
      <c r="F331" s="0" t="n">
        <v>3</v>
      </c>
      <c r="G331" s="0" t="n">
        <v>35</v>
      </c>
      <c r="I331" s="0" t="n">
        <v>105</v>
      </c>
      <c r="J331" s="0" t="n">
        <v>11</v>
      </c>
    </row>
    <row r="332" customFormat="false" ht="15" hidden="false" customHeight="false" outlineLevel="0" collapsed="false">
      <c r="A332" s="0" t="n">
        <v>10022</v>
      </c>
      <c r="B332" s="0" t="s">
        <v>137</v>
      </c>
      <c r="C332" s="0" t="n">
        <v>332</v>
      </c>
      <c r="D332" s="0" t="n">
        <v>6260575900769</v>
      </c>
      <c r="E332" s="94" t="s">
        <v>359</v>
      </c>
      <c r="F332" s="0" t="n">
        <v>1</v>
      </c>
      <c r="G332" s="0" t="n">
        <v>5</v>
      </c>
      <c r="I332" s="0" t="n">
        <v>5</v>
      </c>
      <c r="J332" s="0" t="n">
        <v>12</v>
      </c>
    </row>
    <row r="333" customFormat="false" ht="15" hidden="false" customHeight="false" outlineLevel="0" collapsed="false">
      <c r="A333" s="0" t="n">
        <v>10022</v>
      </c>
      <c r="B333" s="0" t="s">
        <v>137</v>
      </c>
      <c r="C333" s="0" t="n">
        <v>333</v>
      </c>
      <c r="D333" s="0" t="n">
        <v>6263812801386</v>
      </c>
      <c r="E333" s="94" t="s">
        <v>377</v>
      </c>
      <c r="F333" s="0" t="n">
        <v>1</v>
      </c>
      <c r="G333" s="0" t="n">
        <v>15</v>
      </c>
      <c r="I333" s="0" t="n">
        <v>15</v>
      </c>
      <c r="J333" s="0" t="n">
        <v>13</v>
      </c>
    </row>
    <row r="334" customFormat="false" ht="15" hidden="false" customHeight="false" outlineLevel="0" collapsed="false">
      <c r="A334" s="0" t="n">
        <v>10023</v>
      </c>
      <c r="B334" s="0" t="s">
        <v>137</v>
      </c>
      <c r="C334" s="0" t="n">
        <v>334</v>
      </c>
      <c r="D334" s="0" t="n">
        <v>6269988500269</v>
      </c>
      <c r="E334" s="94" t="s">
        <v>379</v>
      </c>
      <c r="F334" s="0" t="n">
        <v>26</v>
      </c>
      <c r="G334" s="0" t="n">
        <v>10</v>
      </c>
      <c r="I334" s="0" t="n">
        <v>260</v>
      </c>
      <c r="J334" s="0" t="n">
        <v>7</v>
      </c>
    </row>
    <row r="335" customFormat="false" ht="15" hidden="false" customHeight="false" outlineLevel="0" collapsed="false">
      <c r="A335" s="0" t="n">
        <v>10023</v>
      </c>
      <c r="B335" s="0" t="s">
        <v>137</v>
      </c>
      <c r="C335" s="0" t="n">
        <v>335</v>
      </c>
      <c r="D335" s="0" t="n">
        <v>6261149146071</v>
      </c>
      <c r="E335" s="94" t="s">
        <v>313</v>
      </c>
      <c r="F335" s="0" t="n">
        <v>3</v>
      </c>
      <c r="G335" s="0" t="n">
        <v>30</v>
      </c>
      <c r="I335" s="0" t="n">
        <v>90</v>
      </c>
      <c r="J335" s="0" t="n">
        <v>8</v>
      </c>
    </row>
    <row r="336" customFormat="false" ht="15" hidden="false" customHeight="false" outlineLevel="0" collapsed="false">
      <c r="A336" s="0" t="n">
        <v>10023</v>
      </c>
      <c r="B336" s="0" t="s">
        <v>137</v>
      </c>
      <c r="C336" s="0" t="n">
        <v>336</v>
      </c>
      <c r="D336" s="0" t="n">
        <v>6261149146088</v>
      </c>
      <c r="E336" s="94" t="s">
        <v>314</v>
      </c>
      <c r="F336" s="0" t="n">
        <v>1</v>
      </c>
      <c r="G336" s="0" t="n">
        <v>30</v>
      </c>
      <c r="I336" s="0" t="n">
        <v>30</v>
      </c>
      <c r="J336" s="0" t="n">
        <v>9</v>
      </c>
    </row>
    <row r="337" customFormat="false" ht="15" hidden="false" customHeight="false" outlineLevel="0" collapsed="false">
      <c r="A337" s="0" t="n">
        <v>10023</v>
      </c>
      <c r="B337" s="0" t="s">
        <v>137</v>
      </c>
      <c r="C337" s="0" t="n">
        <v>337</v>
      </c>
      <c r="D337" s="0" t="n">
        <v>6260806400068</v>
      </c>
      <c r="E337" s="94" t="s">
        <v>161</v>
      </c>
      <c r="F337" s="0" t="n">
        <v>5</v>
      </c>
      <c r="G337" s="0" t="n">
        <v>35</v>
      </c>
      <c r="I337" s="0" t="n">
        <v>175</v>
      </c>
      <c r="J337" s="0" t="n">
        <v>10</v>
      </c>
    </row>
    <row r="338" customFormat="false" ht="15" hidden="false" customHeight="false" outlineLevel="0" collapsed="false">
      <c r="A338" s="0" t="n">
        <v>10023</v>
      </c>
      <c r="B338" s="0" t="s">
        <v>137</v>
      </c>
      <c r="C338" s="0" t="n">
        <v>338</v>
      </c>
      <c r="D338" s="0" t="n">
        <v>6261149146125</v>
      </c>
      <c r="E338" s="94" t="s">
        <v>380</v>
      </c>
      <c r="F338" s="0" t="n">
        <v>4</v>
      </c>
      <c r="G338" s="0" t="n">
        <v>24</v>
      </c>
      <c r="I338" s="0" t="n">
        <v>96</v>
      </c>
      <c r="J338" s="0" t="n">
        <v>11</v>
      </c>
    </row>
    <row r="339" customFormat="false" ht="15" hidden="false" customHeight="false" outlineLevel="0" collapsed="false">
      <c r="A339" s="0" t="n">
        <v>10023</v>
      </c>
      <c r="B339" s="0" t="s">
        <v>137</v>
      </c>
      <c r="C339" s="0" t="n">
        <v>339</v>
      </c>
      <c r="D339" s="0" t="n">
        <v>6260079211316</v>
      </c>
      <c r="E339" s="94" t="s">
        <v>311</v>
      </c>
      <c r="F339" s="0" t="n">
        <v>1</v>
      </c>
      <c r="G339" s="0" t="n">
        <v>30</v>
      </c>
      <c r="I339" s="0" t="n">
        <v>30</v>
      </c>
      <c r="J339" s="0" t="n">
        <v>12</v>
      </c>
    </row>
    <row r="340" customFormat="false" ht="15" hidden="false" customHeight="false" outlineLevel="0" collapsed="false">
      <c r="A340" s="0" t="n">
        <v>10023</v>
      </c>
      <c r="B340" s="0" t="s">
        <v>137</v>
      </c>
      <c r="C340" s="0" t="n">
        <v>340</v>
      </c>
      <c r="D340" s="0" t="n">
        <v>6260079211323</v>
      </c>
      <c r="E340" s="94" t="s">
        <v>163</v>
      </c>
      <c r="F340" s="0" t="n">
        <v>1</v>
      </c>
      <c r="G340" s="0" t="n">
        <v>30</v>
      </c>
      <c r="I340" s="0" t="n">
        <v>30</v>
      </c>
      <c r="J340" s="0" t="n">
        <v>13</v>
      </c>
    </row>
    <row r="341" customFormat="false" ht="15" hidden="false" customHeight="false" outlineLevel="0" collapsed="false">
      <c r="A341" s="0" t="n">
        <v>10023</v>
      </c>
      <c r="B341" s="0" t="s">
        <v>137</v>
      </c>
      <c r="C341" s="0" t="n">
        <v>341</v>
      </c>
      <c r="D341" s="0" t="n">
        <v>6262916600253</v>
      </c>
      <c r="E341" s="94" t="s">
        <v>381</v>
      </c>
      <c r="F341" s="0" t="n">
        <v>3</v>
      </c>
      <c r="G341" s="0" t="n">
        <v>40</v>
      </c>
      <c r="I341" s="0" t="n">
        <v>120</v>
      </c>
      <c r="J341" s="0" t="n">
        <v>14</v>
      </c>
    </row>
    <row r="342" customFormat="false" ht="15" hidden="false" customHeight="false" outlineLevel="0" collapsed="false">
      <c r="A342" s="0" t="n">
        <v>10023</v>
      </c>
      <c r="B342" s="0" t="s">
        <v>137</v>
      </c>
      <c r="C342" s="0" t="n">
        <v>342</v>
      </c>
      <c r="D342" s="0" t="n">
        <v>6260079211293</v>
      </c>
      <c r="E342" s="94" t="s">
        <v>312</v>
      </c>
      <c r="F342" s="0" t="n">
        <v>1</v>
      </c>
      <c r="G342" s="0" t="n">
        <v>30</v>
      </c>
      <c r="I342" s="0" t="n">
        <v>30</v>
      </c>
      <c r="J342" s="0" t="n">
        <v>15</v>
      </c>
    </row>
    <row r="343" customFormat="false" ht="15" hidden="false" customHeight="false" outlineLevel="0" collapsed="false">
      <c r="A343" s="0" t="n">
        <v>10023</v>
      </c>
      <c r="B343" s="0" t="s">
        <v>137</v>
      </c>
      <c r="C343" s="0" t="n">
        <v>343</v>
      </c>
      <c r="D343" s="0" t="n">
        <v>6260501700111</v>
      </c>
      <c r="E343" s="94" t="s">
        <v>382</v>
      </c>
      <c r="F343" s="0" t="n">
        <v>2</v>
      </c>
      <c r="G343" s="0" t="n">
        <v>15</v>
      </c>
      <c r="I343" s="0" t="n">
        <v>30</v>
      </c>
      <c r="J343" s="0" t="n">
        <v>16</v>
      </c>
    </row>
    <row r="344" customFormat="false" ht="15" hidden="false" customHeight="false" outlineLevel="0" collapsed="false">
      <c r="A344" s="0" t="n">
        <v>10023</v>
      </c>
      <c r="B344" s="0" t="s">
        <v>137</v>
      </c>
      <c r="C344" s="0" t="n">
        <v>344</v>
      </c>
      <c r="D344" s="0" t="n">
        <v>6260055843036</v>
      </c>
      <c r="E344" s="94" t="s">
        <v>310</v>
      </c>
      <c r="F344" s="0" t="n">
        <v>1</v>
      </c>
      <c r="G344" s="0" t="n">
        <v>35</v>
      </c>
      <c r="I344" s="0" t="n">
        <v>35</v>
      </c>
      <c r="J344" s="0" t="n">
        <v>17</v>
      </c>
    </row>
    <row r="345" customFormat="false" ht="15" hidden="false" customHeight="false" outlineLevel="0" collapsed="false">
      <c r="A345" s="0" t="n">
        <v>10023</v>
      </c>
      <c r="B345" s="0" t="s">
        <v>137</v>
      </c>
      <c r="C345" s="0" t="n">
        <v>345</v>
      </c>
      <c r="D345" s="0" t="n">
        <v>6260022324025</v>
      </c>
      <c r="E345" s="94" t="s">
        <v>308</v>
      </c>
      <c r="F345" s="0" t="n">
        <v>3</v>
      </c>
      <c r="G345" s="0" t="n">
        <v>30</v>
      </c>
      <c r="I345" s="0" t="n">
        <v>90</v>
      </c>
      <c r="J345" s="0" t="n">
        <v>18</v>
      </c>
    </row>
    <row r="346" customFormat="false" ht="15" hidden="false" customHeight="false" outlineLevel="0" collapsed="false">
      <c r="A346" s="0" t="n">
        <v>10023</v>
      </c>
      <c r="B346" s="0" t="s">
        <v>137</v>
      </c>
      <c r="C346" s="0" t="n">
        <v>346</v>
      </c>
      <c r="D346" s="0" t="n">
        <v>6261149146101</v>
      </c>
      <c r="E346" s="94" t="s">
        <v>383</v>
      </c>
      <c r="F346" s="0" t="n">
        <v>2</v>
      </c>
      <c r="G346" s="0" t="n">
        <v>30</v>
      </c>
      <c r="I346" s="0" t="n">
        <v>60</v>
      </c>
      <c r="J346" s="0" t="n">
        <v>19</v>
      </c>
    </row>
    <row r="347" customFormat="false" ht="15" hidden="false" customHeight="false" outlineLevel="0" collapsed="false">
      <c r="A347" s="0" t="n">
        <v>10023</v>
      </c>
      <c r="B347" s="0" t="s">
        <v>137</v>
      </c>
      <c r="C347" s="0" t="n">
        <v>347</v>
      </c>
      <c r="D347" s="0" t="n">
        <v>6261845300173</v>
      </c>
      <c r="E347" s="94" t="s">
        <v>310</v>
      </c>
      <c r="F347" s="0" t="n">
        <v>2</v>
      </c>
      <c r="G347" s="0" t="n">
        <v>35</v>
      </c>
      <c r="I347" s="0" t="n">
        <v>70</v>
      </c>
      <c r="J347" s="0" t="n">
        <v>20</v>
      </c>
    </row>
    <row r="348" customFormat="false" ht="15" hidden="false" customHeight="false" outlineLevel="0" collapsed="false">
      <c r="A348" s="0" t="n">
        <v>10023</v>
      </c>
      <c r="B348" s="0" t="s">
        <v>137</v>
      </c>
      <c r="C348" s="0" t="n">
        <v>348</v>
      </c>
      <c r="D348" s="0" t="n">
        <v>6262412625057</v>
      </c>
      <c r="E348" s="94" t="s">
        <v>384</v>
      </c>
      <c r="F348" s="0" t="n">
        <v>1</v>
      </c>
      <c r="G348" s="0" t="n">
        <v>10</v>
      </c>
      <c r="I348" s="0" t="n">
        <v>10</v>
      </c>
      <c r="J348" s="0" t="n">
        <v>21</v>
      </c>
    </row>
    <row r="349" customFormat="false" ht="15" hidden="false" customHeight="false" outlineLevel="0" collapsed="false">
      <c r="A349" s="0" t="n">
        <v>10023</v>
      </c>
      <c r="B349" s="0" t="s">
        <v>137</v>
      </c>
      <c r="C349" s="0" t="n">
        <v>349</v>
      </c>
      <c r="D349" s="0" t="n">
        <v>6260079277138</v>
      </c>
      <c r="E349" s="94" t="s">
        <v>315</v>
      </c>
      <c r="F349" s="0" t="n">
        <v>1</v>
      </c>
      <c r="G349" s="0" t="n">
        <v>24</v>
      </c>
      <c r="I349" s="0" t="n">
        <v>24</v>
      </c>
      <c r="J349" s="0" t="n">
        <v>22</v>
      </c>
    </row>
    <row r="350" customFormat="false" ht="15" hidden="false" customHeight="false" outlineLevel="0" collapsed="false">
      <c r="A350" s="0" t="n">
        <v>10024</v>
      </c>
      <c r="B350" s="0" t="s">
        <v>95</v>
      </c>
      <c r="C350" s="0" t="n">
        <v>350</v>
      </c>
      <c r="D350" s="0" t="n">
        <v>6260575902404</v>
      </c>
      <c r="E350" s="94" t="s">
        <v>295</v>
      </c>
      <c r="F350" s="0" t="n">
        <v>1</v>
      </c>
      <c r="G350" s="0" t="n">
        <v>5</v>
      </c>
      <c r="I350" s="0" t="n">
        <v>5</v>
      </c>
      <c r="J350" s="0" t="n">
        <v>7</v>
      </c>
    </row>
    <row r="351" customFormat="false" ht="15" hidden="false" customHeight="false" outlineLevel="0" collapsed="false">
      <c r="A351" s="0" t="n">
        <v>10024</v>
      </c>
      <c r="B351" s="0" t="s">
        <v>95</v>
      </c>
      <c r="C351" s="0" t="n">
        <v>351</v>
      </c>
      <c r="D351" s="0" t="n">
        <v>6260002926348</v>
      </c>
      <c r="E351" s="94" t="s">
        <v>297</v>
      </c>
      <c r="F351" s="0" t="n">
        <v>1</v>
      </c>
      <c r="G351" s="0" t="n">
        <v>18</v>
      </c>
      <c r="I351" s="0" t="n">
        <v>18</v>
      </c>
      <c r="J351" s="0" t="n">
        <v>8</v>
      </c>
    </row>
    <row r="352" customFormat="false" ht="15" hidden="false" customHeight="false" outlineLevel="0" collapsed="false">
      <c r="A352" s="0" t="n">
        <v>10024</v>
      </c>
      <c r="B352" s="0" t="s">
        <v>95</v>
      </c>
      <c r="C352" s="0" t="n">
        <v>352</v>
      </c>
      <c r="D352" s="0" t="n">
        <v>6261149024867</v>
      </c>
      <c r="E352" s="94" t="s">
        <v>364</v>
      </c>
      <c r="F352" s="0" t="n">
        <v>1</v>
      </c>
      <c r="G352" s="0" t="n">
        <v>10</v>
      </c>
      <c r="I352" s="0" t="n">
        <v>10</v>
      </c>
      <c r="J352" s="0" t="n">
        <v>9</v>
      </c>
    </row>
    <row r="353" customFormat="false" ht="15" hidden="false" customHeight="false" outlineLevel="0" collapsed="false">
      <c r="A353" s="0" t="n">
        <v>10024</v>
      </c>
      <c r="B353" s="0" t="s">
        <v>95</v>
      </c>
      <c r="C353" s="0" t="n">
        <v>353</v>
      </c>
      <c r="D353" s="0" t="n">
        <v>6263812800334</v>
      </c>
      <c r="E353" s="94" t="s">
        <v>353</v>
      </c>
      <c r="F353" s="0" t="n">
        <v>1</v>
      </c>
      <c r="G353" s="0" t="n">
        <v>18</v>
      </c>
      <c r="I353" s="0" t="n">
        <v>18</v>
      </c>
      <c r="J353" s="0" t="n">
        <v>10</v>
      </c>
    </row>
    <row r="354" customFormat="false" ht="15" hidden="false" customHeight="false" outlineLevel="0" collapsed="false">
      <c r="A354" s="0" t="n">
        <v>10024</v>
      </c>
      <c r="B354" s="0" t="s">
        <v>95</v>
      </c>
      <c r="C354" s="0" t="n">
        <v>354</v>
      </c>
      <c r="D354" s="0" t="n">
        <v>6260109281555</v>
      </c>
      <c r="E354" s="94" t="s">
        <v>322</v>
      </c>
      <c r="F354" s="0" t="n">
        <v>1</v>
      </c>
      <c r="G354" s="0" t="n">
        <v>12</v>
      </c>
      <c r="I354" s="0" t="n">
        <v>12</v>
      </c>
      <c r="J354" s="0" t="n">
        <v>11</v>
      </c>
    </row>
    <row r="355" customFormat="false" ht="15" hidden="false" customHeight="false" outlineLevel="0" collapsed="false">
      <c r="A355" s="0" t="n">
        <v>10024</v>
      </c>
      <c r="B355" s="0" t="s">
        <v>95</v>
      </c>
      <c r="C355" s="0" t="n">
        <v>355</v>
      </c>
      <c r="D355" s="0" t="n">
        <v>6260109281555</v>
      </c>
      <c r="E355" s="94" t="s">
        <v>322</v>
      </c>
      <c r="F355" s="0" t="n">
        <v>1</v>
      </c>
      <c r="G355" s="0" t="n">
        <v>12</v>
      </c>
      <c r="I355" s="0" t="n">
        <v>12</v>
      </c>
      <c r="J355" s="0" t="n">
        <v>12</v>
      </c>
    </row>
    <row r="356" customFormat="false" ht="15" hidden="false" customHeight="false" outlineLevel="0" collapsed="false">
      <c r="A356" s="0" t="n">
        <v>10025</v>
      </c>
      <c r="B356" s="0" t="s">
        <v>95</v>
      </c>
      <c r="C356" s="0" t="n">
        <v>356</v>
      </c>
      <c r="D356" s="0" t="n">
        <v>6260010509878</v>
      </c>
      <c r="E356" s="94" t="s">
        <v>385</v>
      </c>
      <c r="F356" s="0" t="n">
        <v>1</v>
      </c>
      <c r="G356" s="0" t="n">
        <v>17</v>
      </c>
      <c r="I356" s="0" t="n">
        <v>17</v>
      </c>
      <c r="J356" s="0" t="n">
        <v>7</v>
      </c>
    </row>
    <row r="357" customFormat="false" ht="15" hidden="false" customHeight="false" outlineLevel="0" collapsed="false">
      <c r="A357" s="0" t="n">
        <v>10025</v>
      </c>
      <c r="B357" s="0" t="s">
        <v>95</v>
      </c>
      <c r="C357" s="0" t="n">
        <v>357</v>
      </c>
      <c r="D357" s="0" t="n">
        <v>6260031000026</v>
      </c>
      <c r="E357" s="94" t="s">
        <v>176</v>
      </c>
      <c r="F357" s="0" t="n">
        <v>1</v>
      </c>
      <c r="G357" s="0" t="n">
        <v>30</v>
      </c>
      <c r="I357" s="0" t="n">
        <v>30</v>
      </c>
      <c r="J357" s="0" t="n">
        <v>8</v>
      </c>
    </row>
    <row r="358" customFormat="false" ht="15" hidden="false" customHeight="false" outlineLevel="0" collapsed="false">
      <c r="A358" s="0" t="n">
        <v>10025</v>
      </c>
      <c r="B358" s="0" t="s">
        <v>95</v>
      </c>
      <c r="C358" s="0" t="n">
        <v>358</v>
      </c>
      <c r="D358" s="0" t="n">
        <v>6261178411010</v>
      </c>
      <c r="E358" s="94" t="s">
        <v>298</v>
      </c>
      <c r="F358" s="0" t="n">
        <v>1</v>
      </c>
      <c r="G358" s="0" t="n">
        <v>15</v>
      </c>
      <c r="I358" s="0" t="n">
        <v>15</v>
      </c>
      <c r="J358" s="0" t="n">
        <v>9</v>
      </c>
    </row>
    <row r="359" customFormat="false" ht="15" hidden="false" customHeight="false" outlineLevel="0" collapsed="false">
      <c r="A359" s="0" t="n">
        <v>10025</v>
      </c>
      <c r="B359" s="0" t="s">
        <v>95</v>
      </c>
      <c r="C359" s="0" t="n">
        <v>359</v>
      </c>
      <c r="D359" s="0" t="n">
        <v>6260575904279</v>
      </c>
      <c r="E359" s="94" t="s">
        <v>357</v>
      </c>
      <c r="F359" s="0" t="n">
        <v>1</v>
      </c>
      <c r="G359" s="0" t="n">
        <v>10</v>
      </c>
      <c r="I359" s="0" t="n">
        <v>10</v>
      </c>
      <c r="J359" s="0" t="n">
        <v>10</v>
      </c>
    </row>
    <row r="360" customFormat="false" ht="15" hidden="false" customHeight="false" outlineLevel="0" collapsed="false">
      <c r="A360" s="0" t="n">
        <v>10025</v>
      </c>
      <c r="B360" s="0" t="s">
        <v>95</v>
      </c>
      <c r="C360" s="0" t="n">
        <v>360</v>
      </c>
      <c r="D360" s="0" t="n">
        <v>5200</v>
      </c>
      <c r="E360" s="94" t="s">
        <v>323</v>
      </c>
      <c r="F360" s="0" t="n">
        <v>1</v>
      </c>
      <c r="G360" s="0" t="n">
        <v>1</v>
      </c>
      <c r="I360" s="0" t="n">
        <v>1</v>
      </c>
      <c r="J360" s="0" t="n">
        <v>11</v>
      </c>
    </row>
    <row r="361" customFormat="false" ht="15" hidden="false" customHeight="false" outlineLevel="0" collapsed="false">
      <c r="A361" s="0" t="n">
        <v>10023</v>
      </c>
      <c r="B361" s="0" t="s">
        <v>137</v>
      </c>
      <c r="C361" s="0" t="n">
        <v>361</v>
      </c>
      <c r="D361" s="0" t="n">
        <v>6262003402647</v>
      </c>
      <c r="E361" s="94" t="s">
        <v>386</v>
      </c>
      <c r="F361" s="0" t="n">
        <v>10</v>
      </c>
      <c r="G361" s="0" t="n">
        <v>36</v>
      </c>
      <c r="I361" s="0" t="n">
        <v>360</v>
      </c>
      <c r="J361" s="0" t="n">
        <v>23</v>
      </c>
    </row>
    <row r="362" customFormat="false" ht="15" hidden="false" customHeight="false" outlineLevel="0" collapsed="false">
      <c r="A362" s="0" t="n">
        <v>10023</v>
      </c>
      <c r="B362" s="0" t="s">
        <v>137</v>
      </c>
      <c r="C362" s="0" t="n">
        <v>362</v>
      </c>
      <c r="D362" s="0" t="n">
        <v>6262003400629</v>
      </c>
      <c r="E362" s="0" t="s">
        <v>387</v>
      </c>
      <c r="F362" s="0" t="n">
        <v>6</v>
      </c>
      <c r="G362" s="0" t="n">
        <v>36</v>
      </c>
      <c r="I362" s="0" t="n">
        <v>216</v>
      </c>
      <c r="J362" s="0" t="n">
        <v>24</v>
      </c>
    </row>
    <row r="363" customFormat="false" ht="15" hidden="false" customHeight="false" outlineLevel="0" collapsed="false">
      <c r="A363" s="0" t="n">
        <v>10023</v>
      </c>
      <c r="B363" s="0" t="s">
        <v>137</v>
      </c>
      <c r="C363" s="0" t="n">
        <v>363</v>
      </c>
      <c r="D363" s="0" t="n">
        <v>6262003402647</v>
      </c>
      <c r="E363" s="94" t="s">
        <v>386</v>
      </c>
      <c r="F363" s="0" t="n">
        <v>1</v>
      </c>
      <c r="G363" s="0" t="n">
        <v>36</v>
      </c>
      <c r="I363" s="0" t="n">
        <v>36</v>
      </c>
      <c r="J363" s="0" t="n">
        <v>25</v>
      </c>
    </row>
    <row r="364" customFormat="false" ht="15" hidden="false" customHeight="false" outlineLevel="0" collapsed="false">
      <c r="A364" s="0" t="n">
        <v>10023</v>
      </c>
      <c r="B364" s="0" t="s">
        <v>137</v>
      </c>
      <c r="C364" s="0" t="n">
        <v>364</v>
      </c>
      <c r="D364" s="0" t="n">
        <v>6265826100134</v>
      </c>
      <c r="E364" s="94" t="s">
        <v>388</v>
      </c>
      <c r="F364" s="0" t="n">
        <v>6</v>
      </c>
      <c r="G364" s="0" t="n">
        <v>19</v>
      </c>
      <c r="I364" s="0" t="n">
        <v>114</v>
      </c>
      <c r="J364" s="0" t="n">
        <v>26</v>
      </c>
    </row>
    <row r="365" customFormat="false" ht="15" hidden="false" customHeight="false" outlineLevel="0" collapsed="false">
      <c r="A365" s="0" t="n">
        <v>10023</v>
      </c>
      <c r="B365" s="0" t="s">
        <v>137</v>
      </c>
      <c r="C365" s="0" t="n">
        <v>365</v>
      </c>
      <c r="D365" s="0" t="n">
        <v>6265826100028</v>
      </c>
      <c r="E365" s="94" t="s">
        <v>389</v>
      </c>
      <c r="F365" s="0" t="n">
        <v>5</v>
      </c>
      <c r="G365" s="0" t="n">
        <v>19</v>
      </c>
      <c r="I365" s="0" t="n">
        <v>95</v>
      </c>
      <c r="J365" s="0" t="n">
        <v>27</v>
      </c>
    </row>
    <row r="366" customFormat="false" ht="15" hidden="false" customHeight="false" outlineLevel="0" collapsed="false">
      <c r="A366" s="0" t="n">
        <v>10023</v>
      </c>
      <c r="B366" s="0" t="s">
        <v>137</v>
      </c>
      <c r="C366" s="0" t="n">
        <v>366</v>
      </c>
      <c r="D366" s="0" t="n">
        <v>6269365700077</v>
      </c>
      <c r="E366" s="94" t="s">
        <v>390</v>
      </c>
      <c r="F366" s="0" t="n">
        <v>15</v>
      </c>
      <c r="G366" s="0" t="n">
        <v>17</v>
      </c>
      <c r="I366" s="0" t="n">
        <v>255</v>
      </c>
      <c r="J366" s="0" t="n">
        <v>28</v>
      </c>
    </row>
    <row r="367" customFormat="false" ht="15" hidden="false" customHeight="false" outlineLevel="0" collapsed="false">
      <c r="A367" s="0" t="n">
        <v>10023</v>
      </c>
      <c r="B367" s="0" t="s">
        <v>137</v>
      </c>
      <c r="C367" s="0" t="n">
        <v>367</v>
      </c>
      <c r="D367" s="0" t="n">
        <v>6269365700091</v>
      </c>
      <c r="E367" s="94" t="s">
        <v>391</v>
      </c>
      <c r="F367" s="0" t="n">
        <v>29</v>
      </c>
      <c r="G367" s="0" t="n">
        <v>17</v>
      </c>
      <c r="I367" s="0" t="n">
        <v>493</v>
      </c>
      <c r="J367" s="0" t="n">
        <v>29</v>
      </c>
    </row>
    <row r="368" customFormat="false" ht="15" hidden="false" customHeight="false" outlineLevel="0" collapsed="false">
      <c r="A368" s="0" t="n">
        <v>10023</v>
      </c>
      <c r="B368" s="0" t="s">
        <v>137</v>
      </c>
      <c r="C368" s="0" t="n">
        <v>368</v>
      </c>
      <c r="D368" s="0" t="n">
        <v>6262003401954</v>
      </c>
      <c r="E368" s="94" t="s">
        <v>392</v>
      </c>
      <c r="F368" s="0" t="n">
        <v>1</v>
      </c>
      <c r="G368" s="0" t="n">
        <v>53</v>
      </c>
      <c r="I368" s="0" t="n">
        <v>53</v>
      </c>
      <c r="J368" s="0" t="n">
        <v>30</v>
      </c>
    </row>
    <row r="369" customFormat="false" ht="15" hidden="false" customHeight="false" outlineLevel="0" collapsed="false">
      <c r="A369" s="0" t="n">
        <v>10023</v>
      </c>
      <c r="B369" s="0" t="s">
        <v>137</v>
      </c>
      <c r="C369" s="0" t="n">
        <v>369</v>
      </c>
      <c r="D369" s="0" t="n">
        <v>6262003401961</v>
      </c>
      <c r="E369" s="94" t="s">
        <v>393</v>
      </c>
      <c r="F369" s="0" t="n">
        <v>6</v>
      </c>
      <c r="G369" s="0" t="n">
        <v>53</v>
      </c>
      <c r="I369" s="0" t="n">
        <v>318</v>
      </c>
      <c r="J369" s="0" t="n">
        <v>31</v>
      </c>
    </row>
    <row r="370" customFormat="false" ht="15" hidden="false" customHeight="false" outlineLevel="0" collapsed="false">
      <c r="A370" s="0" t="n">
        <v>10023</v>
      </c>
      <c r="B370" s="0" t="s">
        <v>137</v>
      </c>
      <c r="C370" s="0" t="n">
        <v>370</v>
      </c>
      <c r="D370" s="0" t="n">
        <v>6269365700152</v>
      </c>
      <c r="E370" s="94" t="s">
        <v>394</v>
      </c>
      <c r="F370" s="0" t="n">
        <v>10</v>
      </c>
      <c r="G370" s="0" t="n">
        <v>18</v>
      </c>
      <c r="I370" s="0" t="n">
        <v>180</v>
      </c>
      <c r="J370" s="0" t="n">
        <v>32</v>
      </c>
    </row>
    <row r="371" customFormat="false" ht="15" hidden="false" customHeight="false" outlineLevel="0" collapsed="false">
      <c r="A371" s="0" t="n">
        <v>10023</v>
      </c>
      <c r="B371" s="0" t="s">
        <v>137</v>
      </c>
      <c r="C371" s="0" t="n">
        <v>371</v>
      </c>
      <c r="D371" s="0" t="n">
        <v>6269365700084</v>
      </c>
      <c r="E371" s="94" t="s">
        <v>395</v>
      </c>
      <c r="F371" s="0" t="n">
        <v>7</v>
      </c>
      <c r="G371" s="0" t="n">
        <v>17</v>
      </c>
      <c r="I371" s="0" t="n">
        <v>119</v>
      </c>
      <c r="J371" s="0" t="n">
        <v>33</v>
      </c>
    </row>
    <row r="372" customFormat="false" ht="15" hidden="false" customHeight="false" outlineLevel="0" collapsed="false">
      <c r="A372" s="0" t="n">
        <v>10023</v>
      </c>
      <c r="B372" s="0" t="s">
        <v>137</v>
      </c>
      <c r="C372" s="0" t="n">
        <v>372</v>
      </c>
      <c r="D372" s="0" t="n">
        <v>6263336000012</v>
      </c>
      <c r="E372" s="94" t="s">
        <v>396</v>
      </c>
      <c r="F372" s="0" t="n">
        <v>5</v>
      </c>
      <c r="G372" s="0" t="n">
        <v>30</v>
      </c>
      <c r="I372" s="0" t="n">
        <v>150</v>
      </c>
      <c r="J372" s="0" t="n">
        <v>34</v>
      </c>
    </row>
    <row r="373" customFormat="false" ht="15" hidden="false" customHeight="false" outlineLevel="0" collapsed="false">
      <c r="A373" s="0" t="n">
        <v>10023</v>
      </c>
      <c r="B373" s="0" t="s">
        <v>137</v>
      </c>
      <c r="C373" s="0" t="n">
        <v>373</v>
      </c>
      <c r="D373" s="0" t="n">
        <v>6269365700251</v>
      </c>
      <c r="E373" s="94" t="s">
        <v>397</v>
      </c>
      <c r="F373" s="0" t="n">
        <v>5</v>
      </c>
      <c r="G373" s="0" t="n">
        <v>19</v>
      </c>
      <c r="I373" s="0" t="n">
        <v>95</v>
      </c>
      <c r="J373" s="0" t="n">
        <v>35</v>
      </c>
    </row>
    <row r="374" customFormat="false" ht="15" hidden="false" customHeight="false" outlineLevel="0" collapsed="false">
      <c r="A374" s="0" t="n">
        <v>10023</v>
      </c>
      <c r="B374" s="0" t="s">
        <v>137</v>
      </c>
      <c r="C374" s="0" t="n">
        <v>374</v>
      </c>
      <c r="D374" s="0" t="n">
        <v>6268167900012</v>
      </c>
      <c r="E374" s="94" t="s">
        <v>398</v>
      </c>
      <c r="F374" s="0" t="n">
        <v>3</v>
      </c>
      <c r="G374" s="0" t="n">
        <v>21</v>
      </c>
      <c r="I374" s="0" t="n">
        <v>63</v>
      </c>
      <c r="J374" s="0" t="n">
        <v>36</v>
      </c>
    </row>
    <row r="375" customFormat="false" ht="15" hidden="false" customHeight="false" outlineLevel="0" collapsed="false">
      <c r="A375" s="0" t="n">
        <v>10023</v>
      </c>
      <c r="B375" s="0" t="s">
        <v>137</v>
      </c>
      <c r="C375" s="0" t="n">
        <v>375</v>
      </c>
      <c r="D375" s="0" t="n">
        <v>6268167900050</v>
      </c>
      <c r="E375" s="94" t="s">
        <v>399</v>
      </c>
      <c r="F375" s="0" t="n">
        <v>7</v>
      </c>
      <c r="G375" s="0" t="n">
        <v>21.5</v>
      </c>
      <c r="I375" s="0" t="n">
        <v>150.5</v>
      </c>
      <c r="J375" s="0" t="n">
        <v>37</v>
      </c>
    </row>
    <row r="376" customFormat="false" ht="15" hidden="false" customHeight="false" outlineLevel="0" collapsed="false">
      <c r="A376" s="0" t="n">
        <v>10026</v>
      </c>
      <c r="B376" s="0" t="s">
        <v>95</v>
      </c>
      <c r="C376" s="0" t="n">
        <v>376</v>
      </c>
      <c r="D376" s="0" t="n">
        <v>6260543504289</v>
      </c>
      <c r="E376" s="94" t="s">
        <v>301</v>
      </c>
      <c r="F376" s="0" t="n">
        <v>1</v>
      </c>
      <c r="G376" s="0" t="n">
        <v>15</v>
      </c>
      <c r="I376" s="0" t="n">
        <v>15</v>
      </c>
      <c r="J376" s="0" t="n">
        <v>7</v>
      </c>
    </row>
    <row r="377" customFormat="false" ht="15" hidden="false" customHeight="false" outlineLevel="0" collapsed="false">
      <c r="A377" s="0" t="n">
        <v>10026</v>
      </c>
      <c r="B377" s="0" t="s">
        <v>95</v>
      </c>
      <c r="C377" s="0" t="n">
        <v>377</v>
      </c>
      <c r="D377" s="0" t="n">
        <v>6260543503855</v>
      </c>
      <c r="E377" s="94" t="s">
        <v>362</v>
      </c>
      <c r="F377" s="0" t="n">
        <v>1</v>
      </c>
      <c r="G377" s="0" t="n">
        <v>5</v>
      </c>
      <c r="I377" s="0" t="n">
        <v>5</v>
      </c>
      <c r="J377" s="0" t="n">
        <v>8</v>
      </c>
    </row>
    <row r="378" customFormat="false" ht="15" hidden="false" customHeight="false" outlineLevel="0" collapsed="false">
      <c r="A378" s="0" t="n">
        <v>10026</v>
      </c>
      <c r="B378" s="0" t="s">
        <v>95</v>
      </c>
      <c r="C378" s="0" t="n">
        <v>378</v>
      </c>
      <c r="D378" s="0" t="n">
        <v>6260268400170</v>
      </c>
      <c r="E378" s="94" t="s">
        <v>270</v>
      </c>
      <c r="F378" s="0" t="n">
        <v>1</v>
      </c>
      <c r="G378" s="0" t="n">
        <v>15</v>
      </c>
      <c r="I378" s="0" t="n">
        <v>15</v>
      </c>
      <c r="J378" s="0" t="n">
        <v>9</v>
      </c>
    </row>
    <row r="379" customFormat="false" ht="15" hidden="false" customHeight="false" outlineLevel="0" collapsed="false">
      <c r="A379" s="0" t="n">
        <v>10026</v>
      </c>
      <c r="B379" s="0" t="s">
        <v>95</v>
      </c>
      <c r="C379" s="0" t="n">
        <v>379</v>
      </c>
      <c r="D379" s="0" t="n">
        <v>1169910018400000</v>
      </c>
      <c r="E379" s="94" t="s">
        <v>338</v>
      </c>
      <c r="F379" s="0" t="n">
        <v>1</v>
      </c>
      <c r="G379" s="0" t="n">
        <v>1</v>
      </c>
      <c r="I379" s="0" t="n">
        <v>1</v>
      </c>
      <c r="J379" s="0" t="n">
        <v>10</v>
      </c>
    </row>
    <row r="380" customFormat="false" ht="15" hidden="false" customHeight="false" outlineLevel="0" collapsed="false">
      <c r="A380" s="0" t="n">
        <v>10026</v>
      </c>
      <c r="B380" s="0" t="s">
        <v>95</v>
      </c>
      <c r="C380" s="0" t="n">
        <v>380</v>
      </c>
      <c r="D380" s="0" t="n">
        <v>6262477911157</v>
      </c>
      <c r="E380" s="94" t="s">
        <v>372</v>
      </c>
      <c r="F380" s="0" t="n">
        <v>1</v>
      </c>
      <c r="G380" s="0" t="n">
        <v>20</v>
      </c>
      <c r="I380" s="0" t="n">
        <v>20</v>
      </c>
      <c r="J380" s="0" t="n">
        <v>11</v>
      </c>
    </row>
    <row r="381" customFormat="false" ht="15" hidden="false" customHeight="false" outlineLevel="0" collapsed="false">
      <c r="A381" s="0" t="n">
        <v>10026</v>
      </c>
      <c r="B381" s="0" t="s">
        <v>95</v>
      </c>
      <c r="C381" s="0" t="n">
        <v>381</v>
      </c>
      <c r="D381" s="0" t="n">
        <v>6260575902404</v>
      </c>
      <c r="E381" s="94" t="s">
        <v>295</v>
      </c>
      <c r="F381" s="0" t="n">
        <v>1</v>
      </c>
      <c r="G381" s="0" t="n">
        <v>5</v>
      </c>
      <c r="I381" s="0" t="n">
        <v>5</v>
      </c>
      <c r="J381" s="0" t="n">
        <v>12</v>
      </c>
    </row>
    <row r="382" customFormat="false" ht="15" hidden="false" customHeight="false" outlineLevel="0" collapsed="false">
      <c r="A382" s="0" t="n">
        <v>10026</v>
      </c>
      <c r="B382" s="0" t="s">
        <v>95</v>
      </c>
      <c r="C382" s="0" t="n">
        <v>382</v>
      </c>
      <c r="D382" s="0" t="n">
        <v>6261149065112</v>
      </c>
      <c r="E382" s="94" t="s">
        <v>374</v>
      </c>
      <c r="F382" s="0" t="n">
        <v>1</v>
      </c>
      <c r="G382" s="0" t="n">
        <v>5</v>
      </c>
      <c r="I382" s="0" t="n">
        <v>5</v>
      </c>
      <c r="J382" s="0" t="n">
        <v>13</v>
      </c>
    </row>
    <row r="383" customFormat="false" ht="15" hidden="false" customHeight="false" outlineLevel="0" collapsed="false">
      <c r="A383" s="0" t="n">
        <v>10026</v>
      </c>
      <c r="B383" s="0" t="s">
        <v>95</v>
      </c>
      <c r="C383" s="0" t="n">
        <v>383</v>
      </c>
      <c r="D383" s="0" t="n">
        <v>5200</v>
      </c>
      <c r="E383" s="94" t="s">
        <v>323</v>
      </c>
      <c r="F383" s="0" t="n">
        <v>1</v>
      </c>
      <c r="G383" s="0" t="n">
        <v>1</v>
      </c>
      <c r="I383" s="0" t="n">
        <v>1</v>
      </c>
      <c r="J383" s="0" t="n">
        <v>14</v>
      </c>
    </row>
    <row r="384" customFormat="false" ht="15" hidden="false" customHeight="false" outlineLevel="0" collapsed="false">
      <c r="A384" s="0" t="n">
        <v>10023</v>
      </c>
      <c r="B384" s="0" t="s">
        <v>137</v>
      </c>
      <c r="C384" s="0" t="n">
        <v>384</v>
      </c>
      <c r="D384" s="0" t="n">
        <v>6268666400556</v>
      </c>
      <c r="E384" s="94" t="s">
        <v>400</v>
      </c>
      <c r="F384" s="0" t="n">
        <v>14</v>
      </c>
      <c r="G384" s="0" t="n">
        <v>10</v>
      </c>
      <c r="I384" s="0" t="n">
        <v>140</v>
      </c>
      <c r="J384" s="0" t="n">
        <v>38</v>
      </c>
    </row>
    <row r="385" customFormat="false" ht="15" hidden="false" customHeight="false" outlineLevel="0" collapsed="false">
      <c r="A385" s="0" t="n">
        <v>10023</v>
      </c>
      <c r="B385" s="0" t="s">
        <v>137</v>
      </c>
      <c r="C385" s="0" t="n">
        <v>385</v>
      </c>
      <c r="D385" s="0" t="n">
        <v>6268666401553</v>
      </c>
      <c r="E385" s="94" t="s">
        <v>401</v>
      </c>
      <c r="F385" s="0" t="n">
        <v>5</v>
      </c>
      <c r="G385" s="0" t="n">
        <v>10</v>
      </c>
      <c r="I385" s="0" t="n">
        <v>50</v>
      </c>
      <c r="J385" s="0" t="n">
        <v>39</v>
      </c>
    </row>
    <row r="386" customFormat="false" ht="15" hidden="false" customHeight="false" outlineLevel="0" collapsed="false">
      <c r="A386" s="0" t="n">
        <v>10023</v>
      </c>
      <c r="B386" s="0" t="s">
        <v>137</v>
      </c>
      <c r="C386" s="0" t="n">
        <v>386</v>
      </c>
      <c r="D386" s="0" t="n">
        <v>6262003400124</v>
      </c>
      <c r="E386" s="94" t="s">
        <v>402</v>
      </c>
      <c r="F386" s="0" t="n">
        <v>2</v>
      </c>
      <c r="G386" s="0" t="n">
        <v>35</v>
      </c>
      <c r="I386" s="0" t="n">
        <v>70</v>
      </c>
      <c r="J386" s="0" t="n">
        <v>40</v>
      </c>
    </row>
    <row r="387" customFormat="false" ht="15" hidden="false" customHeight="false" outlineLevel="0" collapsed="false">
      <c r="A387" s="0" t="n">
        <v>10023</v>
      </c>
      <c r="B387" s="0" t="s">
        <v>137</v>
      </c>
      <c r="C387" s="0" t="n">
        <v>387</v>
      </c>
      <c r="D387" s="0" t="n">
        <v>6261204000164</v>
      </c>
      <c r="E387" s="94" t="s">
        <v>403</v>
      </c>
      <c r="F387" s="0" t="n">
        <v>6</v>
      </c>
      <c r="G387" s="0" t="n">
        <v>16</v>
      </c>
      <c r="I387" s="0" t="n">
        <v>96</v>
      </c>
      <c r="J387" s="0" t="n">
        <v>41</v>
      </c>
    </row>
    <row r="388" customFormat="false" ht="15" hidden="false" customHeight="false" outlineLevel="0" collapsed="false">
      <c r="A388" s="0" t="n">
        <v>10023</v>
      </c>
      <c r="B388" s="0" t="s">
        <v>137</v>
      </c>
      <c r="C388" s="0" t="n">
        <v>388</v>
      </c>
      <c r="D388" s="0" t="n">
        <v>6260931400834</v>
      </c>
      <c r="E388" s="94" t="s">
        <v>404</v>
      </c>
      <c r="F388" s="0" t="n">
        <v>2</v>
      </c>
      <c r="G388" s="0" t="n">
        <v>30</v>
      </c>
      <c r="I388" s="0" t="n">
        <v>60</v>
      </c>
      <c r="J388" s="0" t="n">
        <v>42</v>
      </c>
    </row>
    <row r="389" customFormat="false" ht="15" hidden="false" customHeight="false" outlineLevel="0" collapsed="false">
      <c r="A389" s="0" t="n">
        <v>10023</v>
      </c>
      <c r="B389" s="0" t="s">
        <v>137</v>
      </c>
      <c r="C389" s="0" t="n">
        <v>389</v>
      </c>
      <c r="D389" s="0" t="n">
        <v>6268666401188</v>
      </c>
      <c r="E389" s="94" t="s">
        <v>405</v>
      </c>
      <c r="F389" s="0" t="n">
        <v>3</v>
      </c>
      <c r="G389" s="0" t="n">
        <v>14</v>
      </c>
      <c r="I389" s="0" t="n">
        <v>42</v>
      </c>
      <c r="J389" s="0" t="n">
        <v>43</v>
      </c>
    </row>
    <row r="390" customFormat="false" ht="15" hidden="false" customHeight="false" outlineLevel="0" collapsed="false">
      <c r="A390" s="0" t="n">
        <v>10023</v>
      </c>
      <c r="B390" s="0" t="s">
        <v>137</v>
      </c>
      <c r="C390" s="0" t="n">
        <v>390</v>
      </c>
      <c r="D390" s="0" t="n">
        <v>6261204000133</v>
      </c>
      <c r="E390" s="94" t="s">
        <v>406</v>
      </c>
      <c r="F390" s="0" t="n">
        <v>4</v>
      </c>
      <c r="G390" s="0" t="n">
        <v>16</v>
      </c>
      <c r="I390" s="0" t="n">
        <v>64</v>
      </c>
      <c r="J390" s="0" t="n">
        <v>44</v>
      </c>
    </row>
    <row r="391" customFormat="false" ht="15" hidden="false" customHeight="false" outlineLevel="0" collapsed="false">
      <c r="A391" s="0" t="n">
        <v>10023</v>
      </c>
      <c r="B391" s="0" t="s">
        <v>137</v>
      </c>
      <c r="C391" s="0" t="n">
        <v>391</v>
      </c>
      <c r="D391" s="0" t="n">
        <v>6268612400074</v>
      </c>
      <c r="E391" s="94" t="s">
        <v>407</v>
      </c>
      <c r="F391" s="0" t="n">
        <v>5</v>
      </c>
      <c r="G391" s="0" t="n">
        <v>35</v>
      </c>
      <c r="I391" s="0" t="n">
        <v>175</v>
      </c>
      <c r="J391" s="0" t="n">
        <v>45</v>
      </c>
    </row>
    <row r="392" customFormat="false" ht="15" hidden="false" customHeight="false" outlineLevel="0" collapsed="false">
      <c r="A392" s="0" t="n">
        <v>10023</v>
      </c>
      <c r="B392" s="0" t="s">
        <v>137</v>
      </c>
      <c r="C392" s="0" t="n">
        <v>392</v>
      </c>
      <c r="D392" s="0" t="n">
        <v>6265826100844</v>
      </c>
      <c r="E392" s="94" t="s">
        <v>408</v>
      </c>
      <c r="F392" s="0" t="n">
        <v>1</v>
      </c>
      <c r="G392" s="0" t="n">
        <v>17</v>
      </c>
      <c r="I392" s="0" t="n">
        <v>17</v>
      </c>
      <c r="J392" s="0" t="n">
        <v>46</v>
      </c>
    </row>
    <row r="393" customFormat="false" ht="15" hidden="false" customHeight="false" outlineLevel="0" collapsed="false">
      <c r="A393" s="0" t="n">
        <v>10023</v>
      </c>
      <c r="B393" s="0" t="s">
        <v>137</v>
      </c>
      <c r="C393" s="0" t="n">
        <v>393</v>
      </c>
      <c r="D393" s="0" t="n">
        <v>6265826100837</v>
      </c>
      <c r="E393" s="94" t="s">
        <v>409</v>
      </c>
      <c r="F393" s="0" t="n">
        <v>4</v>
      </c>
      <c r="G393" s="0" t="n">
        <v>17</v>
      </c>
      <c r="I393" s="0" t="n">
        <v>68</v>
      </c>
      <c r="J393" s="0" t="n">
        <v>47</v>
      </c>
    </row>
    <row r="394" customFormat="false" ht="15" hidden="false" customHeight="false" outlineLevel="0" collapsed="false">
      <c r="A394" s="0" t="n">
        <v>10023</v>
      </c>
      <c r="B394" s="0" t="s">
        <v>137</v>
      </c>
      <c r="C394" s="0" t="n">
        <v>394</v>
      </c>
      <c r="D394" s="0" t="n">
        <v>6265826100868</v>
      </c>
      <c r="E394" s="94" t="s">
        <v>410</v>
      </c>
      <c r="F394" s="0" t="n">
        <v>9</v>
      </c>
      <c r="G394" s="0" t="n">
        <v>17</v>
      </c>
      <c r="I394" s="0" t="n">
        <v>153</v>
      </c>
      <c r="J394" s="0" t="n">
        <v>48</v>
      </c>
    </row>
    <row r="395" customFormat="false" ht="15" hidden="false" customHeight="false" outlineLevel="0" collapsed="false">
      <c r="A395" s="0" t="n">
        <v>10027</v>
      </c>
      <c r="B395" s="0" t="s">
        <v>95</v>
      </c>
      <c r="C395" s="0" t="n">
        <v>395</v>
      </c>
      <c r="D395" s="0" t="n">
        <v>6260806400068</v>
      </c>
      <c r="E395" s="94" t="s">
        <v>161</v>
      </c>
      <c r="F395" s="0" t="n">
        <v>3</v>
      </c>
      <c r="G395" s="0" t="n">
        <v>35</v>
      </c>
      <c r="I395" s="0" t="n">
        <v>105</v>
      </c>
      <c r="J395" s="0" t="n">
        <v>7</v>
      </c>
    </row>
    <row r="396" customFormat="false" ht="15" hidden="false" customHeight="false" outlineLevel="0" collapsed="false">
      <c r="A396" s="0" t="n">
        <v>10027</v>
      </c>
      <c r="B396" s="0" t="s">
        <v>95</v>
      </c>
      <c r="C396" s="0" t="n">
        <v>396</v>
      </c>
      <c r="D396" s="0" t="n">
        <v>6260806400020</v>
      </c>
      <c r="E396" s="94" t="s">
        <v>309</v>
      </c>
      <c r="F396" s="0" t="n">
        <v>3</v>
      </c>
      <c r="G396" s="0" t="n">
        <v>45</v>
      </c>
      <c r="I396" s="0" t="n">
        <v>135</v>
      </c>
      <c r="J396" s="0" t="n">
        <v>8</v>
      </c>
    </row>
    <row r="397" customFormat="false" ht="15" hidden="false" customHeight="false" outlineLevel="0" collapsed="false">
      <c r="A397" s="0" t="n">
        <v>10027</v>
      </c>
      <c r="B397" s="0" t="s">
        <v>95</v>
      </c>
      <c r="C397" s="0" t="n">
        <v>397</v>
      </c>
      <c r="D397" s="0" t="n">
        <v>6260002931380</v>
      </c>
      <c r="E397" s="94" t="s">
        <v>229</v>
      </c>
      <c r="F397" s="0" t="n">
        <v>3</v>
      </c>
      <c r="G397" s="0" t="n">
        <v>16</v>
      </c>
      <c r="I397" s="0" t="n">
        <v>48</v>
      </c>
      <c r="J397" s="0" t="n">
        <v>9</v>
      </c>
    </row>
    <row r="398" customFormat="false" ht="15" hidden="false" customHeight="false" outlineLevel="0" collapsed="false">
      <c r="A398" s="0" t="n">
        <v>10027</v>
      </c>
      <c r="B398" s="0" t="s">
        <v>95</v>
      </c>
      <c r="C398" s="0" t="n">
        <v>398</v>
      </c>
      <c r="D398" s="0" t="n">
        <v>3500</v>
      </c>
      <c r="E398" s="94" t="s">
        <v>204</v>
      </c>
      <c r="F398" s="0" t="n">
        <v>1</v>
      </c>
      <c r="G398" s="0" t="n">
        <v>40</v>
      </c>
      <c r="I398" s="0" t="n">
        <v>40</v>
      </c>
      <c r="J398" s="0" t="n">
        <v>10</v>
      </c>
    </row>
    <row r="399" customFormat="false" ht="15" hidden="false" customHeight="false" outlineLevel="0" collapsed="false">
      <c r="A399" s="0" t="n">
        <v>10028</v>
      </c>
      <c r="B399" s="0" t="s">
        <v>95</v>
      </c>
      <c r="C399" s="0" t="n">
        <v>399</v>
      </c>
      <c r="D399" s="0" t="n">
        <v>6265663103961</v>
      </c>
      <c r="E399" s="94" t="s">
        <v>361</v>
      </c>
      <c r="F399" s="0" t="n">
        <v>2</v>
      </c>
      <c r="G399" s="0" t="n">
        <v>15</v>
      </c>
      <c r="I399" s="0" t="n">
        <v>30</v>
      </c>
      <c r="J399" s="0" t="n">
        <v>7</v>
      </c>
    </row>
    <row r="400" customFormat="false" ht="15" hidden="false" customHeight="false" outlineLevel="0" collapsed="false">
      <c r="A400" s="0" t="n">
        <v>10029</v>
      </c>
      <c r="B400" s="0" t="s">
        <v>95</v>
      </c>
      <c r="C400" s="0" t="n">
        <v>400</v>
      </c>
      <c r="D400" s="0" t="n">
        <v>6261005000257</v>
      </c>
      <c r="E400" s="94" t="s">
        <v>186</v>
      </c>
      <c r="F400" s="0" t="n">
        <v>1</v>
      </c>
      <c r="G400" s="0" t="n">
        <v>45</v>
      </c>
      <c r="I400" s="0" t="n">
        <v>45</v>
      </c>
      <c r="J400" s="0" t="n">
        <v>7</v>
      </c>
    </row>
    <row r="401" customFormat="false" ht="15" hidden="false" customHeight="false" outlineLevel="0" collapsed="false">
      <c r="A401" s="0" t="n">
        <v>10030</v>
      </c>
      <c r="B401" s="0" t="s">
        <v>137</v>
      </c>
      <c r="C401" s="0" t="n">
        <v>401</v>
      </c>
      <c r="D401" s="0" t="n">
        <v>6260004276212</v>
      </c>
      <c r="E401" s="94" t="s">
        <v>411</v>
      </c>
      <c r="F401" s="0" t="n">
        <v>40</v>
      </c>
      <c r="G401" s="0" t="n">
        <v>15</v>
      </c>
      <c r="I401" s="0" t="n">
        <v>600</v>
      </c>
      <c r="J401" s="0" t="n">
        <v>7</v>
      </c>
    </row>
    <row r="402" customFormat="false" ht="15" hidden="false" customHeight="false" outlineLevel="0" collapsed="false">
      <c r="A402" s="0" t="n">
        <v>10030</v>
      </c>
      <c r="B402" s="0" t="s">
        <v>137</v>
      </c>
      <c r="C402" s="0" t="n">
        <v>402</v>
      </c>
      <c r="D402" s="0" t="n">
        <v>6269893300695</v>
      </c>
      <c r="E402" s="94" t="s">
        <v>412</v>
      </c>
      <c r="F402" s="0" t="n">
        <v>6</v>
      </c>
      <c r="G402" s="0" t="n">
        <v>7</v>
      </c>
      <c r="I402" s="0" t="n">
        <v>42</v>
      </c>
      <c r="J402" s="0" t="n">
        <v>8</v>
      </c>
    </row>
    <row r="403" customFormat="false" ht="15" hidden="false" customHeight="false" outlineLevel="0" collapsed="false">
      <c r="A403" s="0" t="n">
        <v>10030</v>
      </c>
      <c r="B403" s="0" t="s">
        <v>137</v>
      </c>
      <c r="C403" s="0" t="n">
        <v>403</v>
      </c>
      <c r="D403" s="0" t="n">
        <v>6262532300070</v>
      </c>
      <c r="E403" s="94" t="s">
        <v>413</v>
      </c>
      <c r="F403" s="0" t="n">
        <v>21</v>
      </c>
      <c r="G403" s="0" t="n">
        <v>15</v>
      </c>
      <c r="I403" s="0" t="n">
        <v>315</v>
      </c>
      <c r="J403" s="0" t="n">
        <v>9</v>
      </c>
    </row>
    <row r="404" customFormat="false" ht="15" hidden="false" customHeight="false" outlineLevel="0" collapsed="false">
      <c r="A404" s="0" t="n">
        <v>10030</v>
      </c>
      <c r="B404" s="0" t="s">
        <v>137</v>
      </c>
      <c r="C404" s="0" t="n">
        <v>404</v>
      </c>
      <c r="D404" s="0" t="n">
        <v>6262532300087</v>
      </c>
      <c r="E404" s="94" t="s">
        <v>414</v>
      </c>
      <c r="F404" s="0" t="n">
        <v>1</v>
      </c>
      <c r="G404" s="0" t="n">
        <v>12</v>
      </c>
      <c r="I404" s="0" t="n">
        <v>12</v>
      </c>
      <c r="J404" s="0" t="n">
        <v>10</v>
      </c>
    </row>
    <row r="405" customFormat="false" ht="15" hidden="false" customHeight="false" outlineLevel="0" collapsed="false">
      <c r="A405" s="0" t="n">
        <v>10030</v>
      </c>
      <c r="B405" s="0" t="s">
        <v>137</v>
      </c>
      <c r="C405" s="0" t="n">
        <v>405</v>
      </c>
      <c r="D405" s="0" t="n">
        <v>6262167101516</v>
      </c>
      <c r="E405" s="94" t="s">
        <v>415</v>
      </c>
      <c r="F405" s="0" t="n">
        <v>9</v>
      </c>
      <c r="G405" s="0" t="n">
        <v>25</v>
      </c>
      <c r="I405" s="0" t="n">
        <v>225</v>
      </c>
      <c r="J405" s="0" t="n">
        <v>11</v>
      </c>
    </row>
    <row r="406" customFormat="false" ht="15" hidden="false" customHeight="false" outlineLevel="0" collapsed="false">
      <c r="A406" s="0" t="n">
        <v>10030</v>
      </c>
      <c r="B406" s="0" t="s">
        <v>137</v>
      </c>
      <c r="C406" s="0" t="n">
        <v>406</v>
      </c>
      <c r="D406" s="0" t="n">
        <v>162810216710010</v>
      </c>
      <c r="E406" s="94" t="s">
        <v>415</v>
      </c>
      <c r="F406" s="0" t="n">
        <v>9</v>
      </c>
      <c r="G406" s="0" t="n">
        <v>25</v>
      </c>
      <c r="I406" s="0" t="n">
        <v>225</v>
      </c>
      <c r="J406" s="0" t="n">
        <v>12</v>
      </c>
    </row>
    <row r="407" customFormat="false" ht="15" hidden="false" customHeight="false" outlineLevel="0" collapsed="false">
      <c r="A407" s="0" t="n">
        <v>10031</v>
      </c>
      <c r="B407" s="0" t="s">
        <v>95</v>
      </c>
      <c r="C407" s="0" t="n">
        <v>407</v>
      </c>
      <c r="D407" s="0" t="n">
        <v>6269365700084</v>
      </c>
      <c r="E407" s="94" t="s">
        <v>395</v>
      </c>
      <c r="F407" s="0" t="n">
        <v>1</v>
      </c>
      <c r="G407" s="0" t="n">
        <v>18</v>
      </c>
      <c r="I407" s="0" t="n">
        <v>18</v>
      </c>
      <c r="J407" s="0" t="n">
        <v>7</v>
      </c>
    </row>
    <row r="408" customFormat="false" ht="15" hidden="false" customHeight="false" outlineLevel="0" collapsed="false">
      <c r="A408" s="0" t="n">
        <v>10032</v>
      </c>
      <c r="B408" s="0" t="s">
        <v>137</v>
      </c>
      <c r="C408" s="0" t="n">
        <v>408</v>
      </c>
      <c r="D408" s="0" t="n">
        <v>6260063202139</v>
      </c>
      <c r="E408" s="94" t="s">
        <v>416</v>
      </c>
      <c r="F408" s="0" t="n">
        <v>32</v>
      </c>
      <c r="G408" s="0" t="n">
        <v>12.8</v>
      </c>
      <c r="I408" s="0" t="n">
        <v>409.6</v>
      </c>
      <c r="J408" s="0" t="n">
        <v>7</v>
      </c>
    </row>
    <row r="409" customFormat="false" ht="15" hidden="false" customHeight="false" outlineLevel="0" collapsed="false">
      <c r="A409" s="0" t="n">
        <v>10032</v>
      </c>
      <c r="B409" s="0" t="s">
        <v>137</v>
      </c>
      <c r="C409" s="0" t="n">
        <v>409</v>
      </c>
      <c r="D409" s="0" t="n">
        <v>6261163400036</v>
      </c>
      <c r="E409" s="94" t="s">
        <v>417</v>
      </c>
      <c r="F409" s="0" t="n">
        <v>15</v>
      </c>
      <c r="G409" s="0" t="n">
        <v>17.5</v>
      </c>
      <c r="I409" s="0" t="n">
        <v>262.5</v>
      </c>
      <c r="J409" s="0" t="n">
        <v>8</v>
      </c>
    </row>
    <row r="410" customFormat="false" ht="15" hidden="false" customHeight="false" outlineLevel="0" collapsed="false">
      <c r="A410" s="0" t="n">
        <v>10032</v>
      </c>
      <c r="B410" s="0" t="s">
        <v>137</v>
      </c>
      <c r="C410" s="0" t="n">
        <v>410</v>
      </c>
      <c r="D410" s="0" t="n">
        <v>6261163400197</v>
      </c>
      <c r="E410" s="94" t="s">
        <v>418</v>
      </c>
      <c r="F410" s="0" t="n">
        <v>3</v>
      </c>
      <c r="G410" s="0" t="n">
        <v>15</v>
      </c>
      <c r="I410" s="0" t="n">
        <v>45</v>
      </c>
      <c r="J410" s="0" t="n">
        <v>9</v>
      </c>
    </row>
    <row r="411" customFormat="false" ht="15" hidden="false" customHeight="false" outlineLevel="0" collapsed="false">
      <c r="A411" s="0" t="n">
        <v>10032</v>
      </c>
      <c r="B411" s="0" t="s">
        <v>137</v>
      </c>
      <c r="C411" s="0" t="n">
        <v>411</v>
      </c>
      <c r="D411" s="0" t="n">
        <v>6261163400197</v>
      </c>
      <c r="E411" s="94" t="s">
        <v>418</v>
      </c>
      <c r="F411" s="0" t="n">
        <v>1</v>
      </c>
      <c r="G411" s="0" t="n">
        <v>15</v>
      </c>
      <c r="I411" s="0" t="n">
        <v>15</v>
      </c>
      <c r="J411" s="0" t="n">
        <v>10</v>
      </c>
    </row>
    <row r="412" customFormat="false" ht="15" hidden="false" customHeight="false" outlineLevel="0" collapsed="false">
      <c r="A412" s="0" t="n">
        <v>10032</v>
      </c>
      <c r="B412" s="0" t="s">
        <v>137</v>
      </c>
      <c r="C412" s="0" t="n">
        <v>412</v>
      </c>
      <c r="D412" s="0" t="n">
        <v>6260063202139</v>
      </c>
      <c r="E412" s="94" t="s">
        <v>416</v>
      </c>
      <c r="F412" s="0" t="n">
        <v>1</v>
      </c>
      <c r="G412" s="0" t="n">
        <v>12.8</v>
      </c>
      <c r="I412" s="0" t="n">
        <v>12.8</v>
      </c>
      <c r="J412" s="0" t="n">
        <v>11</v>
      </c>
    </row>
    <row r="413" customFormat="false" ht="15" hidden="false" customHeight="false" outlineLevel="0" collapsed="false">
      <c r="A413" s="0" t="n">
        <v>10032</v>
      </c>
      <c r="B413" s="0" t="s">
        <v>137</v>
      </c>
      <c r="C413" s="0" t="n">
        <v>413</v>
      </c>
      <c r="D413" s="0" t="n">
        <v>6260063298149</v>
      </c>
      <c r="E413" s="94" t="s">
        <v>419</v>
      </c>
      <c r="F413" s="0" t="n">
        <v>25</v>
      </c>
      <c r="G413" s="0" t="n">
        <v>12.8</v>
      </c>
      <c r="I413" s="0" t="n">
        <v>320</v>
      </c>
      <c r="J413" s="0" t="n">
        <v>12</v>
      </c>
    </row>
    <row r="414" customFormat="false" ht="15" hidden="false" customHeight="false" outlineLevel="0" collapsed="false">
      <c r="A414" s="0" t="n">
        <v>10032</v>
      </c>
      <c r="B414" s="0" t="s">
        <v>137</v>
      </c>
      <c r="C414" s="0" t="n">
        <v>414</v>
      </c>
      <c r="D414" s="0" t="n">
        <v>6264078410992</v>
      </c>
      <c r="E414" s="94" t="s">
        <v>420</v>
      </c>
      <c r="F414" s="0" t="n">
        <v>32</v>
      </c>
      <c r="G414" s="0" t="n">
        <v>13</v>
      </c>
      <c r="I414" s="0" t="n">
        <v>416</v>
      </c>
      <c r="J414" s="0" t="n">
        <v>13</v>
      </c>
    </row>
    <row r="415" customFormat="false" ht="15" hidden="false" customHeight="false" outlineLevel="0" collapsed="false">
      <c r="A415" s="0" t="n">
        <v>10032</v>
      </c>
      <c r="B415" s="0" t="s">
        <v>137</v>
      </c>
      <c r="C415" s="0" t="n">
        <v>415</v>
      </c>
      <c r="D415" s="0" t="n">
        <v>6260522300031</v>
      </c>
      <c r="E415" s="94" t="s">
        <v>421</v>
      </c>
      <c r="F415" s="0" t="n">
        <v>29</v>
      </c>
      <c r="G415" s="0" t="n">
        <v>8.8</v>
      </c>
      <c r="I415" s="0" t="n">
        <v>255.2</v>
      </c>
      <c r="J415" s="0" t="n">
        <v>14</v>
      </c>
    </row>
    <row r="416" customFormat="false" ht="15" hidden="false" customHeight="false" outlineLevel="0" collapsed="false">
      <c r="A416" s="0" t="n">
        <v>10032</v>
      </c>
      <c r="B416" s="0" t="s">
        <v>137</v>
      </c>
      <c r="C416" s="0" t="n">
        <v>416</v>
      </c>
      <c r="D416" s="0" t="n">
        <v>6260063298149</v>
      </c>
      <c r="E416" s="94" t="s">
        <v>419</v>
      </c>
      <c r="F416" s="0" t="n">
        <v>1</v>
      </c>
      <c r="G416" s="0" t="n">
        <v>12.8</v>
      </c>
      <c r="I416" s="0" t="n">
        <v>12.8</v>
      </c>
      <c r="J416" s="0" t="n">
        <v>15</v>
      </c>
    </row>
    <row r="417" customFormat="false" ht="15" hidden="false" customHeight="false" outlineLevel="0" collapsed="false">
      <c r="A417" s="0" t="n">
        <v>10032</v>
      </c>
      <c r="B417" s="0" t="s">
        <v>137</v>
      </c>
      <c r="C417" s="0" t="n">
        <v>417</v>
      </c>
      <c r="D417" s="0" t="n">
        <v>6264078409156</v>
      </c>
      <c r="E417" s="94" t="s">
        <v>422</v>
      </c>
      <c r="F417" s="0" t="n">
        <v>29</v>
      </c>
      <c r="G417" s="0" t="n">
        <v>7</v>
      </c>
      <c r="I417" s="0" t="n">
        <v>203</v>
      </c>
      <c r="J417" s="0" t="n">
        <v>16</v>
      </c>
    </row>
    <row r="418" customFormat="false" ht="15" hidden="false" customHeight="false" outlineLevel="0" collapsed="false">
      <c r="A418" s="0" t="n">
        <v>10032</v>
      </c>
      <c r="B418" s="0" t="s">
        <v>137</v>
      </c>
      <c r="C418" s="0" t="n">
        <v>418</v>
      </c>
      <c r="D418" s="0" t="n">
        <v>6260063214255</v>
      </c>
      <c r="E418" s="94" t="s">
        <v>423</v>
      </c>
      <c r="F418" s="0" t="n">
        <v>18</v>
      </c>
      <c r="G418" s="0" t="n">
        <v>8.5</v>
      </c>
      <c r="I418" s="0" t="n">
        <v>153</v>
      </c>
      <c r="J418" s="0" t="n">
        <v>17</v>
      </c>
    </row>
    <row r="419" customFormat="false" ht="15" hidden="false" customHeight="false" outlineLevel="0" collapsed="false">
      <c r="A419" s="0" t="n">
        <v>10032</v>
      </c>
      <c r="B419" s="0" t="s">
        <v>137</v>
      </c>
      <c r="C419" s="0" t="n">
        <v>419</v>
      </c>
      <c r="D419" s="0" t="n">
        <v>6264078402324</v>
      </c>
      <c r="E419" s="94" t="s">
        <v>424</v>
      </c>
      <c r="F419" s="0" t="n">
        <v>18</v>
      </c>
      <c r="G419" s="0" t="n">
        <v>7</v>
      </c>
      <c r="I419" s="0" t="n">
        <v>126</v>
      </c>
      <c r="J419" s="0" t="n">
        <v>18</v>
      </c>
    </row>
    <row r="420" customFormat="false" ht="15" hidden="false" customHeight="false" outlineLevel="0" collapsed="false">
      <c r="A420" s="0" t="n">
        <v>10032</v>
      </c>
      <c r="B420" s="0" t="s">
        <v>137</v>
      </c>
      <c r="C420" s="0" t="n">
        <v>420</v>
      </c>
      <c r="D420" s="0" t="n">
        <v>6264078402324</v>
      </c>
      <c r="E420" s="94" t="s">
        <v>424</v>
      </c>
      <c r="F420" s="0" t="n">
        <v>1</v>
      </c>
      <c r="G420" s="0" t="n">
        <v>7</v>
      </c>
      <c r="I420" s="0" t="n">
        <v>7</v>
      </c>
      <c r="J420" s="0" t="n">
        <v>19</v>
      </c>
    </row>
    <row r="421" customFormat="false" ht="15" hidden="false" customHeight="false" outlineLevel="0" collapsed="false">
      <c r="A421" s="0" t="n">
        <v>10032</v>
      </c>
      <c r="B421" s="0" t="s">
        <v>137</v>
      </c>
      <c r="C421" s="0" t="n">
        <v>421</v>
      </c>
      <c r="D421" s="0" t="n">
        <v>6261163400197</v>
      </c>
      <c r="E421" s="94" t="s">
        <v>418</v>
      </c>
      <c r="F421" s="0" t="n">
        <v>1</v>
      </c>
      <c r="G421" s="0" t="n">
        <v>15</v>
      </c>
      <c r="I421" s="0" t="n">
        <v>15</v>
      </c>
      <c r="J421" s="0" t="n">
        <v>20</v>
      </c>
    </row>
    <row r="422" customFormat="false" ht="15" hidden="false" customHeight="false" outlineLevel="0" collapsed="false">
      <c r="A422" s="0" t="n">
        <v>10032</v>
      </c>
      <c r="B422" s="0" t="s">
        <v>137</v>
      </c>
      <c r="C422" s="0" t="n">
        <v>422</v>
      </c>
      <c r="D422" s="0" t="n">
        <v>6261163400197</v>
      </c>
      <c r="E422" s="94" t="s">
        <v>418</v>
      </c>
      <c r="F422" s="0" t="n">
        <v>1</v>
      </c>
      <c r="G422" s="0" t="n">
        <v>15</v>
      </c>
      <c r="I422" s="0" t="n">
        <v>15</v>
      </c>
      <c r="J422" s="0" t="n">
        <v>21</v>
      </c>
    </row>
    <row r="423" customFormat="false" ht="15" hidden="false" customHeight="false" outlineLevel="0" collapsed="false">
      <c r="A423" s="0" t="n">
        <v>10032</v>
      </c>
      <c r="B423" s="0" t="s">
        <v>137</v>
      </c>
      <c r="C423" s="0" t="n">
        <v>423</v>
      </c>
      <c r="D423" s="0" t="n">
        <v>6261163400197</v>
      </c>
      <c r="E423" s="94" t="s">
        <v>418</v>
      </c>
      <c r="F423" s="0" t="n">
        <v>1</v>
      </c>
      <c r="G423" s="0" t="n">
        <v>15</v>
      </c>
      <c r="I423" s="0" t="n">
        <v>15</v>
      </c>
      <c r="J423" s="0" t="n">
        <v>22</v>
      </c>
    </row>
    <row r="424" customFormat="false" ht="15" hidden="false" customHeight="false" outlineLevel="0" collapsed="false">
      <c r="A424" s="0" t="n">
        <v>10032</v>
      </c>
      <c r="B424" s="0" t="s">
        <v>137</v>
      </c>
      <c r="C424" s="0" t="n">
        <v>424</v>
      </c>
      <c r="D424" s="0" t="n">
        <v>6261163400197</v>
      </c>
      <c r="E424" s="94" t="s">
        <v>418</v>
      </c>
      <c r="F424" s="0" t="n">
        <v>1</v>
      </c>
      <c r="G424" s="0" t="n">
        <v>15</v>
      </c>
      <c r="I424" s="0" t="n">
        <v>15</v>
      </c>
      <c r="J424" s="0" t="n">
        <v>23</v>
      </c>
    </row>
    <row r="425" customFormat="false" ht="15" hidden="false" customHeight="false" outlineLevel="0" collapsed="false">
      <c r="A425" s="0" t="n">
        <v>10032</v>
      </c>
      <c r="B425" s="0" t="s">
        <v>137</v>
      </c>
      <c r="C425" s="0" t="n">
        <v>425</v>
      </c>
      <c r="D425" s="0" t="n">
        <v>6261163400197</v>
      </c>
      <c r="E425" s="94" t="s">
        <v>418</v>
      </c>
      <c r="F425" s="0" t="n">
        <v>1</v>
      </c>
      <c r="G425" s="0" t="n">
        <v>15</v>
      </c>
      <c r="I425" s="0" t="n">
        <v>15</v>
      </c>
      <c r="J425" s="0" t="n">
        <v>24</v>
      </c>
    </row>
    <row r="426" customFormat="false" ht="15" hidden="false" customHeight="false" outlineLevel="0" collapsed="false">
      <c r="A426" s="0" t="n">
        <v>10032</v>
      </c>
      <c r="B426" s="0" t="s">
        <v>137</v>
      </c>
      <c r="C426" s="0" t="n">
        <v>426</v>
      </c>
      <c r="D426" s="0" t="n">
        <v>6264078411616</v>
      </c>
      <c r="E426" s="94" t="s">
        <v>425</v>
      </c>
      <c r="F426" s="0" t="n">
        <v>44</v>
      </c>
      <c r="G426" s="0" t="n">
        <v>7.333</v>
      </c>
      <c r="I426" s="0" t="n">
        <v>322.652</v>
      </c>
      <c r="J426" s="0" t="n">
        <v>25</v>
      </c>
    </row>
    <row r="427" customFormat="false" ht="15" hidden="false" customHeight="false" outlineLevel="0" collapsed="false">
      <c r="A427" s="0" t="n">
        <v>10032</v>
      </c>
      <c r="B427" s="0" t="s">
        <v>137</v>
      </c>
      <c r="C427" s="0" t="n">
        <v>427</v>
      </c>
      <c r="D427" s="0" t="n">
        <v>6264078411593</v>
      </c>
      <c r="E427" s="94" t="s">
        <v>426</v>
      </c>
      <c r="F427" s="0" t="n">
        <v>29</v>
      </c>
      <c r="G427" s="0" t="n">
        <v>8.5</v>
      </c>
      <c r="I427" s="0" t="n">
        <v>246.5</v>
      </c>
      <c r="J427" s="0" t="n">
        <v>26</v>
      </c>
    </row>
    <row r="428" customFormat="false" ht="15" hidden="false" customHeight="false" outlineLevel="0" collapsed="false">
      <c r="A428" s="0" t="n">
        <v>10032</v>
      </c>
      <c r="B428" s="0" t="s">
        <v>137</v>
      </c>
      <c r="C428" s="0" t="n">
        <v>428</v>
      </c>
      <c r="D428" s="0" t="n">
        <v>6260063295841</v>
      </c>
      <c r="E428" s="94" t="s">
        <v>427</v>
      </c>
      <c r="F428" s="0" t="n">
        <v>15</v>
      </c>
      <c r="G428" s="0" t="n">
        <v>7</v>
      </c>
      <c r="I428" s="0" t="n">
        <v>105</v>
      </c>
      <c r="J428" s="0" t="n">
        <v>27</v>
      </c>
    </row>
    <row r="429" customFormat="false" ht="15" hidden="false" customHeight="false" outlineLevel="0" collapsed="false">
      <c r="A429" s="0" t="n">
        <v>10032</v>
      </c>
      <c r="B429" s="0" t="s">
        <v>137</v>
      </c>
      <c r="C429" s="0" t="n">
        <v>429</v>
      </c>
      <c r="D429" s="0" t="n">
        <v>6264078402324</v>
      </c>
      <c r="E429" s="94" t="s">
        <v>424</v>
      </c>
      <c r="F429" s="0" t="n">
        <v>1</v>
      </c>
      <c r="G429" s="0" t="n">
        <v>7</v>
      </c>
      <c r="I429" s="0" t="n">
        <v>7</v>
      </c>
      <c r="J429" s="0" t="n">
        <v>28</v>
      </c>
    </row>
    <row r="430" customFormat="false" ht="15" hidden="false" customHeight="false" outlineLevel="0" collapsed="false">
      <c r="A430" s="0" t="n">
        <v>10032</v>
      </c>
      <c r="B430" s="0" t="s">
        <v>137</v>
      </c>
      <c r="C430" s="0" t="n">
        <v>430</v>
      </c>
      <c r="D430" s="0" t="n">
        <v>6264078411616</v>
      </c>
      <c r="E430" s="94" t="s">
        <v>425</v>
      </c>
      <c r="F430" s="0" t="n">
        <v>1</v>
      </c>
      <c r="G430" s="0" t="n">
        <v>7.333</v>
      </c>
      <c r="I430" s="0" t="n">
        <v>7.333</v>
      </c>
      <c r="J430" s="0" t="n">
        <v>29</v>
      </c>
    </row>
    <row r="431" customFormat="false" ht="15" hidden="false" customHeight="false" outlineLevel="0" collapsed="false">
      <c r="A431" s="0" t="n">
        <v>10032</v>
      </c>
      <c r="B431" s="0" t="s">
        <v>137</v>
      </c>
      <c r="C431" s="0" t="n">
        <v>431</v>
      </c>
      <c r="D431" s="0" t="n">
        <v>6264078411593</v>
      </c>
      <c r="E431" s="94" t="s">
        <v>426</v>
      </c>
      <c r="F431" s="0" t="n">
        <v>1</v>
      </c>
      <c r="G431" s="0" t="n">
        <v>8.5</v>
      </c>
      <c r="I431" s="0" t="n">
        <v>8.5</v>
      </c>
      <c r="J431" s="0" t="n">
        <v>30</v>
      </c>
    </row>
    <row r="432" customFormat="false" ht="15" hidden="false" customHeight="false" outlineLevel="0" collapsed="false">
      <c r="A432" s="0" t="n">
        <v>10032</v>
      </c>
      <c r="B432" s="0" t="s">
        <v>137</v>
      </c>
      <c r="C432" s="0" t="n">
        <v>432</v>
      </c>
      <c r="D432" s="0" t="n">
        <v>6264078411593</v>
      </c>
      <c r="E432" s="94" t="s">
        <v>426</v>
      </c>
      <c r="F432" s="0" t="n">
        <v>20</v>
      </c>
      <c r="G432" s="0" t="n">
        <v>8.5</v>
      </c>
      <c r="I432" s="0" t="n">
        <v>170</v>
      </c>
      <c r="J432" s="0" t="n">
        <v>31</v>
      </c>
    </row>
    <row r="433" customFormat="false" ht="15" hidden="false" customHeight="false" outlineLevel="0" collapsed="false">
      <c r="A433" s="0" t="n">
        <v>10032</v>
      </c>
      <c r="B433" s="0" t="s">
        <v>137</v>
      </c>
      <c r="C433" s="0" t="n">
        <v>433</v>
      </c>
      <c r="D433" s="0" t="n">
        <v>6260063298149</v>
      </c>
      <c r="E433" s="94" t="s">
        <v>419</v>
      </c>
      <c r="F433" s="0" t="n">
        <v>25</v>
      </c>
      <c r="G433" s="0" t="n">
        <v>12.8</v>
      </c>
      <c r="I433" s="0" t="n">
        <v>320</v>
      </c>
      <c r="J433" s="0" t="n">
        <v>32</v>
      </c>
    </row>
    <row r="434" customFormat="false" ht="15" hidden="false" customHeight="false" outlineLevel="0" collapsed="false">
      <c r="A434" s="0" t="n">
        <v>10032</v>
      </c>
      <c r="B434" s="0" t="s">
        <v>137</v>
      </c>
      <c r="C434" s="0" t="n">
        <v>434</v>
      </c>
      <c r="D434" s="0" t="n">
        <v>6264078408005</v>
      </c>
      <c r="E434" s="94" t="s">
        <v>428</v>
      </c>
      <c r="F434" s="0" t="n">
        <v>1</v>
      </c>
      <c r="G434" s="0" t="n">
        <v>8</v>
      </c>
      <c r="I434" s="0" t="n">
        <v>8</v>
      </c>
      <c r="J434" s="0" t="n">
        <v>33</v>
      </c>
    </row>
    <row r="435" customFormat="false" ht="15" hidden="false" customHeight="false" outlineLevel="0" collapsed="false">
      <c r="A435" s="0" t="n">
        <v>10032</v>
      </c>
      <c r="B435" s="0" t="s">
        <v>137</v>
      </c>
      <c r="C435" s="0" t="n">
        <v>435</v>
      </c>
      <c r="D435" s="0" t="n">
        <v>6264078408005</v>
      </c>
      <c r="E435" s="94" t="s">
        <v>428</v>
      </c>
      <c r="F435" s="0" t="n">
        <v>1</v>
      </c>
      <c r="G435" s="0" t="n">
        <v>8</v>
      </c>
      <c r="I435" s="0" t="n">
        <v>8</v>
      </c>
      <c r="J435" s="0" t="n">
        <v>34</v>
      </c>
    </row>
    <row r="436" customFormat="false" ht="15" hidden="false" customHeight="false" outlineLevel="0" collapsed="false">
      <c r="A436" s="0" t="n">
        <v>10033</v>
      </c>
      <c r="B436" s="0" t="s">
        <v>95</v>
      </c>
      <c r="C436" s="0" t="n">
        <v>436</v>
      </c>
      <c r="D436" s="0" t="n">
        <v>6260800900618</v>
      </c>
      <c r="E436" s="94" t="s">
        <v>218</v>
      </c>
      <c r="F436" s="0" t="n">
        <v>1</v>
      </c>
      <c r="G436" s="0" t="n">
        <v>30</v>
      </c>
      <c r="I436" s="0" t="n">
        <v>30</v>
      </c>
      <c r="J436" s="0" t="n">
        <v>7</v>
      </c>
    </row>
    <row r="437" customFormat="false" ht="15" hidden="false" customHeight="false" outlineLevel="0" collapsed="false">
      <c r="A437" s="0" t="n">
        <v>10033</v>
      </c>
      <c r="B437" s="0" t="s">
        <v>95</v>
      </c>
      <c r="C437" s="0" t="n">
        <v>437</v>
      </c>
      <c r="D437" s="0" t="n">
        <v>6260469900110</v>
      </c>
      <c r="E437" s="94" t="s">
        <v>173</v>
      </c>
      <c r="F437" s="0" t="n">
        <v>4</v>
      </c>
      <c r="G437" s="0" t="n">
        <v>8</v>
      </c>
      <c r="I437" s="0" t="n">
        <v>32</v>
      </c>
      <c r="J437" s="0" t="n">
        <v>8</v>
      </c>
    </row>
    <row r="438" customFormat="false" ht="15" hidden="false" customHeight="false" outlineLevel="0" collapsed="false">
      <c r="A438" s="0" t="n">
        <v>10033</v>
      </c>
      <c r="B438" s="0" t="s">
        <v>95</v>
      </c>
      <c r="C438" s="0" t="n">
        <v>438</v>
      </c>
      <c r="D438" s="0" t="n">
        <v>6262003401961</v>
      </c>
      <c r="E438" s="94" t="s">
        <v>393</v>
      </c>
      <c r="F438" s="0" t="n">
        <v>1</v>
      </c>
      <c r="G438" s="0" t="n">
        <v>55</v>
      </c>
      <c r="I438" s="0" t="n">
        <v>55</v>
      </c>
      <c r="J438" s="0" t="n">
        <v>9</v>
      </c>
    </row>
    <row r="439" customFormat="false" ht="15" hidden="false" customHeight="false" outlineLevel="0" collapsed="false">
      <c r="A439" s="0" t="n">
        <v>10034</v>
      </c>
      <c r="B439" s="0" t="s">
        <v>95</v>
      </c>
      <c r="C439" s="0" t="n">
        <v>439</v>
      </c>
      <c r="D439" s="0" t="n">
        <v>1300</v>
      </c>
      <c r="E439" s="94" t="s">
        <v>268</v>
      </c>
      <c r="F439" s="0" t="n">
        <v>16</v>
      </c>
      <c r="G439" s="0" t="n">
        <v>4.5</v>
      </c>
      <c r="I439" s="0" t="n">
        <v>72</v>
      </c>
      <c r="J439" s="0" t="n">
        <v>7</v>
      </c>
    </row>
    <row r="440" customFormat="false" ht="15" hidden="false" customHeight="false" outlineLevel="0" collapsed="false">
      <c r="A440" s="0" t="n">
        <v>10035</v>
      </c>
      <c r="B440" s="0" t="s">
        <v>95</v>
      </c>
      <c r="C440" s="0" t="n">
        <v>440</v>
      </c>
      <c r="D440" s="0" t="n">
        <v>6269365700251</v>
      </c>
      <c r="E440" s="94" t="s">
        <v>397</v>
      </c>
      <c r="F440" s="0" t="n">
        <v>1</v>
      </c>
      <c r="G440" s="0" t="n">
        <v>21</v>
      </c>
      <c r="I440" s="0" t="n">
        <v>21</v>
      </c>
      <c r="J440" s="0" t="n">
        <v>7</v>
      </c>
    </row>
    <row r="441" customFormat="false" ht="15" hidden="false" customHeight="false" outlineLevel="0" collapsed="false">
      <c r="A441" s="0" t="n">
        <v>10035</v>
      </c>
      <c r="B441" s="0" t="s">
        <v>95</v>
      </c>
      <c r="C441" s="0" t="n">
        <v>441</v>
      </c>
      <c r="D441" s="0" t="n">
        <v>6268167900050</v>
      </c>
      <c r="E441" s="94" t="s">
        <v>399</v>
      </c>
      <c r="F441" s="0" t="n">
        <v>1</v>
      </c>
      <c r="G441" s="0" t="n">
        <v>23</v>
      </c>
      <c r="I441" s="0" t="n">
        <v>23</v>
      </c>
      <c r="J441" s="0" t="n">
        <v>8</v>
      </c>
    </row>
    <row r="442" customFormat="false" ht="15" hidden="false" customHeight="false" outlineLevel="0" collapsed="false">
      <c r="A442" s="0" t="n">
        <v>10035</v>
      </c>
      <c r="B442" s="0" t="s">
        <v>95</v>
      </c>
      <c r="C442" s="0" t="n">
        <v>442</v>
      </c>
      <c r="D442" s="0" t="n">
        <v>6269365700251</v>
      </c>
      <c r="E442" s="94" t="s">
        <v>397</v>
      </c>
      <c r="F442" s="0" t="n">
        <v>1</v>
      </c>
      <c r="G442" s="0" t="n">
        <v>21</v>
      </c>
      <c r="I442" s="0" t="n">
        <v>21</v>
      </c>
      <c r="J442" s="0" t="n">
        <v>9</v>
      </c>
    </row>
    <row r="443" customFormat="false" ht="15" hidden="false" customHeight="false" outlineLevel="0" collapsed="false">
      <c r="A443" s="0" t="n">
        <v>10035</v>
      </c>
      <c r="B443" s="0" t="s">
        <v>95</v>
      </c>
      <c r="C443" s="0" t="n">
        <v>443</v>
      </c>
      <c r="D443" s="0" t="n">
        <v>6269988500269</v>
      </c>
      <c r="E443" s="94" t="s">
        <v>379</v>
      </c>
      <c r="F443" s="0" t="n">
        <v>1</v>
      </c>
      <c r="G443" s="0" t="n">
        <v>12</v>
      </c>
      <c r="I443" s="0" t="n">
        <v>12</v>
      </c>
      <c r="J443" s="0" t="n">
        <v>10</v>
      </c>
    </row>
    <row r="444" customFormat="false" ht="15" hidden="false" customHeight="false" outlineLevel="0" collapsed="false">
      <c r="A444" s="0" t="n">
        <v>10035</v>
      </c>
      <c r="B444" s="0" t="s">
        <v>95</v>
      </c>
      <c r="C444" s="0" t="n">
        <v>444</v>
      </c>
      <c r="D444" s="0" t="n">
        <v>6269988500269</v>
      </c>
      <c r="E444" s="94" t="s">
        <v>379</v>
      </c>
      <c r="F444" s="0" t="n">
        <v>1</v>
      </c>
      <c r="G444" s="0" t="n">
        <v>12</v>
      </c>
      <c r="I444" s="0" t="n">
        <v>12</v>
      </c>
      <c r="J444" s="0" t="n">
        <v>11</v>
      </c>
    </row>
    <row r="445" customFormat="false" ht="15" hidden="false" customHeight="false" outlineLevel="0" collapsed="false">
      <c r="A445" s="0" t="n">
        <v>10035</v>
      </c>
      <c r="B445" s="0" t="s">
        <v>95</v>
      </c>
      <c r="C445" s="0" t="n">
        <v>445</v>
      </c>
      <c r="D445" s="0" t="n">
        <v>6260469900509</v>
      </c>
      <c r="E445" s="94" t="s">
        <v>304</v>
      </c>
      <c r="F445" s="0" t="n">
        <v>1</v>
      </c>
      <c r="G445" s="0" t="n">
        <v>12</v>
      </c>
      <c r="I445" s="0" t="n">
        <v>12</v>
      </c>
      <c r="J445" s="0" t="n">
        <v>12</v>
      </c>
    </row>
    <row r="446" customFormat="false" ht="15" hidden="false" customHeight="false" outlineLevel="0" collapsed="false">
      <c r="A446" s="0" t="n">
        <v>10035</v>
      </c>
      <c r="B446" s="0" t="s">
        <v>95</v>
      </c>
      <c r="C446" s="0" t="n">
        <v>446</v>
      </c>
      <c r="D446" s="0" t="n">
        <v>6260469900509</v>
      </c>
      <c r="E446" s="94" t="s">
        <v>304</v>
      </c>
      <c r="F446" s="0" t="n">
        <v>1</v>
      </c>
      <c r="G446" s="0" t="n">
        <v>12</v>
      </c>
      <c r="I446" s="0" t="n">
        <v>12</v>
      </c>
      <c r="J446" s="0" t="n">
        <v>13</v>
      </c>
    </row>
    <row r="447" customFormat="false" ht="15" hidden="false" customHeight="false" outlineLevel="0" collapsed="false">
      <c r="A447" s="0" t="n">
        <v>10035</v>
      </c>
      <c r="B447" s="0" t="s">
        <v>95</v>
      </c>
      <c r="C447" s="0" t="n">
        <v>447</v>
      </c>
      <c r="D447" s="0" t="n">
        <v>7400</v>
      </c>
      <c r="E447" s="94" t="s">
        <v>319</v>
      </c>
      <c r="F447" s="0" t="n">
        <v>2</v>
      </c>
      <c r="G447" s="0" t="n">
        <v>6</v>
      </c>
      <c r="I447" s="0" t="n">
        <v>12</v>
      </c>
      <c r="J447" s="0" t="n">
        <v>14</v>
      </c>
    </row>
    <row r="448" customFormat="false" ht="15" hidden="false" customHeight="false" outlineLevel="0" collapsed="false">
      <c r="A448" s="0" t="n">
        <v>10035</v>
      </c>
      <c r="B448" s="0" t="s">
        <v>95</v>
      </c>
      <c r="C448" s="0" t="n">
        <v>448</v>
      </c>
      <c r="D448" s="0" t="n">
        <v>6260063298149</v>
      </c>
      <c r="E448" s="94" t="s">
        <v>419</v>
      </c>
      <c r="F448" s="0" t="n">
        <v>1</v>
      </c>
      <c r="G448" s="0" t="n">
        <v>15</v>
      </c>
      <c r="I448" s="0" t="n">
        <v>15</v>
      </c>
      <c r="J448" s="0" t="n">
        <v>15</v>
      </c>
    </row>
    <row r="449" customFormat="false" ht="15" hidden="false" customHeight="false" outlineLevel="0" collapsed="false">
      <c r="A449" s="0" t="n">
        <v>10035</v>
      </c>
      <c r="B449" s="0" t="s">
        <v>95</v>
      </c>
      <c r="C449" s="0" t="n">
        <v>449</v>
      </c>
      <c r="D449" s="0" t="n">
        <v>6260063298149</v>
      </c>
      <c r="E449" s="94" t="s">
        <v>419</v>
      </c>
      <c r="F449" s="0" t="n">
        <v>1</v>
      </c>
      <c r="G449" s="0" t="n">
        <v>15</v>
      </c>
      <c r="I449" s="0" t="n">
        <v>15</v>
      </c>
      <c r="J449" s="0" t="n">
        <v>16</v>
      </c>
    </row>
    <row r="450" customFormat="false" ht="15" hidden="false" customHeight="false" outlineLevel="0" collapsed="false">
      <c r="A450" s="0" t="n">
        <v>10035</v>
      </c>
      <c r="B450" s="0" t="s">
        <v>95</v>
      </c>
      <c r="C450" s="0" t="n">
        <v>450</v>
      </c>
      <c r="D450" s="0" t="n">
        <v>162900054350626</v>
      </c>
      <c r="E450" s="94" t="s">
        <v>362</v>
      </c>
      <c r="F450" s="0" t="n">
        <v>1</v>
      </c>
      <c r="G450" s="0" t="n">
        <v>5</v>
      </c>
      <c r="I450" s="0" t="n">
        <v>5</v>
      </c>
      <c r="J450" s="0" t="n">
        <v>17</v>
      </c>
    </row>
    <row r="451" customFormat="false" ht="15" hidden="false" customHeight="false" outlineLevel="0" collapsed="false">
      <c r="A451" s="0" t="n">
        <v>10035</v>
      </c>
      <c r="B451" s="0" t="s">
        <v>95</v>
      </c>
      <c r="C451" s="0" t="n">
        <v>451</v>
      </c>
      <c r="D451" s="0" t="n">
        <v>6260543503855</v>
      </c>
      <c r="E451" s="94" t="s">
        <v>362</v>
      </c>
      <c r="F451" s="0" t="n">
        <v>1</v>
      </c>
      <c r="G451" s="0" t="n">
        <v>5</v>
      </c>
      <c r="I451" s="0" t="n">
        <v>5</v>
      </c>
      <c r="J451" s="0" t="n">
        <v>18</v>
      </c>
    </row>
    <row r="452" customFormat="false" ht="15" hidden="false" customHeight="false" outlineLevel="0" collapsed="false">
      <c r="A452" s="0" t="n">
        <v>10035</v>
      </c>
      <c r="B452" s="0" t="s">
        <v>95</v>
      </c>
      <c r="C452" s="0" t="n">
        <v>452</v>
      </c>
      <c r="D452" s="0" t="n">
        <v>6260170900522</v>
      </c>
      <c r="E452" s="94" t="s">
        <v>260</v>
      </c>
      <c r="F452" s="0" t="n">
        <v>1</v>
      </c>
      <c r="G452" s="0" t="n">
        <v>6</v>
      </c>
      <c r="I452" s="0" t="n">
        <v>6</v>
      </c>
      <c r="J452" s="0" t="n">
        <v>19</v>
      </c>
    </row>
    <row r="453" customFormat="false" ht="15" hidden="false" customHeight="false" outlineLevel="0" collapsed="false">
      <c r="A453" s="0" t="n">
        <v>10035</v>
      </c>
      <c r="B453" s="0" t="s">
        <v>95</v>
      </c>
      <c r="C453" s="0" t="n">
        <v>453</v>
      </c>
      <c r="D453" s="0" t="n">
        <v>6260170900522</v>
      </c>
      <c r="E453" s="94" t="s">
        <v>260</v>
      </c>
      <c r="F453" s="0" t="n">
        <v>1</v>
      </c>
      <c r="G453" s="0" t="n">
        <v>6</v>
      </c>
      <c r="I453" s="0" t="n">
        <v>6</v>
      </c>
      <c r="J453" s="0" t="n">
        <v>20</v>
      </c>
    </row>
    <row r="454" customFormat="false" ht="15" hidden="false" customHeight="false" outlineLevel="0" collapsed="false">
      <c r="A454" s="0" t="n">
        <v>10036</v>
      </c>
      <c r="B454" s="0" t="s">
        <v>95</v>
      </c>
      <c r="C454" s="0" t="n">
        <v>454</v>
      </c>
      <c r="D454" s="0" t="n">
        <v>2200</v>
      </c>
      <c r="E454" s="94" t="s">
        <v>164</v>
      </c>
      <c r="F454" s="0" t="n">
        <v>5</v>
      </c>
      <c r="G454" s="0" t="n">
        <v>70</v>
      </c>
      <c r="I454" s="0" t="n">
        <v>350</v>
      </c>
      <c r="J454" s="0" t="n">
        <v>7</v>
      </c>
    </row>
    <row r="455" customFormat="false" ht="15" hidden="false" customHeight="false" outlineLevel="0" collapsed="false">
      <c r="A455" s="0" t="n">
        <v>10036</v>
      </c>
      <c r="B455" s="0" t="s">
        <v>95</v>
      </c>
      <c r="C455" s="0" t="n">
        <v>455</v>
      </c>
      <c r="D455" s="0" t="n">
        <v>6264078409156</v>
      </c>
      <c r="E455" s="94" t="s">
        <v>422</v>
      </c>
      <c r="F455" s="0" t="n">
        <v>2</v>
      </c>
      <c r="G455" s="0" t="n">
        <v>10</v>
      </c>
      <c r="I455" s="0" t="n">
        <v>20</v>
      </c>
      <c r="J455" s="0" t="n">
        <v>8</v>
      </c>
    </row>
    <row r="456" customFormat="false" ht="15" hidden="false" customHeight="false" outlineLevel="0" collapsed="false">
      <c r="A456" s="0" t="n">
        <v>10036</v>
      </c>
      <c r="B456" s="0" t="s">
        <v>95</v>
      </c>
      <c r="C456" s="0" t="n">
        <v>456</v>
      </c>
      <c r="D456" s="0" t="n">
        <v>6264078410992</v>
      </c>
      <c r="E456" s="94" t="s">
        <v>420</v>
      </c>
      <c r="F456" s="0" t="n">
        <v>1</v>
      </c>
      <c r="G456" s="0" t="n">
        <v>15</v>
      </c>
      <c r="I456" s="0" t="n">
        <v>15</v>
      </c>
      <c r="J456" s="0" t="n">
        <v>9</v>
      </c>
    </row>
    <row r="457" customFormat="false" ht="15" hidden="false" customHeight="false" outlineLevel="0" collapsed="false">
      <c r="A457" s="0" t="n">
        <v>10037</v>
      </c>
      <c r="B457" s="0" t="s">
        <v>95</v>
      </c>
      <c r="C457" s="0" t="n">
        <v>457</v>
      </c>
      <c r="D457" s="0" t="n">
        <v>6261422503782</v>
      </c>
      <c r="E457" s="94" t="s">
        <v>224</v>
      </c>
      <c r="F457" s="0" t="n">
        <v>2</v>
      </c>
      <c r="G457" s="0" t="n">
        <v>30</v>
      </c>
      <c r="I457" s="0" t="n">
        <v>60</v>
      </c>
      <c r="J457" s="0" t="n">
        <v>7</v>
      </c>
    </row>
    <row r="458" customFormat="false" ht="15" hidden="false" customHeight="false" outlineLevel="0" collapsed="false">
      <c r="A458" s="0" t="n">
        <v>10038</v>
      </c>
      <c r="B458" s="0" t="s">
        <v>95</v>
      </c>
      <c r="C458" s="0" t="n">
        <v>458</v>
      </c>
      <c r="D458" s="0" t="n">
        <v>6262003401961</v>
      </c>
      <c r="E458" s="94" t="s">
        <v>393</v>
      </c>
      <c r="F458" s="0" t="n">
        <v>1</v>
      </c>
      <c r="G458" s="0" t="n">
        <v>55</v>
      </c>
      <c r="I458" s="0" t="n">
        <v>55</v>
      </c>
      <c r="J458" s="0" t="n">
        <v>7</v>
      </c>
    </row>
    <row r="459" customFormat="false" ht="15" hidden="false" customHeight="false" outlineLevel="0" collapsed="false">
      <c r="A459" s="0" t="n">
        <v>10038</v>
      </c>
      <c r="B459" s="0" t="s">
        <v>95</v>
      </c>
      <c r="C459" s="0" t="n">
        <v>459</v>
      </c>
      <c r="D459" s="0" t="n">
        <v>6261422503157</v>
      </c>
      <c r="E459" s="94" t="s">
        <v>223</v>
      </c>
      <c r="F459" s="0" t="n">
        <v>1</v>
      </c>
      <c r="G459" s="0" t="n">
        <v>30</v>
      </c>
      <c r="I459" s="0" t="n">
        <v>30</v>
      </c>
      <c r="J459" s="0" t="n">
        <v>8</v>
      </c>
    </row>
    <row r="460" customFormat="false" ht="15" hidden="false" customHeight="false" outlineLevel="0" collapsed="false">
      <c r="A460" s="0" t="n">
        <v>10039</v>
      </c>
      <c r="B460" s="0" t="s">
        <v>95</v>
      </c>
      <c r="C460" s="0" t="n">
        <v>460</v>
      </c>
      <c r="D460" s="0" t="n">
        <v>2162314158000000</v>
      </c>
      <c r="E460" s="94" t="s">
        <v>250</v>
      </c>
      <c r="F460" s="0" t="n">
        <v>1</v>
      </c>
      <c r="G460" s="0" t="n">
        <v>10</v>
      </c>
      <c r="I460" s="0" t="n">
        <v>10</v>
      </c>
      <c r="J460" s="0" t="n">
        <v>7</v>
      </c>
    </row>
    <row r="461" customFormat="false" ht="15" hidden="false" customHeight="false" outlineLevel="0" collapsed="false">
      <c r="A461" s="0" t="n">
        <v>10040</v>
      </c>
      <c r="B461" s="0" t="s">
        <v>95</v>
      </c>
      <c r="C461" s="0" t="n">
        <v>461</v>
      </c>
      <c r="D461" s="0" t="n">
        <v>6260010509878</v>
      </c>
      <c r="E461" s="94" t="s">
        <v>385</v>
      </c>
      <c r="F461" s="0" t="n">
        <v>1</v>
      </c>
      <c r="G461" s="0" t="n">
        <v>17</v>
      </c>
      <c r="I461" s="0" t="n">
        <v>17</v>
      </c>
      <c r="J461" s="0" t="n">
        <v>7</v>
      </c>
    </row>
    <row r="462" customFormat="false" ht="15" hidden="false" customHeight="false" outlineLevel="0" collapsed="false">
      <c r="A462" s="0" t="n">
        <v>10040</v>
      </c>
      <c r="B462" s="0" t="s">
        <v>95</v>
      </c>
      <c r="C462" s="0" t="n">
        <v>462</v>
      </c>
      <c r="D462" s="0" t="n">
        <v>6260022324025</v>
      </c>
      <c r="E462" s="94" t="s">
        <v>308</v>
      </c>
      <c r="F462" s="0" t="n">
        <v>1</v>
      </c>
      <c r="G462" s="0" t="n">
        <v>35</v>
      </c>
      <c r="I462" s="0" t="n">
        <v>35</v>
      </c>
      <c r="J462" s="0" t="n">
        <v>8</v>
      </c>
    </row>
    <row r="463" customFormat="false" ht="15" hidden="false" customHeight="false" outlineLevel="0" collapsed="false">
      <c r="A463" s="0" t="n">
        <v>10040</v>
      </c>
      <c r="B463" s="0" t="s">
        <v>95</v>
      </c>
      <c r="C463" s="0" t="n">
        <v>463</v>
      </c>
      <c r="D463" s="0" t="n">
        <v>6400</v>
      </c>
      <c r="E463" s="94" t="s">
        <v>171</v>
      </c>
      <c r="F463" s="0" t="n">
        <v>1</v>
      </c>
      <c r="G463" s="0" t="n">
        <v>25</v>
      </c>
      <c r="I463" s="0" t="n">
        <v>25</v>
      </c>
      <c r="J463" s="0" t="n">
        <v>9</v>
      </c>
    </row>
    <row r="464" customFormat="false" ht="15" hidden="false" customHeight="false" outlineLevel="0" collapsed="false">
      <c r="A464" s="0" t="n">
        <v>10040</v>
      </c>
      <c r="J464" s="0" t="n">
        <v>-8</v>
      </c>
    </row>
    <row r="465" customFormat="false" ht="15" hidden="false" customHeight="false" outlineLevel="0" collapsed="false">
      <c r="A465" s="0" t="n">
        <v>10040</v>
      </c>
      <c r="B465" s="0" t="s">
        <v>95</v>
      </c>
      <c r="C465" s="0" t="n">
        <v>465</v>
      </c>
      <c r="D465" s="0" t="n">
        <v>6260474216800</v>
      </c>
      <c r="E465" s="94" t="s">
        <v>325</v>
      </c>
      <c r="F465" s="0" t="n">
        <v>2</v>
      </c>
      <c r="G465" s="0" t="n">
        <v>5</v>
      </c>
      <c r="I465" s="0" t="n">
        <v>10</v>
      </c>
      <c r="J465" s="0" t="n">
        <v>11</v>
      </c>
    </row>
    <row r="466" customFormat="false" ht="15" hidden="false" customHeight="false" outlineLevel="0" collapsed="false">
      <c r="A466" s="0" t="n">
        <v>10040</v>
      </c>
      <c r="B466" s="0" t="s">
        <v>95</v>
      </c>
      <c r="C466" s="0" t="n">
        <v>466</v>
      </c>
      <c r="D466" s="0" t="n">
        <v>6260575904309</v>
      </c>
      <c r="E466" s="94" t="s">
        <v>356</v>
      </c>
      <c r="F466" s="0" t="n">
        <v>1</v>
      </c>
      <c r="G466" s="0" t="n">
        <v>10</v>
      </c>
      <c r="I466" s="0" t="n">
        <v>10</v>
      </c>
      <c r="J466" s="0" t="n">
        <v>12</v>
      </c>
    </row>
    <row r="467" customFormat="false" ht="15" hidden="false" customHeight="false" outlineLevel="0" collapsed="false">
      <c r="A467" s="0" t="n">
        <v>10040</v>
      </c>
      <c r="B467" s="0" t="s">
        <v>95</v>
      </c>
      <c r="C467" s="0" t="n">
        <v>467</v>
      </c>
      <c r="D467" s="0" t="n">
        <v>6260543504289</v>
      </c>
      <c r="E467" s="94" t="s">
        <v>301</v>
      </c>
      <c r="F467" s="0" t="n">
        <v>1</v>
      </c>
      <c r="G467" s="0" t="n">
        <v>15</v>
      </c>
      <c r="I467" s="0" t="n">
        <v>15</v>
      </c>
      <c r="J467" s="0" t="n">
        <v>13</v>
      </c>
    </row>
    <row r="468" customFormat="false" ht="15" hidden="false" customHeight="false" outlineLevel="0" collapsed="false">
      <c r="A468" s="0" t="n">
        <v>10040</v>
      </c>
      <c r="B468" s="0" t="s">
        <v>95</v>
      </c>
      <c r="C468" s="0" t="n">
        <v>468</v>
      </c>
      <c r="D468" s="0" t="n">
        <v>6260575900769</v>
      </c>
      <c r="E468" s="94" t="s">
        <v>359</v>
      </c>
      <c r="F468" s="0" t="n">
        <v>1</v>
      </c>
      <c r="G468" s="0" t="n">
        <v>5</v>
      </c>
      <c r="I468" s="0" t="n">
        <v>5</v>
      </c>
      <c r="J468" s="0" t="n">
        <v>14</v>
      </c>
    </row>
    <row r="469" customFormat="false" ht="15" hidden="false" customHeight="false" outlineLevel="0" collapsed="false">
      <c r="A469" s="0" t="n">
        <v>10040</v>
      </c>
      <c r="B469" s="0" t="s">
        <v>95</v>
      </c>
      <c r="C469" s="0" t="n">
        <v>469</v>
      </c>
      <c r="D469" s="0" t="n">
        <v>2200</v>
      </c>
      <c r="E469" s="94" t="s">
        <v>164</v>
      </c>
      <c r="F469" s="0" t="n">
        <v>2.45</v>
      </c>
      <c r="G469" s="0" t="n">
        <v>70</v>
      </c>
      <c r="I469" s="0" t="n">
        <v>171.5</v>
      </c>
      <c r="J469" s="0" t="n">
        <v>15</v>
      </c>
    </row>
    <row r="470" customFormat="false" ht="15" hidden="false" customHeight="false" outlineLevel="0" collapsed="false">
      <c r="A470" s="0" t="n">
        <v>10040</v>
      </c>
      <c r="J470" s="0" t="n">
        <v>-1</v>
      </c>
    </row>
    <row r="471" customFormat="false" ht="15" hidden="false" customHeight="false" outlineLevel="0" collapsed="false">
      <c r="A471" s="0" t="n">
        <v>10040</v>
      </c>
      <c r="J471" s="0" t="n">
        <v>-1</v>
      </c>
    </row>
    <row r="472" customFormat="false" ht="15" hidden="false" customHeight="false" outlineLevel="0" collapsed="false">
      <c r="A472" s="0" t="n">
        <v>10040</v>
      </c>
    </row>
    <row r="473" customFormat="false" ht="15" hidden="false" customHeight="false" outlineLevel="0" collapsed="false">
      <c r="A473" s="0" t="n">
        <v>10041</v>
      </c>
      <c r="B473" s="0" t="s">
        <v>95</v>
      </c>
      <c r="C473" s="0" t="n">
        <v>473</v>
      </c>
      <c r="D473" s="0" t="n">
        <v>6260806400020</v>
      </c>
      <c r="E473" s="94" t="s">
        <v>309</v>
      </c>
      <c r="F473" s="0" t="n">
        <v>1</v>
      </c>
      <c r="G473" s="0" t="n">
        <v>50</v>
      </c>
      <c r="I473" s="0" t="n">
        <v>50</v>
      </c>
      <c r="J473" s="0" t="n">
        <v>7</v>
      </c>
    </row>
    <row r="474" customFormat="false" ht="15" hidden="false" customHeight="false" outlineLevel="0" collapsed="false">
      <c r="A474" s="0" t="n">
        <v>10041</v>
      </c>
      <c r="B474" s="0" t="s">
        <v>95</v>
      </c>
      <c r="C474" s="0" t="n">
        <v>474</v>
      </c>
      <c r="D474" s="0" t="n">
        <v>6260308310278</v>
      </c>
      <c r="E474" s="94" t="s">
        <v>165</v>
      </c>
      <c r="F474" s="0" t="n">
        <v>1</v>
      </c>
      <c r="G474" s="0" t="n">
        <v>80</v>
      </c>
      <c r="I474" s="0" t="n">
        <v>80</v>
      </c>
      <c r="J474" s="0" t="n">
        <v>8</v>
      </c>
    </row>
    <row r="475" customFormat="false" ht="15" hidden="false" customHeight="false" outlineLevel="0" collapsed="false">
      <c r="A475" s="0" t="n">
        <v>10041</v>
      </c>
      <c r="B475" s="0" t="s">
        <v>95</v>
      </c>
      <c r="C475" s="0" t="n">
        <v>475</v>
      </c>
      <c r="D475" s="0" t="n">
        <v>5000</v>
      </c>
      <c r="E475" s="94" t="s">
        <v>271</v>
      </c>
      <c r="F475" s="0" t="n">
        <v>3</v>
      </c>
      <c r="G475" s="0" t="n">
        <v>2</v>
      </c>
      <c r="I475" s="0" t="n">
        <v>6</v>
      </c>
      <c r="J475" s="0" t="n">
        <v>9</v>
      </c>
    </row>
    <row r="476" customFormat="false" ht="15" hidden="false" customHeight="false" outlineLevel="0" collapsed="false">
      <c r="A476" s="0" t="n">
        <v>10042</v>
      </c>
      <c r="B476" s="0" t="s">
        <v>137</v>
      </c>
      <c r="C476" s="0" t="n">
        <v>476</v>
      </c>
      <c r="D476" s="0" t="n">
        <v>225822517542789</v>
      </c>
      <c r="E476" s="94" t="s">
        <v>429</v>
      </c>
      <c r="F476" s="0" t="n">
        <v>11</v>
      </c>
      <c r="G476" s="0" t="n">
        <v>8</v>
      </c>
      <c r="I476" s="0" t="n">
        <v>88</v>
      </c>
      <c r="J476" s="0" t="n">
        <v>7</v>
      </c>
    </row>
    <row r="477" customFormat="false" ht="15" hidden="false" customHeight="false" outlineLevel="0" collapsed="false">
      <c r="A477" s="0" t="n">
        <v>10042</v>
      </c>
      <c r="B477" s="0" t="s">
        <v>137</v>
      </c>
      <c r="C477" s="0" t="n">
        <v>477</v>
      </c>
      <c r="D477" s="0" t="n">
        <v>6260308301467</v>
      </c>
      <c r="E477" s="94" t="s">
        <v>430</v>
      </c>
      <c r="F477" s="0" t="n">
        <v>2</v>
      </c>
      <c r="G477" s="0" t="n">
        <v>55</v>
      </c>
      <c r="I477" s="0" t="n">
        <v>110</v>
      </c>
      <c r="J477" s="0" t="n">
        <v>8</v>
      </c>
    </row>
    <row r="478" customFormat="false" ht="15" hidden="false" customHeight="false" outlineLevel="0" collapsed="false">
      <c r="A478" s="0" t="n">
        <v>10042</v>
      </c>
      <c r="B478" s="0" t="s">
        <v>137</v>
      </c>
      <c r="C478" s="0" t="n">
        <v>478</v>
      </c>
      <c r="D478" s="0" t="n">
        <v>7700</v>
      </c>
      <c r="E478" s="94" t="s">
        <v>431</v>
      </c>
      <c r="F478" s="0" t="n">
        <v>3.956</v>
      </c>
      <c r="G478" s="0" t="n">
        <v>160</v>
      </c>
      <c r="I478" s="0" t="n">
        <v>632.96</v>
      </c>
      <c r="J478" s="0" t="n">
        <v>9</v>
      </c>
    </row>
    <row r="479" customFormat="false" ht="15" hidden="false" customHeight="false" outlineLevel="0" collapsed="false">
      <c r="A479" s="0" t="n">
        <v>10043</v>
      </c>
      <c r="B479" s="0" t="s">
        <v>95</v>
      </c>
      <c r="C479" s="0" t="n">
        <v>479</v>
      </c>
      <c r="D479" s="0" t="n">
        <v>6262310800334</v>
      </c>
      <c r="E479" s="94" t="s">
        <v>182</v>
      </c>
      <c r="F479" s="0" t="n">
        <v>1</v>
      </c>
      <c r="G479" s="0" t="n">
        <v>20</v>
      </c>
      <c r="I479" s="0" t="n">
        <v>20</v>
      </c>
      <c r="J479" s="0" t="n">
        <v>7</v>
      </c>
    </row>
    <row r="480" customFormat="false" ht="15" hidden="false" customHeight="false" outlineLevel="0" collapsed="false">
      <c r="A480" s="0" t="n">
        <v>10043</v>
      </c>
      <c r="B480" s="0" t="s">
        <v>95</v>
      </c>
      <c r="C480" s="0" t="n">
        <v>480</v>
      </c>
      <c r="D480" s="0" t="n">
        <v>6265826100134</v>
      </c>
      <c r="E480" s="94" t="s">
        <v>388</v>
      </c>
      <c r="F480" s="0" t="n">
        <v>2</v>
      </c>
      <c r="G480" s="0" t="n">
        <v>20</v>
      </c>
      <c r="I480" s="0" t="n">
        <v>40</v>
      </c>
      <c r="J480" s="0" t="n">
        <v>8</v>
      </c>
    </row>
    <row r="481" customFormat="false" ht="15" hidden="false" customHeight="false" outlineLevel="0" collapsed="false">
      <c r="A481" s="0" t="n">
        <v>10044</v>
      </c>
      <c r="B481" s="0" t="s">
        <v>137</v>
      </c>
      <c r="C481" s="0" t="n">
        <v>481</v>
      </c>
      <c r="D481" s="0" t="n">
        <v>6265826100134</v>
      </c>
      <c r="E481" s="94" t="s">
        <v>388</v>
      </c>
      <c r="F481" s="0" t="n">
        <v>10</v>
      </c>
      <c r="G481" s="0" t="n">
        <v>20</v>
      </c>
      <c r="I481" s="0" t="n">
        <v>200</v>
      </c>
      <c r="J481" s="0" t="n">
        <v>7</v>
      </c>
    </row>
    <row r="482" customFormat="false" ht="15" hidden="false" customHeight="false" outlineLevel="0" collapsed="false">
      <c r="A482" s="0" t="n">
        <v>10044</v>
      </c>
      <c r="B482" s="0" t="s">
        <v>137</v>
      </c>
      <c r="C482" s="0" t="n">
        <v>482</v>
      </c>
      <c r="D482" s="0" t="n">
        <v>6269365700077</v>
      </c>
      <c r="E482" s="94" t="s">
        <v>390</v>
      </c>
      <c r="F482" s="0" t="n">
        <v>10</v>
      </c>
      <c r="G482" s="0" t="n">
        <v>17</v>
      </c>
      <c r="I482" s="0" t="n">
        <v>170</v>
      </c>
      <c r="J482" s="0" t="n">
        <v>8</v>
      </c>
    </row>
    <row r="483" customFormat="false" ht="15" hidden="false" customHeight="false" outlineLevel="0" collapsed="false">
      <c r="A483" s="0" t="n">
        <v>10044</v>
      </c>
      <c r="B483" s="0" t="s">
        <v>137</v>
      </c>
      <c r="C483" s="0" t="n">
        <v>483</v>
      </c>
      <c r="D483" s="0" t="n">
        <v>6269365700091</v>
      </c>
      <c r="E483" s="94" t="s">
        <v>391</v>
      </c>
      <c r="F483" s="0" t="n">
        <v>10</v>
      </c>
      <c r="G483" s="0" t="n">
        <v>17</v>
      </c>
      <c r="I483" s="0" t="n">
        <v>170</v>
      </c>
      <c r="J483" s="0" t="n">
        <v>9</v>
      </c>
    </row>
    <row r="484" customFormat="false" ht="15" hidden="false" customHeight="false" outlineLevel="0" collapsed="false">
      <c r="A484" s="0" t="n">
        <v>10044</v>
      </c>
      <c r="B484" s="0" t="s">
        <v>137</v>
      </c>
      <c r="C484" s="0" t="n">
        <v>484</v>
      </c>
      <c r="D484" s="0" t="n">
        <v>6262003401961</v>
      </c>
      <c r="E484" s="94" t="s">
        <v>393</v>
      </c>
      <c r="F484" s="0" t="n">
        <v>10</v>
      </c>
      <c r="G484" s="0" t="n">
        <v>53</v>
      </c>
      <c r="I484" s="0" t="n">
        <v>530</v>
      </c>
      <c r="J484" s="0" t="n">
        <v>10</v>
      </c>
    </row>
    <row r="485" customFormat="false" ht="15" hidden="false" customHeight="false" outlineLevel="0" collapsed="false">
      <c r="A485" s="0" t="n">
        <v>10044</v>
      </c>
      <c r="B485" s="0" t="s">
        <v>137</v>
      </c>
      <c r="C485" s="0" t="n">
        <v>485</v>
      </c>
      <c r="D485" s="0" t="n">
        <v>6265826100028</v>
      </c>
      <c r="E485" s="94" t="s">
        <v>389</v>
      </c>
      <c r="F485" s="0" t="n">
        <v>10</v>
      </c>
      <c r="G485" s="0" t="n">
        <v>20</v>
      </c>
      <c r="I485" s="0" t="n">
        <v>200</v>
      </c>
      <c r="J485" s="0" t="n">
        <v>11</v>
      </c>
    </row>
    <row r="486" customFormat="false" ht="15" hidden="false" customHeight="false" outlineLevel="0" collapsed="false">
      <c r="A486" s="0" t="n">
        <v>10040</v>
      </c>
      <c r="B486" s="0" t="s">
        <v>95</v>
      </c>
      <c r="C486" s="0" t="n">
        <v>486</v>
      </c>
      <c r="D486" s="0" t="n">
        <v>6261149070321</v>
      </c>
      <c r="E486" s="94" t="s">
        <v>432</v>
      </c>
      <c r="F486" s="0" t="n">
        <v>1</v>
      </c>
      <c r="G486" s="0" t="n">
        <v>10</v>
      </c>
      <c r="I486" s="0" t="n">
        <v>10</v>
      </c>
      <c r="J486" s="0" t="n">
        <v>15</v>
      </c>
    </row>
    <row r="487" customFormat="false" ht="15" hidden="false" customHeight="false" outlineLevel="0" collapsed="false">
      <c r="A487" s="0" t="n">
        <v>10042</v>
      </c>
      <c r="B487" s="0" t="s">
        <v>137</v>
      </c>
      <c r="C487" s="0" t="n">
        <v>487</v>
      </c>
      <c r="D487" s="0" t="n">
        <v>6261422503423</v>
      </c>
      <c r="E487" s="94" t="s">
        <v>225</v>
      </c>
      <c r="F487" s="0" t="n">
        <v>2</v>
      </c>
      <c r="G487" s="0" t="n">
        <v>30</v>
      </c>
      <c r="I487" s="0" t="n">
        <v>60</v>
      </c>
      <c r="J487" s="0" t="n">
        <v>10</v>
      </c>
    </row>
    <row r="488" customFormat="false" ht="15" hidden="false" customHeight="false" outlineLevel="0" collapsed="false">
      <c r="A488" s="0" t="n">
        <v>10042</v>
      </c>
      <c r="B488" s="0" t="s">
        <v>137</v>
      </c>
      <c r="C488" s="0" t="n">
        <v>488</v>
      </c>
      <c r="D488" s="0" t="n">
        <v>6261422503782</v>
      </c>
      <c r="E488" s="94" t="s">
        <v>224</v>
      </c>
      <c r="F488" s="0" t="n">
        <v>21</v>
      </c>
      <c r="G488" s="0" t="n">
        <v>30</v>
      </c>
      <c r="I488" s="0" t="n">
        <v>630</v>
      </c>
      <c r="J488" s="0" t="n">
        <v>11</v>
      </c>
    </row>
    <row r="489" customFormat="false" ht="15" hidden="false" customHeight="false" outlineLevel="0" collapsed="false">
      <c r="A489" s="0" t="n">
        <v>10042</v>
      </c>
      <c r="B489" s="0" t="s">
        <v>137</v>
      </c>
      <c r="C489" s="0" t="n">
        <v>489</v>
      </c>
      <c r="D489" s="0" t="n">
        <v>6261422503157</v>
      </c>
      <c r="E489" s="94" t="s">
        <v>223</v>
      </c>
      <c r="F489" s="0" t="n">
        <v>24</v>
      </c>
      <c r="G489" s="0" t="n">
        <v>30</v>
      </c>
      <c r="I489" s="0" t="n">
        <v>720</v>
      </c>
      <c r="J489" s="0" t="n">
        <v>12</v>
      </c>
    </row>
    <row r="490" customFormat="false" ht="15" hidden="false" customHeight="false" outlineLevel="0" collapsed="false">
      <c r="A490" s="0" t="n">
        <v>10045</v>
      </c>
      <c r="B490" s="0" t="s">
        <v>95</v>
      </c>
      <c r="C490" s="0" t="n">
        <v>490</v>
      </c>
      <c r="D490" s="0" t="n">
        <v>6260918500175</v>
      </c>
      <c r="E490" s="94" t="s">
        <v>370</v>
      </c>
      <c r="F490" s="0" t="n">
        <v>2</v>
      </c>
      <c r="G490" s="0" t="n">
        <v>10</v>
      </c>
      <c r="I490" s="0" t="n">
        <v>20</v>
      </c>
      <c r="J490" s="0" t="n">
        <v>7</v>
      </c>
    </row>
    <row r="491" customFormat="false" ht="15" hidden="false" customHeight="false" outlineLevel="0" collapsed="false">
      <c r="A491" s="0" t="n">
        <v>10046</v>
      </c>
      <c r="B491" s="0" t="s">
        <v>137</v>
      </c>
      <c r="C491" s="0" t="n">
        <v>491</v>
      </c>
      <c r="D491" s="0" t="n">
        <v>7800</v>
      </c>
      <c r="E491" s="94" t="s">
        <v>433</v>
      </c>
      <c r="F491" s="0" t="n">
        <v>31</v>
      </c>
      <c r="G491" s="0" t="n">
        <v>6</v>
      </c>
      <c r="I491" s="0" t="n">
        <v>186</v>
      </c>
      <c r="J491" s="0" t="n">
        <v>7</v>
      </c>
    </row>
    <row r="492" customFormat="false" ht="15" hidden="false" customHeight="false" outlineLevel="0" collapsed="false">
      <c r="A492" s="0" t="n">
        <v>10046</v>
      </c>
      <c r="B492" s="0" t="s">
        <v>137</v>
      </c>
      <c r="C492" s="0" t="n">
        <v>492</v>
      </c>
      <c r="D492" s="0" t="n">
        <v>6269948100201</v>
      </c>
      <c r="E492" s="94" t="s">
        <v>434</v>
      </c>
      <c r="F492" s="0" t="n">
        <v>6</v>
      </c>
      <c r="G492" s="0" t="n">
        <v>10</v>
      </c>
      <c r="I492" s="0" t="n">
        <v>60</v>
      </c>
      <c r="J492" s="0" t="n">
        <v>8</v>
      </c>
    </row>
    <row r="493" customFormat="false" ht="15" hidden="false" customHeight="false" outlineLevel="0" collapsed="false">
      <c r="A493" s="0" t="n">
        <v>10046</v>
      </c>
      <c r="B493" s="0" t="s">
        <v>137</v>
      </c>
      <c r="C493" s="0" t="n">
        <v>493</v>
      </c>
      <c r="D493" s="0" t="n">
        <v>6269948100195</v>
      </c>
      <c r="E493" s="94" t="s">
        <v>435</v>
      </c>
      <c r="F493" s="0" t="n">
        <v>10</v>
      </c>
      <c r="G493" s="0" t="n">
        <v>10</v>
      </c>
      <c r="I493" s="0" t="n">
        <v>100</v>
      </c>
      <c r="J493" s="0" t="n">
        <v>9</v>
      </c>
    </row>
    <row r="494" customFormat="false" ht="15" hidden="false" customHeight="false" outlineLevel="0" collapsed="false">
      <c r="A494" s="0" t="n">
        <v>10047</v>
      </c>
      <c r="B494" s="0" t="s">
        <v>95</v>
      </c>
      <c r="C494" s="0" t="n">
        <v>494</v>
      </c>
      <c r="D494" s="0" t="n">
        <v>6269365700077</v>
      </c>
      <c r="E494" s="94" t="s">
        <v>390</v>
      </c>
      <c r="F494" s="0" t="n">
        <v>3</v>
      </c>
      <c r="G494" s="0" t="n">
        <v>18</v>
      </c>
      <c r="I494" s="0" t="n">
        <v>54</v>
      </c>
      <c r="J494" s="0" t="n">
        <v>7</v>
      </c>
    </row>
    <row r="495" customFormat="false" ht="15" hidden="false" customHeight="false" outlineLevel="0" collapsed="false">
      <c r="A495" s="0" t="n">
        <v>10048</v>
      </c>
      <c r="B495" s="0" t="s">
        <v>95</v>
      </c>
      <c r="C495" s="0" t="n">
        <v>495</v>
      </c>
      <c r="D495" s="0" t="n">
        <v>6260022324025</v>
      </c>
      <c r="E495" s="94" t="s">
        <v>308</v>
      </c>
      <c r="F495" s="0" t="n">
        <v>1</v>
      </c>
      <c r="G495" s="0" t="n">
        <v>35</v>
      </c>
      <c r="I495" s="0" t="n">
        <v>35</v>
      </c>
      <c r="J495" s="0" t="n">
        <v>7</v>
      </c>
    </row>
    <row r="496" customFormat="false" ht="15" hidden="false" customHeight="false" outlineLevel="0" collapsed="false">
      <c r="A496" s="0" t="n">
        <v>10049</v>
      </c>
      <c r="B496" s="0" t="s">
        <v>95</v>
      </c>
      <c r="C496" s="0" t="n">
        <v>496</v>
      </c>
      <c r="D496" s="0" t="n">
        <v>6265826100028</v>
      </c>
      <c r="E496" s="94" t="s">
        <v>389</v>
      </c>
      <c r="F496" s="0" t="n">
        <v>2</v>
      </c>
      <c r="G496" s="0" t="n">
        <v>21</v>
      </c>
      <c r="I496" s="0" t="n">
        <v>42</v>
      </c>
      <c r="J496" s="0" t="n">
        <v>7</v>
      </c>
    </row>
    <row r="497" customFormat="false" ht="15" hidden="false" customHeight="false" outlineLevel="0" collapsed="false">
      <c r="A497" s="0" t="n">
        <v>10050</v>
      </c>
      <c r="B497" s="0" t="s">
        <v>95</v>
      </c>
      <c r="C497" s="0" t="n">
        <v>497</v>
      </c>
      <c r="D497" s="0" t="n">
        <v>7700</v>
      </c>
      <c r="E497" s="94" t="s">
        <v>431</v>
      </c>
      <c r="F497" s="0" t="n">
        <v>0.56</v>
      </c>
      <c r="G497" s="0" t="n">
        <v>180</v>
      </c>
      <c r="I497" s="0" t="n">
        <v>100.8</v>
      </c>
      <c r="J497" s="0" t="n">
        <v>7</v>
      </c>
    </row>
    <row r="498" customFormat="false" ht="15" hidden="false" customHeight="false" outlineLevel="0" collapsed="false">
      <c r="A498" s="0" t="n">
        <v>10051</v>
      </c>
      <c r="B498" s="0" t="s">
        <v>95</v>
      </c>
      <c r="C498" s="0" t="n">
        <v>498</v>
      </c>
      <c r="D498" s="0" t="n">
        <v>1300</v>
      </c>
      <c r="E498" s="94" t="s">
        <v>268</v>
      </c>
      <c r="F498" s="0" t="n">
        <v>8</v>
      </c>
      <c r="G498" s="0" t="n">
        <v>4.5</v>
      </c>
      <c r="I498" s="0" t="n">
        <v>36</v>
      </c>
      <c r="J498" s="0" t="n">
        <v>7</v>
      </c>
    </row>
    <row r="499" customFormat="false" ht="15" hidden="false" customHeight="false" outlineLevel="0" collapsed="false">
      <c r="A499" s="0" t="n">
        <v>10052</v>
      </c>
      <c r="B499" s="0" t="s">
        <v>95</v>
      </c>
      <c r="C499" s="0" t="n">
        <v>499</v>
      </c>
      <c r="D499" s="0" t="n">
        <v>6269988500269</v>
      </c>
      <c r="E499" s="94" t="s">
        <v>379</v>
      </c>
      <c r="F499" s="0" t="n">
        <v>1</v>
      </c>
      <c r="G499" s="0" t="n">
        <v>12</v>
      </c>
      <c r="I499" s="0" t="n">
        <v>12</v>
      </c>
      <c r="J499" s="0" t="n">
        <v>7</v>
      </c>
    </row>
    <row r="500" customFormat="false" ht="15" hidden="false" customHeight="false" outlineLevel="0" collapsed="false">
      <c r="A500" s="0" t="n">
        <v>10052</v>
      </c>
      <c r="B500" s="0" t="s">
        <v>95</v>
      </c>
      <c r="C500" s="0" t="n">
        <v>500</v>
      </c>
      <c r="D500" s="0" t="n">
        <v>1100</v>
      </c>
      <c r="E500" s="94" t="s">
        <v>256</v>
      </c>
      <c r="F500" s="0" t="n">
        <v>6</v>
      </c>
      <c r="G500" s="0" t="n">
        <v>3</v>
      </c>
      <c r="I500" s="0" t="n">
        <v>18</v>
      </c>
      <c r="J500" s="0" t="n">
        <v>8</v>
      </c>
    </row>
    <row r="501" customFormat="false" ht="15" hidden="false" customHeight="false" outlineLevel="0" collapsed="false">
      <c r="A501" s="0" t="n">
        <v>10053</v>
      </c>
    </row>
    <row r="502" customFormat="false" ht="15" hidden="false" customHeight="false" outlineLevel="0" collapsed="false">
      <c r="A502" s="0" t="n">
        <v>10054</v>
      </c>
      <c r="B502" s="0" t="s">
        <v>95</v>
      </c>
      <c r="C502" s="0" t="n">
        <v>502</v>
      </c>
      <c r="D502" s="0" t="n">
        <v>160100153410010</v>
      </c>
      <c r="E502" s="94" t="s">
        <v>191</v>
      </c>
      <c r="F502" s="0" t="n">
        <v>2</v>
      </c>
      <c r="G502" s="0" t="n">
        <v>37.5</v>
      </c>
      <c r="I502" s="0" t="n">
        <v>75</v>
      </c>
      <c r="J502" s="0" t="n">
        <v>7</v>
      </c>
    </row>
    <row r="503" customFormat="false" ht="15" hidden="false" customHeight="false" outlineLevel="0" collapsed="false">
      <c r="A503" s="0" t="n">
        <v>10054</v>
      </c>
    </row>
    <row r="504" customFormat="false" ht="15" hidden="false" customHeight="false" outlineLevel="0" collapsed="false">
      <c r="A504" s="0" t="n">
        <v>10054</v>
      </c>
      <c r="B504" s="0" t="s">
        <v>95</v>
      </c>
      <c r="C504" s="0" t="n">
        <v>504</v>
      </c>
      <c r="D504" s="0" t="n">
        <v>6260166910306</v>
      </c>
      <c r="E504" s="94" t="s">
        <v>216</v>
      </c>
      <c r="F504" s="0" t="n">
        <v>1</v>
      </c>
      <c r="G504" s="0" t="n">
        <v>10</v>
      </c>
      <c r="I504" s="0" t="n">
        <v>10</v>
      </c>
      <c r="J504" s="0" t="n">
        <v>8</v>
      </c>
    </row>
    <row r="505" customFormat="false" ht="15" hidden="false" customHeight="false" outlineLevel="0" collapsed="false">
      <c r="A505" s="0" t="n">
        <v>10055</v>
      </c>
      <c r="B505" s="0" t="s">
        <v>137</v>
      </c>
      <c r="C505" s="0" t="n">
        <v>505</v>
      </c>
      <c r="D505" s="0" t="n">
        <v>160290016690012</v>
      </c>
      <c r="E505" s="94" t="s">
        <v>216</v>
      </c>
      <c r="F505" s="0" t="n">
        <v>9</v>
      </c>
      <c r="G505" s="0" t="n">
        <v>10</v>
      </c>
      <c r="I505" s="0" t="n">
        <v>90</v>
      </c>
      <c r="J505" s="0" t="n">
        <v>7</v>
      </c>
    </row>
    <row r="506" customFormat="false" ht="15" hidden="false" customHeight="false" outlineLevel="0" collapsed="false">
      <c r="A506" s="0" t="n">
        <v>10056</v>
      </c>
      <c r="B506" s="0" t="s">
        <v>95</v>
      </c>
      <c r="C506" s="0" t="n">
        <v>506</v>
      </c>
      <c r="D506" s="0" t="n">
        <v>6260063298149</v>
      </c>
      <c r="E506" s="94" t="s">
        <v>419</v>
      </c>
      <c r="F506" s="0" t="n">
        <v>1</v>
      </c>
      <c r="G506" s="0" t="n">
        <v>15</v>
      </c>
      <c r="I506" s="0" t="n">
        <v>15</v>
      </c>
      <c r="J506" s="0" t="n">
        <v>7</v>
      </c>
    </row>
    <row r="507" customFormat="false" ht="15" hidden="false" customHeight="false" outlineLevel="0" collapsed="false">
      <c r="A507" s="0" t="n">
        <v>10057</v>
      </c>
      <c r="B507" s="0" t="s">
        <v>95</v>
      </c>
      <c r="C507" s="0" t="n">
        <v>507</v>
      </c>
      <c r="D507" s="0" t="n">
        <v>6265826100837</v>
      </c>
      <c r="E507" s="94" t="s">
        <v>409</v>
      </c>
      <c r="F507" s="0" t="n">
        <v>2</v>
      </c>
      <c r="G507" s="0" t="n">
        <v>18</v>
      </c>
      <c r="I507" s="0" t="n">
        <v>36</v>
      </c>
      <c r="J507" s="0" t="n">
        <v>7</v>
      </c>
    </row>
    <row r="508" customFormat="false" ht="15" hidden="false" customHeight="false" outlineLevel="0" collapsed="false">
      <c r="A508" s="0" t="n">
        <v>10058</v>
      </c>
      <c r="B508" s="0" t="s">
        <v>95</v>
      </c>
      <c r="C508" s="0" t="n">
        <v>508</v>
      </c>
      <c r="D508" s="0" t="n">
        <v>1169910018400000</v>
      </c>
      <c r="E508" s="94" t="s">
        <v>338</v>
      </c>
      <c r="F508" s="0" t="n">
        <v>1</v>
      </c>
      <c r="G508" s="0" t="n">
        <v>1</v>
      </c>
      <c r="I508" s="0" t="n">
        <v>1</v>
      </c>
      <c r="J508" s="0" t="n">
        <v>7</v>
      </c>
    </row>
    <row r="509" customFormat="false" ht="15" hidden="false" customHeight="false" outlineLevel="0" collapsed="false">
      <c r="A509" s="0" t="n">
        <v>10059</v>
      </c>
      <c r="B509" s="0" t="s">
        <v>137</v>
      </c>
      <c r="C509" s="0" t="n">
        <v>509</v>
      </c>
      <c r="D509" s="0" t="n">
        <v>6262228200028</v>
      </c>
      <c r="E509" s="94" t="s">
        <v>254</v>
      </c>
      <c r="F509" s="0" t="n">
        <v>14</v>
      </c>
      <c r="G509" s="0" t="n">
        <v>8</v>
      </c>
      <c r="I509" s="0" t="n">
        <v>112</v>
      </c>
      <c r="J509" s="0" t="n">
        <v>7</v>
      </c>
    </row>
    <row r="510" customFormat="false" ht="15" hidden="false" customHeight="false" outlineLevel="0" collapsed="false">
      <c r="A510" s="0" t="n">
        <v>10059</v>
      </c>
      <c r="B510" s="0" t="s">
        <v>137</v>
      </c>
      <c r="C510" s="0" t="n">
        <v>510</v>
      </c>
      <c r="D510" s="0" t="n">
        <v>160290222820002</v>
      </c>
      <c r="E510" s="94" t="s">
        <v>253</v>
      </c>
      <c r="F510" s="0" t="n">
        <v>14</v>
      </c>
      <c r="G510" s="0" t="n">
        <v>7</v>
      </c>
      <c r="I510" s="0" t="n">
        <v>98</v>
      </c>
      <c r="J510" s="0" t="n">
        <v>8</v>
      </c>
    </row>
    <row r="511" customFormat="false" ht="15" hidden="false" customHeight="false" outlineLevel="0" collapsed="false">
      <c r="A511" s="0" t="n">
        <v>10058</v>
      </c>
      <c r="B511" s="0" t="s">
        <v>95</v>
      </c>
      <c r="C511" s="0" t="n">
        <v>511</v>
      </c>
      <c r="D511" s="0" t="n">
        <v>160290222820002</v>
      </c>
      <c r="E511" s="94" t="s">
        <v>253</v>
      </c>
      <c r="F511" s="0" t="n">
        <v>1</v>
      </c>
      <c r="G511" s="0" t="n">
        <v>8</v>
      </c>
      <c r="I511" s="0" t="n">
        <v>8</v>
      </c>
      <c r="J511" s="0" t="n">
        <v>8</v>
      </c>
    </row>
    <row r="512" customFormat="false" ht="15" hidden="false" customHeight="false" outlineLevel="0" collapsed="false">
      <c r="A512" s="0" t="n">
        <v>10059</v>
      </c>
      <c r="B512" s="0" t="s">
        <v>137</v>
      </c>
      <c r="C512" s="0" t="n">
        <v>512</v>
      </c>
      <c r="D512" s="0" t="n">
        <v>6260124301429</v>
      </c>
      <c r="E512" s="94" t="s">
        <v>255</v>
      </c>
      <c r="F512" s="0" t="n">
        <v>14</v>
      </c>
      <c r="G512" s="0" t="n">
        <v>8</v>
      </c>
      <c r="I512" s="0" t="n">
        <v>112</v>
      </c>
      <c r="J512" s="0" t="n">
        <v>9</v>
      </c>
    </row>
    <row r="513" customFormat="false" ht="15" hidden="false" customHeight="false" outlineLevel="0" collapsed="false">
      <c r="A513" s="0" t="n">
        <v>10060</v>
      </c>
      <c r="B513" s="0" t="s">
        <v>95</v>
      </c>
      <c r="C513" s="0" t="n">
        <v>513</v>
      </c>
      <c r="D513" s="0" t="n">
        <v>5200</v>
      </c>
      <c r="E513" s="94" t="s">
        <v>323</v>
      </c>
      <c r="F513" s="0" t="n">
        <v>1</v>
      </c>
      <c r="G513" s="0" t="n">
        <v>1</v>
      </c>
      <c r="I513" s="0" t="n">
        <v>1</v>
      </c>
      <c r="J513" s="0" t="n">
        <v>7</v>
      </c>
    </row>
    <row r="514" customFormat="false" ht="15" hidden="false" customHeight="false" outlineLevel="0" collapsed="false">
      <c r="A514" s="0" t="n">
        <v>10060</v>
      </c>
      <c r="B514" s="0" t="s">
        <v>95</v>
      </c>
      <c r="C514" s="0" t="n">
        <v>514</v>
      </c>
      <c r="D514" s="0" t="n">
        <v>2200</v>
      </c>
      <c r="E514" s="94" t="s">
        <v>164</v>
      </c>
      <c r="F514" s="0" t="n">
        <v>2.345</v>
      </c>
      <c r="G514" s="0" t="n">
        <v>70</v>
      </c>
      <c r="I514" s="0" t="n">
        <v>164.15</v>
      </c>
      <c r="J514" s="0" t="n">
        <v>8</v>
      </c>
    </row>
    <row r="515" customFormat="false" ht="15" hidden="false" customHeight="false" outlineLevel="0" collapsed="false">
      <c r="A515" s="0" t="n">
        <v>10061</v>
      </c>
      <c r="B515" s="0" t="s">
        <v>95</v>
      </c>
      <c r="C515" s="0" t="n">
        <v>515</v>
      </c>
      <c r="D515" s="0" t="n">
        <v>6260053186241</v>
      </c>
      <c r="E515" s="94" t="s">
        <v>355</v>
      </c>
      <c r="F515" s="0" t="n">
        <v>1</v>
      </c>
      <c r="G515" s="0" t="n">
        <v>25</v>
      </c>
      <c r="I515" s="0" t="n">
        <v>25</v>
      </c>
      <c r="J515" s="0" t="n">
        <v>7</v>
      </c>
    </row>
    <row r="516" customFormat="false" ht="15" hidden="false" customHeight="false" outlineLevel="0" collapsed="false">
      <c r="A516" s="0" t="n">
        <v>10062</v>
      </c>
      <c r="B516" s="0" t="s">
        <v>95</v>
      </c>
      <c r="C516" s="0" t="n">
        <v>516</v>
      </c>
      <c r="D516" s="0" t="n">
        <v>7700</v>
      </c>
      <c r="E516" s="94" t="s">
        <v>431</v>
      </c>
      <c r="F516" s="0" t="n">
        <v>0.395</v>
      </c>
      <c r="G516" s="0" t="n">
        <v>180</v>
      </c>
      <c r="I516" s="0" t="n">
        <v>71.1</v>
      </c>
      <c r="J516" s="0" t="n">
        <v>7</v>
      </c>
    </row>
    <row r="517" customFormat="false" ht="15" hidden="false" customHeight="false" outlineLevel="0" collapsed="false">
      <c r="A517" s="0" t="n">
        <v>10063</v>
      </c>
      <c r="B517" s="0" t="s">
        <v>95</v>
      </c>
      <c r="C517" s="0" t="n">
        <v>517</v>
      </c>
      <c r="D517" s="0" t="n">
        <v>6261847503244</v>
      </c>
      <c r="E517" s="94" t="s">
        <v>350</v>
      </c>
      <c r="F517" s="0" t="n">
        <v>1</v>
      </c>
      <c r="G517" s="0" t="n">
        <v>18</v>
      </c>
      <c r="I517" s="0" t="n">
        <v>18</v>
      </c>
      <c r="J517" s="0" t="n">
        <v>7</v>
      </c>
    </row>
    <row r="518" customFormat="false" ht="15" hidden="false" customHeight="false" outlineLevel="0" collapsed="false">
      <c r="A518" s="0" t="n">
        <v>10063</v>
      </c>
      <c r="B518" s="0" t="s">
        <v>95</v>
      </c>
      <c r="C518" s="0" t="n">
        <v>518</v>
      </c>
      <c r="D518" s="0" t="n">
        <v>6264078409156</v>
      </c>
      <c r="E518" s="94" t="s">
        <v>422</v>
      </c>
      <c r="F518" s="0" t="n">
        <v>3</v>
      </c>
      <c r="G518" s="0" t="n">
        <v>10</v>
      </c>
      <c r="I518" s="0" t="n">
        <v>30</v>
      </c>
      <c r="J518" s="0" t="n">
        <v>8</v>
      </c>
    </row>
    <row r="519" customFormat="false" ht="15" hidden="false" customHeight="false" outlineLevel="0" collapsed="false">
      <c r="A519" s="0" t="n">
        <v>10064</v>
      </c>
      <c r="B519" s="0" t="s">
        <v>95</v>
      </c>
      <c r="C519" s="0" t="n">
        <v>519</v>
      </c>
      <c r="D519" s="0" t="n">
        <v>6260918500175</v>
      </c>
      <c r="E519" s="94" t="s">
        <v>370</v>
      </c>
      <c r="F519" s="0" t="n">
        <v>2</v>
      </c>
      <c r="G519" s="0" t="n">
        <v>10</v>
      </c>
      <c r="I519" s="0" t="n">
        <v>20</v>
      </c>
      <c r="J519" s="0" t="n">
        <v>7</v>
      </c>
    </row>
    <row r="520" customFormat="false" ht="15" hidden="false" customHeight="false" outlineLevel="0" collapsed="false">
      <c r="A520" s="0" t="n">
        <v>10065</v>
      </c>
      <c r="B520" s="0" t="s">
        <v>95</v>
      </c>
      <c r="C520" s="0" t="n">
        <v>520</v>
      </c>
      <c r="D520" s="0" t="n">
        <v>6265663104265</v>
      </c>
      <c r="E520" s="94" t="s">
        <v>363</v>
      </c>
      <c r="F520" s="0" t="n">
        <v>1</v>
      </c>
      <c r="G520" s="0" t="n">
        <v>10</v>
      </c>
      <c r="I520" s="0" t="n">
        <v>10</v>
      </c>
      <c r="J520" s="0" t="n">
        <v>7</v>
      </c>
    </row>
    <row r="521" customFormat="false" ht="15" hidden="false" customHeight="false" outlineLevel="0" collapsed="false">
      <c r="A521" s="0" t="n">
        <v>10065</v>
      </c>
      <c r="B521" s="0" t="s">
        <v>95</v>
      </c>
      <c r="C521" s="0" t="n">
        <v>521</v>
      </c>
      <c r="D521" s="0" t="n">
        <v>6265663104265</v>
      </c>
      <c r="E521" s="94" t="s">
        <v>363</v>
      </c>
      <c r="F521" s="0" t="n">
        <v>1</v>
      </c>
      <c r="G521" s="0" t="n">
        <v>10</v>
      </c>
      <c r="I521" s="0" t="n">
        <v>10</v>
      </c>
      <c r="J521" s="0" t="n">
        <v>8</v>
      </c>
    </row>
    <row r="522" customFormat="false" ht="15" hidden="false" customHeight="false" outlineLevel="0" collapsed="false">
      <c r="A522" s="0" t="n">
        <v>10065</v>
      </c>
      <c r="B522" s="0" t="s">
        <v>95</v>
      </c>
      <c r="C522" s="0" t="n">
        <v>522</v>
      </c>
      <c r="D522" s="0" t="n">
        <v>6260007406463</v>
      </c>
      <c r="E522" s="94" t="s">
        <v>234</v>
      </c>
      <c r="F522" s="0" t="n">
        <v>1</v>
      </c>
      <c r="G522" s="0" t="n">
        <v>17</v>
      </c>
      <c r="I522" s="0" t="n">
        <v>17</v>
      </c>
      <c r="J522" s="0" t="n">
        <v>9</v>
      </c>
    </row>
    <row r="523" customFormat="false" ht="15" hidden="false" customHeight="false" outlineLevel="0" collapsed="false">
      <c r="A523" s="0" t="n">
        <v>10065</v>
      </c>
      <c r="B523" s="0" t="s">
        <v>95</v>
      </c>
      <c r="C523" s="0" t="n">
        <v>523</v>
      </c>
      <c r="D523" s="0" t="n">
        <v>6260007406463</v>
      </c>
      <c r="E523" s="94" t="s">
        <v>234</v>
      </c>
      <c r="F523" s="0" t="n">
        <v>1</v>
      </c>
      <c r="G523" s="0" t="n">
        <v>17</v>
      </c>
      <c r="I523" s="0" t="n">
        <v>17</v>
      </c>
      <c r="J523" s="0" t="n">
        <v>10</v>
      </c>
    </row>
    <row r="524" customFormat="false" ht="15" hidden="false" customHeight="false" outlineLevel="0" collapsed="false">
      <c r="A524" s="0" t="n">
        <v>10065</v>
      </c>
      <c r="B524" s="0" t="s">
        <v>95</v>
      </c>
      <c r="C524" s="0" t="n">
        <v>524</v>
      </c>
      <c r="D524" s="0" t="n">
        <v>6265499500040</v>
      </c>
      <c r="E524" s="94" t="s">
        <v>208</v>
      </c>
      <c r="F524" s="0" t="n">
        <v>1</v>
      </c>
      <c r="G524" s="0" t="n">
        <v>80</v>
      </c>
      <c r="I524" s="0" t="n">
        <v>80</v>
      </c>
      <c r="J524" s="0" t="n">
        <v>11</v>
      </c>
    </row>
    <row r="525" customFormat="false" ht="15" hidden="false" customHeight="false" outlineLevel="0" collapsed="false">
      <c r="A525" s="0" t="n">
        <v>10066</v>
      </c>
      <c r="B525" s="0" t="s">
        <v>95</v>
      </c>
      <c r="C525" s="0" t="n">
        <v>525</v>
      </c>
      <c r="D525" s="0" t="n">
        <v>6265663104265</v>
      </c>
      <c r="E525" s="94" t="s">
        <v>352</v>
      </c>
      <c r="F525" s="0" t="n">
        <v>1</v>
      </c>
      <c r="G525" s="0" t="n">
        <v>25</v>
      </c>
      <c r="I525" s="0" t="n">
        <v>25</v>
      </c>
      <c r="J525" s="0" t="n">
        <v>7</v>
      </c>
    </row>
    <row r="526" customFormat="false" ht="15" hidden="false" customHeight="false" outlineLevel="0" collapsed="false">
      <c r="A526" s="0" t="n">
        <v>10066</v>
      </c>
    </row>
    <row r="527" customFormat="false" ht="15" hidden="false" customHeight="false" outlineLevel="0" collapsed="false">
      <c r="A527" s="0" t="n">
        <v>10067</v>
      </c>
      <c r="B527" s="0" t="s">
        <v>95</v>
      </c>
      <c r="C527" s="0" t="n">
        <v>527</v>
      </c>
      <c r="D527" s="0" t="n">
        <v>6265663104265</v>
      </c>
      <c r="E527" s="94" t="s">
        <v>363</v>
      </c>
      <c r="F527" s="0" t="n">
        <v>2</v>
      </c>
      <c r="G527" s="0" t="n">
        <v>10</v>
      </c>
      <c r="I527" s="0" t="n">
        <v>20</v>
      </c>
      <c r="J527" s="0" t="n">
        <v>7</v>
      </c>
    </row>
    <row r="528" customFormat="false" ht="15" hidden="false" customHeight="false" outlineLevel="0" collapsed="false">
      <c r="A528" s="0" t="n">
        <v>10068</v>
      </c>
      <c r="B528" s="0" t="s">
        <v>95</v>
      </c>
      <c r="C528" s="0" t="n">
        <v>528</v>
      </c>
      <c r="D528" s="0" t="n">
        <v>6261163400197</v>
      </c>
      <c r="E528" s="94" t="s">
        <v>418</v>
      </c>
      <c r="F528" s="0" t="n">
        <v>2</v>
      </c>
      <c r="G528" s="0" t="n">
        <v>20</v>
      </c>
      <c r="I528" s="0" t="n">
        <v>40</v>
      </c>
      <c r="J528" s="0" t="n">
        <v>7</v>
      </c>
    </row>
    <row r="529" customFormat="false" ht="15" hidden="false" customHeight="false" outlineLevel="0" collapsed="false">
      <c r="A529" s="0" t="n">
        <v>10069</v>
      </c>
      <c r="B529" s="0" t="s">
        <v>95</v>
      </c>
      <c r="C529" s="0" t="n">
        <v>529</v>
      </c>
      <c r="D529" s="0" t="n">
        <v>5600</v>
      </c>
      <c r="E529" s="94" t="s">
        <v>167</v>
      </c>
      <c r="F529" s="0" t="n">
        <v>0.2</v>
      </c>
      <c r="G529" s="0" t="n">
        <v>750</v>
      </c>
      <c r="I529" s="0" t="n">
        <v>150</v>
      </c>
      <c r="J529" s="0" t="n">
        <v>7</v>
      </c>
    </row>
    <row r="530" customFormat="false" ht="15" hidden="false" customHeight="false" outlineLevel="0" collapsed="false">
      <c r="A530" s="0" t="n">
        <v>10069</v>
      </c>
      <c r="B530" s="0" t="s">
        <v>95</v>
      </c>
      <c r="C530" s="0" t="n">
        <v>530</v>
      </c>
      <c r="D530" s="0" t="n">
        <v>1300</v>
      </c>
      <c r="E530" s="94" t="s">
        <v>268</v>
      </c>
      <c r="F530" s="0" t="n">
        <v>3</v>
      </c>
      <c r="G530" s="0" t="n">
        <v>4.5</v>
      </c>
      <c r="I530" s="0" t="n">
        <v>13.5</v>
      </c>
      <c r="J530" s="0" t="n">
        <v>8</v>
      </c>
    </row>
    <row r="531" customFormat="false" ht="15" hidden="false" customHeight="false" outlineLevel="0" collapsed="false">
      <c r="A531" s="0" t="n">
        <v>10070</v>
      </c>
      <c r="B531" s="0" t="s">
        <v>95</v>
      </c>
      <c r="C531" s="0" t="n">
        <v>531</v>
      </c>
      <c r="D531" s="0" t="n">
        <v>6260152300586</v>
      </c>
      <c r="E531" s="94" t="s">
        <v>247</v>
      </c>
      <c r="F531" s="0" t="n">
        <v>1</v>
      </c>
      <c r="G531" s="0" t="n">
        <v>130</v>
      </c>
      <c r="I531" s="0" t="n">
        <v>130</v>
      </c>
      <c r="J531" s="0" t="n">
        <v>7</v>
      </c>
    </row>
    <row r="532" customFormat="false" ht="15" hidden="false" customHeight="false" outlineLevel="0" collapsed="false">
      <c r="A532" s="0" t="n">
        <v>10070</v>
      </c>
      <c r="B532" s="0" t="s">
        <v>95</v>
      </c>
      <c r="C532" s="0" t="n">
        <v>532</v>
      </c>
      <c r="D532" s="0" t="n">
        <v>1300</v>
      </c>
      <c r="E532" s="94" t="s">
        <v>268</v>
      </c>
      <c r="F532" s="0" t="n">
        <v>7</v>
      </c>
      <c r="G532" s="0" t="n">
        <v>4.5</v>
      </c>
      <c r="I532" s="0" t="n">
        <v>31.5</v>
      </c>
      <c r="J532" s="0" t="n">
        <v>8</v>
      </c>
    </row>
    <row r="533" customFormat="false" ht="15" hidden="false" customHeight="false" outlineLevel="0" collapsed="false">
      <c r="A533" s="0" t="n">
        <v>10071</v>
      </c>
      <c r="B533" s="0" t="s">
        <v>95</v>
      </c>
      <c r="C533" s="0" t="n">
        <v>533</v>
      </c>
      <c r="D533" s="0" t="n">
        <v>1300</v>
      </c>
      <c r="E533" s="94" t="s">
        <v>268</v>
      </c>
      <c r="F533" s="0" t="n">
        <v>10</v>
      </c>
      <c r="G533" s="0" t="n">
        <v>4.5</v>
      </c>
      <c r="I533" s="0" t="n">
        <v>45</v>
      </c>
      <c r="J533" s="0" t="n">
        <v>7</v>
      </c>
    </row>
    <row r="534" customFormat="false" ht="15" hidden="false" customHeight="false" outlineLevel="0" collapsed="false">
      <c r="A534" s="0" t="n">
        <v>10071</v>
      </c>
      <c r="B534" s="0" t="s">
        <v>95</v>
      </c>
      <c r="C534" s="0" t="n">
        <v>534</v>
      </c>
      <c r="D534" s="0" t="n">
        <v>6262181500128</v>
      </c>
      <c r="E534" s="94" t="s">
        <v>275</v>
      </c>
      <c r="F534" s="0" t="n">
        <v>3</v>
      </c>
      <c r="G534" s="0" t="n">
        <v>5</v>
      </c>
      <c r="I534" s="0" t="n">
        <v>15</v>
      </c>
      <c r="J534" s="0" t="n">
        <v>8</v>
      </c>
    </row>
    <row r="535" customFormat="false" ht="15" hidden="false" customHeight="false" outlineLevel="0" collapsed="false">
      <c r="A535" s="0" t="n">
        <v>10071</v>
      </c>
      <c r="B535" s="0" t="s">
        <v>95</v>
      </c>
      <c r="C535" s="0" t="n">
        <v>535</v>
      </c>
      <c r="D535" s="0" t="n">
        <v>6260737001631</v>
      </c>
      <c r="E535" s="94" t="s">
        <v>197</v>
      </c>
      <c r="F535" s="0" t="n">
        <v>1</v>
      </c>
      <c r="G535" s="0" t="n">
        <v>10</v>
      </c>
      <c r="I535" s="0" t="n">
        <v>10</v>
      </c>
      <c r="J535" s="0" t="n">
        <v>9</v>
      </c>
    </row>
    <row r="536" customFormat="false" ht="15" hidden="false" customHeight="false" outlineLevel="0" collapsed="false">
      <c r="A536" s="0" t="n">
        <v>10072</v>
      </c>
      <c r="B536" s="0" t="s">
        <v>137</v>
      </c>
      <c r="C536" s="0" t="n">
        <v>536</v>
      </c>
      <c r="D536" s="0" t="n">
        <v>6261422503003</v>
      </c>
      <c r="E536" s="94" t="s">
        <v>436</v>
      </c>
      <c r="F536" s="0" t="n">
        <v>24</v>
      </c>
      <c r="G536" s="0" t="n">
        <v>26.25</v>
      </c>
      <c r="I536" s="0" t="n">
        <v>630</v>
      </c>
      <c r="J536" s="0" t="n">
        <v>7</v>
      </c>
    </row>
    <row r="537" customFormat="false" ht="15" hidden="false" customHeight="false" outlineLevel="0" collapsed="false">
      <c r="A537" s="0" t="n">
        <v>10072</v>
      </c>
      <c r="B537" s="0" t="s">
        <v>137</v>
      </c>
      <c r="C537" s="0" t="n">
        <v>537</v>
      </c>
      <c r="D537" s="0" t="n">
        <v>6260501700746</v>
      </c>
      <c r="E537" s="94" t="s">
        <v>437</v>
      </c>
      <c r="F537" s="0" t="n">
        <v>6</v>
      </c>
      <c r="G537" s="0" t="n">
        <v>11.6</v>
      </c>
      <c r="I537" s="0" t="n">
        <v>69.6</v>
      </c>
      <c r="J537" s="0" t="n">
        <v>8</v>
      </c>
    </row>
    <row r="538" customFormat="false" ht="15" hidden="false" customHeight="false" outlineLevel="0" collapsed="false">
      <c r="A538" s="0" t="n">
        <v>10072</v>
      </c>
      <c r="B538" s="0" t="s">
        <v>137</v>
      </c>
      <c r="C538" s="0" t="n">
        <v>538</v>
      </c>
      <c r="D538" s="0" t="n">
        <v>6260501700753</v>
      </c>
      <c r="E538" s="94" t="s">
        <v>438</v>
      </c>
      <c r="F538" s="0" t="n">
        <v>6</v>
      </c>
      <c r="G538" s="0" t="n">
        <v>11.6</v>
      </c>
      <c r="I538" s="0" t="n">
        <v>69.6</v>
      </c>
      <c r="J538" s="0" t="n">
        <v>9</v>
      </c>
    </row>
    <row r="539" customFormat="false" ht="15" hidden="false" customHeight="false" outlineLevel="0" collapsed="false">
      <c r="A539" s="0" t="n">
        <v>10072</v>
      </c>
      <c r="B539" s="0" t="s">
        <v>137</v>
      </c>
      <c r="C539" s="0" t="n">
        <v>539</v>
      </c>
      <c r="D539" s="0" t="n">
        <v>6260501700722</v>
      </c>
      <c r="E539" s="94" t="s">
        <v>439</v>
      </c>
      <c r="F539" s="0" t="n">
        <v>6</v>
      </c>
      <c r="G539" s="0" t="n">
        <v>11.6</v>
      </c>
      <c r="I539" s="0" t="n">
        <v>69.6</v>
      </c>
      <c r="J539" s="0" t="n">
        <v>10</v>
      </c>
    </row>
    <row r="540" customFormat="false" ht="15" hidden="false" customHeight="false" outlineLevel="0" collapsed="false">
      <c r="A540" s="0" t="n">
        <v>10073</v>
      </c>
      <c r="B540" s="0" t="s">
        <v>95</v>
      </c>
      <c r="C540" s="0" t="n">
        <v>540</v>
      </c>
      <c r="D540" s="0" t="n">
        <v>6261149065594</v>
      </c>
      <c r="E540" s="94" t="s">
        <v>375</v>
      </c>
      <c r="F540" s="0" t="n">
        <v>1</v>
      </c>
      <c r="G540" s="0" t="n">
        <v>5</v>
      </c>
      <c r="I540" s="0" t="n">
        <v>5</v>
      </c>
      <c r="J540" s="0" t="n">
        <v>7</v>
      </c>
    </row>
    <row r="541" customFormat="false" ht="15" hidden="false" customHeight="false" outlineLevel="0" collapsed="false">
      <c r="A541" s="0" t="n">
        <v>10073</v>
      </c>
      <c r="B541" s="0" t="s">
        <v>95</v>
      </c>
      <c r="C541" s="0" t="n">
        <v>541</v>
      </c>
      <c r="D541" s="0" t="n">
        <v>6261149065136</v>
      </c>
      <c r="E541" s="94" t="s">
        <v>373</v>
      </c>
      <c r="F541" s="0" t="n">
        <v>1</v>
      </c>
      <c r="G541" s="0" t="n">
        <v>5</v>
      </c>
      <c r="I541" s="0" t="n">
        <v>5</v>
      </c>
      <c r="J541" s="0" t="n">
        <v>8</v>
      </c>
    </row>
    <row r="542" customFormat="false" ht="15" hidden="false" customHeight="false" outlineLevel="0" collapsed="false">
      <c r="A542" s="0" t="n">
        <v>10073</v>
      </c>
      <c r="B542" s="0" t="s">
        <v>95</v>
      </c>
      <c r="C542" s="0" t="n">
        <v>542</v>
      </c>
      <c r="D542" s="0" t="n">
        <v>6265826100134</v>
      </c>
      <c r="E542" s="94" t="s">
        <v>388</v>
      </c>
      <c r="F542" s="0" t="n">
        <v>2</v>
      </c>
      <c r="G542" s="0" t="n">
        <v>21</v>
      </c>
      <c r="I542" s="0" t="n">
        <v>42</v>
      </c>
      <c r="J542" s="0" t="n">
        <v>9</v>
      </c>
    </row>
    <row r="543" customFormat="false" ht="15" hidden="false" customHeight="false" outlineLevel="0" collapsed="false">
      <c r="A543" s="0" t="n">
        <v>10074</v>
      </c>
      <c r="B543" s="0" t="s">
        <v>95</v>
      </c>
      <c r="C543" s="0" t="n">
        <v>543</v>
      </c>
      <c r="D543" s="0" t="n">
        <v>6260138000011</v>
      </c>
      <c r="E543" s="94" t="s">
        <v>323</v>
      </c>
      <c r="F543" s="0" t="n">
        <v>1</v>
      </c>
      <c r="G543" s="0" t="n">
        <v>10</v>
      </c>
      <c r="I543" s="0" t="n">
        <v>10</v>
      </c>
      <c r="J543" s="0" t="n">
        <v>7</v>
      </c>
    </row>
    <row r="544" customFormat="false" ht="15" hidden="false" customHeight="false" outlineLevel="0" collapsed="false">
      <c r="A544" s="0" t="n">
        <v>10075</v>
      </c>
      <c r="B544" s="0" t="s">
        <v>95</v>
      </c>
      <c r="C544" s="0" t="n">
        <v>544</v>
      </c>
      <c r="D544" s="0" t="n">
        <v>6269948100201</v>
      </c>
      <c r="E544" s="94" t="s">
        <v>434</v>
      </c>
      <c r="F544" s="0" t="n">
        <v>2</v>
      </c>
      <c r="G544" s="0" t="n">
        <v>12.5</v>
      </c>
      <c r="I544" s="0" t="n">
        <v>25</v>
      </c>
      <c r="J544" s="0" t="n">
        <v>7</v>
      </c>
    </row>
    <row r="545" customFormat="false" ht="15" hidden="false" customHeight="false" outlineLevel="0" collapsed="false">
      <c r="A545" s="0" t="n">
        <v>10075</v>
      </c>
      <c r="B545" s="0" t="s">
        <v>95</v>
      </c>
      <c r="C545" s="0" t="n">
        <v>545</v>
      </c>
      <c r="D545" s="0" t="n">
        <v>6260522300031</v>
      </c>
      <c r="E545" s="94" t="s">
        <v>421</v>
      </c>
      <c r="F545" s="0" t="n">
        <v>2</v>
      </c>
      <c r="G545" s="0" t="n">
        <v>10</v>
      </c>
      <c r="I545" s="0" t="n">
        <v>20</v>
      </c>
      <c r="J545" s="0" t="n">
        <v>8</v>
      </c>
    </row>
    <row r="546" customFormat="false" ht="15" hidden="false" customHeight="false" outlineLevel="0" collapsed="false">
      <c r="A546" s="0" t="n">
        <v>10075</v>
      </c>
      <c r="B546" s="0" t="s">
        <v>95</v>
      </c>
      <c r="C546" s="0" t="n">
        <v>546</v>
      </c>
      <c r="D546" s="0" t="n">
        <v>6261149065594</v>
      </c>
      <c r="E546" s="94" t="s">
        <v>375</v>
      </c>
      <c r="F546" s="0" t="n">
        <v>1</v>
      </c>
      <c r="G546" s="0" t="n">
        <v>5</v>
      </c>
      <c r="I546" s="0" t="n">
        <v>5</v>
      </c>
      <c r="J546" s="0" t="n">
        <v>9</v>
      </c>
    </row>
    <row r="547" customFormat="false" ht="15" hidden="false" customHeight="false" outlineLevel="0" collapsed="false">
      <c r="A547" s="0" t="n">
        <v>10075</v>
      </c>
      <c r="B547" s="0" t="s">
        <v>95</v>
      </c>
      <c r="C547" s="0" t="n">
        <v>547</v>
      </c>
      <c r="D547" s="0" t="n">
        <v>6261149065112</v>
      </c>
      <c r="E547" s="94" t="s">
        <v>374</v>
      </c>
      <c r="F547" s="0" t="n">
        <v>1</v>
      </c>
      <c r="G547" s="0" t="n">
        <v>5</v>
      </c>
      <c r="I547" s="0" t="n">
        <v>5</v>
      </c>
      <c r="J547" s="0" t="n">
        <v>10</v>
      </c>
    </row>
    <row r="548" customFormat="false" ht="15" hidden="false" customHeight="false" outlineLevel="0" collapsed="false">
      <c r="A548" s="0" t="n">
        <v>10076</v>
      </c>
      <c r="B548" s="0" t="s">
        <v>95</v>
      </c>
      <c r="C548" s="0" t="n">
        <v>548</v>
      </c>
      <c r="D548" s="0" t="n">
        <v>6261149146088</v>
      </c>
      <c r="E548" s="94" t="s">
        <v>314</v>
      </c>
      <c r="F548" s="0" t="n">
        <v>1</v>
      </c>
      <c r="G548" s="0" t="n">
        <v>30</v>
      </c>
      <c r="I548" s="0" t="n">
        <v>30</v>
      </c>
      <c r="J548" s="0" t="n">
        <v>7</v>
      </c>
    </row>
    <row r="549" customFormat="false" ht="15" hidden="false" customHeight="false" outlineLevel="0" collapsed="false">
      <c r="A549" s="0" t="n">
        <v>10076</v>
      </c>
      <c r="B549" s="0" t="s">
        <v>95</v>
      </c>
      <c r="C549" s="0" t="n">
        <v>549</v>
      </c>
      <c r="D549" s="0" t="n">
        <v>1100</v>
      </c>
      <c r="E549" s="94" t="s">
        <v>256</v>
      </c>
      <c r="F549" s="0" t="n">
        <v>5</v>
      </c>
      <c r="G549" s="0" t="n">
        <v>3</v>
      </c>
      <c r="I549" s="0" t="n">
        <v>15</v>
      </c>
      <c r="J549" s="0" t="n">
        <v>8</v>
      </c>
    </row>
    <row r="550" customFormat="false" ht="15" hidden="false" customHeight="false" outlineLevel="0" collapsed="false">
      <c r="A550" s="0" t="n">
        <v>10077</v>
      </c>
      <c r="B550" s="0" t="s">
        <v>95</v>
      </c>
      <c r="C550" s="0" t="n">
        <v>550</v>
      </c>
      <c r="D550" s="0" t="n">
        <v>7800</v>
      </c>
      <c r="E550" s="94" t="s">
        <v>433</v>
      </c>
      <c r="F550" s="0" t="n">
        <v>1</v>
      </c>
      <c r="G550" s="0" t="n">
        <v>8</v>
      </c>
      <c r="I550" s="0" t="n">
        <v>8</v>
      </c>
      <c r="J550" s="0" t="n">
        <v>7</v>
      </c>
    </row>
    <row r="551" customFormat="false" ht="15" hidden="false" customHeight="false" outlineLevel="0" collapsed="false">
      <c r="A551" s="0" t="n">
        <v>10078</v>
      </c>
      <c r="B551" s="0" t="s">
        <v>95</v>
      </c>
      <c r="C551" s="0" t="n">
        <v>551</v>
      </c>
      <c r="D551" s="0" t="n">
        <v>6260575904279</v>
      </c>
      <c r="E551" s="94" t="s">
        <v>357</v>
      </c>
      <c r="F551" s="0" t="n">
        <v>1</v>
      </c>
      <c r="G551" s="0" t="n">
        <v>10</v>
      </c>
      <c r="I551" s="0" t="n">
        <v>10</v>
      </c>
      <c r="J551" s="0" t="n">
        <v>7</v>
      </c>
    </row>
    <row r="552" customFormat="false" ht="15" hidden="false" customHeight="false" outlineLevel="0" collapsed="false">
      <c r="A552" s="0" t="n">
        <v>10078</v>
      </c>
      <c r="B552" s="0" t="s">
        <v>95</v>
      </c>
      <c r="C552" s="0" t="n">
        <v>552</v>
      </c>
      <c r="D552" s="0" t="n">
        <v>6265663103565</v>
      </c>
      <c r="E552" s="94" t="s">
        <v>299</v>
      </c>
      <c r="F552" s="0" t="n">
        <v>2</v>
      </c>
      <c r="G552" s="0" t="n">
        <v>5</v>
      </c>
      <c r="I552" s="0" t="n">
        <v>10</v>
      </c>
      <c r="J552" s="0" t="n">
        <v>8</v>
      </c>
    </row>
    <row r="553" customFormat="false" ht="15" hidden="false" customHeight="false" outlineLevel="0" collapsed="false">
      <c r="A553" s="0" t="n">
        <v>10078</v>
      </c>
      <c r="B553" s="0" t="s">
        <v>95</v>
      </c>
      <c r="C553" s="0" t="n">
        <v>553</v>
      </c>
      <c r="D553" s="0" t="n">
        <v>6264078411593</v>
      </c>
      <c r="E553" s="94" t="s">
        <v>426</v>
      </c>
      <c r="F553" s="0" t="n">
        <v>3</v>
      </c>
      <c r="G553" s="0" t="n">
        <v>10</v>
      </c>
      <c r="I553" s="0" t="n">
        <v>30</v>
      </c>
      <c r="J553" s="0" t="n">
        <v>9</v>
      </c>
    </row>
    <row r="554" customFormat="false" ht="15" hidden="false" customHeight="false" outlineLevel="0" collapsed="false">
      <c r="A554" s="0" t="n">
        <v>10079</v>
      </c>
      <c r="B554" s="0" t="s">
        <v>95</v>
      </c>
      <c r="C554" s="0" t="n">
        <v>554</v>
      </c>
      <c r="D554" s="0" t="n">
        <v>6264078410992</v>
      </c>
      <c r="E554" s="94" t="s">
        <v>420</v>
      </c>
      <c r="F554" s="0" t="n">
        <v>1</v>
      </c>
      <c r="G554" s="0" t="n">
        <v>15</v>
      </c>
      <c r="I554" s="0" t="n">
        <v>15</v>
      </c>
      <c r="J554" s="0" t="n">
        <v>7</v>
      </c>
    </row>
    <row r="555" customFormat="false" ht="15" hidden="false" customHeight="false" outlineLevel="0" collapsed="false">
      <c r="A555" s="0" t="n">
        <v>10079</v>
      </c>
      <c r="B555" s="0" t="s">
        <v>95</v>
      </c>
      <c r="C555" s="0" t="n">
        <v>555</v>
      </c>
      <c r="D555" s="0" t="n">
        <v>6260063202139</v>
      </c>
      <c r="E555" s="94" t="s">
        <v>416</v>
      </c>
      <c r="F555" s="0" t="n">
        <v>1</v>
      </c>
      <c r="G555" s="0" t="n">
        <v>15</v>
      </c>
      <c r="I555" s="0" t="n">
        <v>15</v>
      </c>
      <c r="J555" s="0" t="n">
        <v>8</v>
      </c>
    </row>
    <row r="556" customFormat="false" ht="15" hidden="false" customHeight="false" outlineLevel="0" collapsed="false">
      <c r="A556" s="0" t="n">
        <v>10080</v>
      </c>
      <c r="B556" s="0" t="s">
        <v>95</v>
      </c>
      <c r="C556" s="0" t="n">
        <v>556</v>
      </c>
      <c r="D556" s="0" t="n">
        <v>6261163400197</v>
      </c>
      <c r="E556" s="94" t="s">
        <v>418</v>
      </c>
      <c r="F556" s="0" t="n">
        <v>1</v>
      </c>
      <c r="G556" s="0" t="n">
        <v>20</v>
      </c>
      <c r="I556" s="0" t="n">
        <v>20</v>
      </c>
      <c r="J556" s="0" t="n">
        <v>7</v>
      </c>
    </row>
    <row r="557" customFormat="false" ht="15" hidden="false" customHeight="false" outlineLevel="0" collapsed="false">
      <c r="A557" s="0" t="n">
        <v>10081</v>
      </c>
      <c r="B557" s="0" t="s">
        <v>95</v>
      </c>
      <c r="C557" s="0" t="n">
        <v>557</v>
      </c>
      <c r="D557" s="0" t="n">
        <v>6260748000371</v>
      </c>
      <c r="E557" s="94" t="s">
        <v>345</v>
      </c>
      <c r="F557" s="0" t="n">
        <v>2</v>
      </c>
      <c r="G557" s="0" t="n">
        <v>7</v>
      </c>
      <c r="I557" s="0" t="n">
        <v>14</v>
      </c>
      <c r="J557" s="0" t="n">
        <v>7</v>
      </c>
    </row>
    <row r="558" customFormat="false" ht="15" hidden="false" customHeight="false" outlineLevel="0" collapsed="false">
      <c r="A558" s="0" t="n">
        <v>10081</v>
      </c>
      <c r="B558" s="0" t="s">
        <v>95</v>
      </c>
      <c r="C558" s="0" t="n">
        <v>558</v>
      </c>
      <c r="D558" s="0" t="n">
        <v>5200</v>
      </c>
      <c r="E558" s="94" t="s">
        <v>323</v>
      </c>
      <c r="F558" s="0" t="n">
        <v>4</v>
      </c>
      <c r="G558" s="0" t="n">
        <v>1</v>
      </c>
      <c r="I558" s="0" t="n">
        <v>4</v>
      </c>
      <c r="J558" s="0" t="n">
        <v>8</v>
      </c>
    </row>
    <row r="559" customFormat="false" ht="15" hidden="false" customHeight="false" outlineLevel="0" collapsed="false">
      <c r="A559" s="0" t="n">
        <v>10081</v>
      </c>
      <c r="B559" s="0" t="s">
        <v>95</v>
      </c>
      <c r="C559" s="0" t="n">
        <v>559</v>
      </c>
      <c r="D559" s="0" t="n">
        <v>5100</v>
      </c>
      <c r="E559" s="94" t="s">
        <v>320</v>
      </c>
      <c r="F559" s="0" t="n">
        <v>1</v>
      </c>
      <c r="G559" s="0" t="n">
        <v>2</v>
      </c>
      <c r="I559" s="0" t="n">
        <v>2</v>
      </c>
      <c r="J559" s="0" t="n">
        <v>9</v>
      </c>
    </row>
    <row r="560" customFormat="false" ht="15" hidden="false" customHeight="false" outlineLevel="0" collapsed="false">
      <c r="A560" s="0" t="n">
        <v>10082</v>
      </c>
      <c r="B560" s="0" t="s">
        <v>95</v>
      </c>
      <c r="C560" s="0" t="n">
        <v>560</v>
      </c>
      <c r="D560" s="0" t="n">
        <v>6269365700152</v>
      </c>
      <c r="E560" s="94" t="s">
        <v>394</v>
      </c>
      <c r="F560" s="0" t="n">
        <v>1</v>
      </c>
      <c r="G560" s="0" t="n">
        <v>19</v>
      </c>
      <c r="I560" s="0" t="n">
        <v>19</v>
      </c>
      <c r="J560" s="0" t="n">
        <v>7</v>
      </c>
    </row>
    <row r="561" customFormat="false" ht="15" hidden="false" customHeight="false" outlineLevel="0" collapsed="false">
      <c r="A561" s="0" t="n">
        <v>10082</v>
      </c>
      <c r="B561" s="0" t="s">
        <v>95</v>
      </c>
      <c r="C561" s="0" t="n">
        <v>561</v>
      </c>
      <c r="D561" s="0" t="n">
        <v>6260111310106</v>
      </c>
      <c r="E561" s="94" t="s">
        <v>266</v>
      </c>
      <c r="F561" s="0" t="n">
        <v>1</v>
      </c>
      <c r="G561" s="0" t="n">
        <v>20</v>
      </c>
      <c r="I561" s="0" t="n">
        <v>20</v>
      </c>
      <c r="J561" s="0" t="n">
        <v>8</v>
      </c>
    </row>
    <row r="562" customFormat="false" ht="15" hidden="false" customHeight="false" outlineLevel="0" collapsed="false">
      <c r="A562" s="0" t="n">
        <v>10083</v>
      </c>
      <c r="B562" s="0" t="s">
        <v>95</v>
      </c>
      <c r="C562" s="0" t="n">
        <v>562</v>
      </c>
      <c r="D562" s="0" t="n">
        <v>6260543504289</v>
      </c>
      <c r="E562" s="94" t="s">
        <v>301</v>
      </c>
      <c r="F562" s="0" t="n">
        <v>2</v>
      </c>
      <c r="G562" s="0" t="n">
        <v>15</v>
      </c>
      <c r="I562" s="0" t="n">
        <v>30</v>
      </c>
      <c r="J562" s="0" t="n">
        <v>7</v>
      </c>
    </row>
    <row r="563" customFormat="false" ht="15" hidden="false" customHeight="false" outlineLevel="0" collapsed="false">
      <c r="A563" s="0" t="n">
        <v>10084</v>
      </c>
      <c r="B563" s="0" t="s">
        <v>95</v>
      </c>
      <c r="C563" s="0" t="n">
        <v>563</v>
      </c>
      <c r="D563" s="0" t="n">
        <v>6264078411593</v>
      </c>
      <c r="E563" s="94" t="s">
        <v>426</v>
      </c>
      <c r="F563" s="0" t="n">
        <v>4</v>
      </c>
      <c r="G563" s="0" t="n">
        <v>10</v>
      </c>
      <c r="I563" s="0" t="n">
        <v>40</v>
      </c>
      <c r="J563" s="0" t="n">
        <v>7</v>
      </c>
    </row>
    <row r="564" customFormat="false" ht="15" hidden="false" customHeight="false" outlineLevel="0" collapsed="false">
      <c r="A564" s="0" t="n">
        <v>10085</v>
      </c>
      <c r="B564" s="0" t="s">
        <v>95</v>
      </c>
      <c r="C564" s="0" t="n">
        <v>564</v>
      </c>
      <c r="D564" s="0" t="n">
        <v>6263380901228</v>
      </c>
      <c r="E564" s="94" t="s">
        <v>321</v>
      </c>
      <c r="F564" s="0" t="n">
        <v>1</v>
      </c>
      <c r="G564" s="0" t="n">
        <v>10</v>
      </c>
      <c r="I564" s="0" t="n">
        <v>10</v>
      </c>
      <c r="J564" s="0" t="n">
        <v>7</v>
      </c>
    </row>
    <row r="565" customFormat="false" ht="15" hidden="false" customHeight="false" outlineLevel="0" collapsed="false">
      <c r="A565" s="0" t="n">
        <v>10085</v>
      </c>
      <c r="B565" s="0" t="s">
        <v>95</v>
      </c>
      <c r="C565" s="0" t="n">
        <v>565</v>
      </c>
      <c r="D565" s="0" t="n">
        <v>6263812801249</v>
      </c>
      <c r="E565" s="94" t="s">
        <v>348</v>
      </c>
      <c r="F565" s="0" t="n">
        <v>1</v>
      </c>
      <c r="G565" s="0" t="n">
        <v>20</v>
      </c>
      <c r="I565" s="0" t="n">
        <v>20</v>
      </c>
      <c r="J565" s="0" t="n">
        <v>8</v>
      </c>
    </row>
    <row r="566" customFormat="false" ht="15" hidden="false" customHeight="false" outlineLevel="0" collapsed="false">
      <c r="A566" s="0" t="n">
        <v>10085</v>
      </c>
      <c r="B566" s="0" t="s">
        <v>95</v>
      </c>
      <c r="C566" s="0" t="n">
        <v>566</v>
      </c>
      <c r="D566" s="0" t="n">
        <v>6260002926379</v>
      </c>
      <c r="E566" s="94" t="s">
        <v>303</v>
      </c>
      <c r="F566" s="0" t="n">
        <v>1</v>
      </c>
      <c r="G566" s="0" t="n">
        <v>25</v>
      </c>
      <c r="I566" s="0" t="n">
        <v>25</v>
      </c>
      <c r="J566" s="0" t="n">
        <v>9</v>
      </c>
    </row>
    <row r="567" customFormat="false" ht="15" hidden="false" customHeight="false" outlineLevel="0" collapsed="false">
      <c r="A567" s="0" t="n">
        <v>10085</v>
      </c>
      <c r="B567" s="0" t="s">
        <v>95</v>
      </c>
      <c r="C567" s="0" t="n">
        <v>567</v>
      </c>
      <c r="D567" s="0" t="n">
        <v>5200</v>
      </c>
      <c r="E567" s="94" t="s">
        <v>323</v>
      </c>
      <c r="F567" s="0" t="n">
        <v>1</v>
      </c>
      <c r="G567" s="0" t="n">
        <v>1</v>
      </c>
      <c r="I567" s="0" t="n">
        <v>1</v>
      </c>
      <c r="J567" s="0" t="n">
        <v>10</v>
      </c>
    </row>
    <row r="568" customFormat="false" ht="15" hidden="false" customHeight="false" outlineLevel="0" collapsed="false">
      <c r="A568" s="0" t="n">
        <v>10086</v>
      </c>
      <c r="B568" s="0" t="s">
        <v>95</v>
      </c>
      <c r="C568" s="0" t="n">
        <v>568</v>
      </c>
      <c r="D568" s="0" t="n">
        <v>6260532822097</v>
      </c>
      <c r="E568" s="94" t="s">
        <v>231</v>
      </c>
      <c r="F568" s="0" t="n">
        <v>1</v>
      </c>
      <c r="G568" s="0" t="n">
        <v>32</v>
      </c>
      <c r="I568" s="0" t="n">
        <v>32</v>
      </c>
      <c r="J568" s="0" t="n">
        <v>7</v>
      </c>
    </row>
    <row r="569" customFormat="false" ht="15" hidden="false" customHeight="false" outlineLevel="0" collapsed="false">
      <c r="A569" s="0" t="n">
        <v>10086</v>
      </c>
      <c r="B569" s="0" t="s">
        <v>95</v>
      </c>
      <c r="C569" s="0" t="n">
        <v>569</v>
      </c>
      <c r="D569" s="0" t="n">
        <v>6261106001399</v>
      </c>
      <c r="E569" s="94" t="s">
        <v>207</v>
      </c>
      <c r="F569" s="0" t="n">
        <v>1</v>
      </c>
      <c r="G569" s="0" t="n">
        <v>80</v>
      </c>
      <c r="I569" s="0" t="n">
        <v>80</v>
      </c>
      <c r="J569" s="0" t="n">
        <v>8</v>
      </c>
    </row>
    <row r="570" customFormat="false" ht="15" hidden="false" customHeight="false" outlineLevel="0" collapsed="false">
      <c r="A570" s="0" t="n">
        <v>10086</v>
      </c>
      <c r="B570" s="0" t="s">
        <v>95</v>
      </c>
      <c r="C570" s="0" t="n">
        <v>570</v>
      </c>
      <c r="D570" s="0" t="n">
        <v>7700</v>
      </c>
      <c r="E570" s="94" t="s">
        <v>431</v>
      </c>
      <c r="F570" s="0" t="n">
        <v>0.27</v>
      </c>
      <c r="G570" s="0" t="n">
        <v>190</v>
      </c>
      <c r="I570" s="0" t="n">
        <v>51.3</v>
      </c>
      <c r="J570" s="0" t="n">
        <v>9</v>
      </c>
    </row>
    <row r="571" customFormat="false" ht="15" hidden="false" customHeight="false" outlineLevel="0" collapsed="false">
      <c r="A571" s="0" t="n">
        <v>10087</v>
      </c>
      <c r="B571" s="0" t="s">
        <v>95</v>
      </c>
      <c r="C571" s="0" t="n">
        <v>571</v>
      </c>
      <c r="D571" s="0" t="n">
        <v>6263812801393</v>
      </c>
      <c r="E571" s="94" t="s">
        <v>378</v>
      </c>
      <c r="F571" s="0" t="n">
        <v>1</v>
      </c>
      <c r="G571" s="0" t="n">
        <v>35</v>
      </c>
      <c r="I571" s="0" t="n">
        <v>35</v>
      </c>
      <c r="J571" s="0" t="n">
        <v>7</v>
      </c>
    </row>
    <row r="572" customFormat="false" ht="15" hidden="false" customHeight="false" outlineLevel="0" collapsed="false">
      <c r="A572" s="0" t="n">
        <v>10088</v>
      </c>
      <c r="B572" s="0" t="s">
        <v>137</v>
      </c>
      <c r="C572" s="0" t="n">
        <v>572</v>
      </c>
      <c r="D572" s="0" t="n">
        <v>6260002926348</v>
      </c>
      <c r="E572" s="94" t="s">
        <v>297</v>
      </c>
      <c r="F572" s="0" t="n">
        <v>40</v>
      </c>
      <c r="G572" s="0" t="n">
        <v>21</v>
      </c>
      <c r="I572" s="0" t="n">
        <v>840</v>
      </c>
      <c r="J572" s="0" t="n">
        <v>7</v>
      </c>
    </row>
    <row r="573" customFormat="false" ht="15" hidden="false" customHeight="false" outlineLevel="0" collapsed="false">
      <c r="A573" s="0" t="n">
        <v>10088</v>
      </c>
      <c r="B573" s="0" t="s">
        <v>137</v>
      </c>
      <c r="C573" s="0" t="n">
        <v>573</v>
      </c>
      <c r="D573" s="0" t="n">
        <v>6260002926331</v>
      </c>
      <c r="E573" s="94" t="s">
        <v>440</v>
      </c>
      <c r="F573" s="0" t="n">
        <v>40</v>
      </c>
      <c r="G573" s="0" t="n">
        <v>21</v>
      </c>
      <c r="I573" s="0" t="n">
        <v>840</v>
      </c>
      <c r="J573" s="0" t="n">
        <v>8</v>
      </c>
    </row>
    <row r="574" customFormat="false" ht="15" hidden="false" customHeight="false" outlineLevel="0" collapsed="false">
      <c r="A574" s="0" t="n">
        <v>10088</v>
      </c>
      <c r="B574" s="0" t="s">
        <v>137</v>
      </c>
      <c r="C574" s="0" t="n">
        <v>574</v>
      </c>
      <c r="D574" s="0" t="n">
        <v>1100</v>
      </c>
      <c r="E574" s="94" t="s">
        <v>256</v>
      </c>
      <c r="F574" s="0" t="n">
        <v>36</v>
      </c>
      <c r="G574" s="0" t="n">
        <v>2.22</v>
      </c>
      <c r="I574" s="0" t="n">
        <v>79.92</v>
      </c>
      <c r="J574" s="0" t="n">
        <v>9</v>
      </c>
    </row>
    <row r="575" customFormat="false" ht="15" hidden="false" customHeight="false" outlineLevel="0" collapsed="false">
      <c r="A575" s="0" t="n">
        <v>10088</v>
      </c>
      <c r="B575" s="0" t="s">
        <v>137</v>
      </c>
      <c r="C575" s="0" t="n">
        <v>575</v>
      </c>
      <c r="D575" s="0" t="n">
        <v>6265663104715</v>
      </c>
      <c r="E575" s="94" t="s">
        <v>441</v>
      </c>
      <c r="F575" s="0" t="n">
        <v>40</v>
      </c>
      <c r="G575" s="0" t="n">
        <v>8</v>
      </c>
      <c r="I575" s="0" t="n">
        <v>320</v>
      </c>
      <c r="J575" s="0" t="n">
        <v>10</v>
      </c>
    </row>
    <row r="576" customFormat="false" ht="15" hidden="false" customHeight="false" outlineLevel="0" collapsed="false">
      <c r="A576" s="0" t="n">
        <v>10088</v>
      </c>
      <c r="B576" s="0" t="s">
        <v>137</v>
      </c>
      <c r="C576" s="0" t="n">
        <v>576</v>
      </c>
      <c r="D576" s="0" t="n">
        <v>6260543505620</v>
      </c>
      <c r="E576" s="94" t="s">
        <v>442</v>
      </c>
      <c r="F576" s="0" t="n">
        <v>30</v>
      </c>
      <c r="G576" s="0" t="n">
        <v>12</v>
      </c>
      <c r="I576" s="0" t="n">
        <v>360</v>
      </c>
      <c r="J576" s="0" t="n">
        <v>11</v>
      </c>
    </row>
    <row r="577" customFormat="false" ht="15" hidden="false" customHeight="false" outlineLevel="0" collapsed="false">
      <c r="A577" s="0" t="n">
        <v>10088</v>
      </c>
      <c r="B577" s="0" t="s">
        <v>137</v>
      </c>
      <c r="C577" s="0" t="n">
        <v>577</v>
      </c>
      <c r="D577" s="0" t="n">
        <v>162900054350816</v>
      </c>
      <c r="E577" s="94" t="s">
        <v>442</v>
      </c>
      <c r="F577" s="0" t="n">
        <v>30</v>
      </c>
      <c r="G577" s="0" t="n">
        <v>12</v>
      </c>
      <c r="I577" s="0" t="n">
        <v>360</v>
      </c>
      <c r="J577" s="0" t="n">
        <v>12</v>
      </c>
    </row>
    <row r="578" customFormat="false" ht="15" hidden="false" customHeight="false" outlineLevel="0" collapsed="false">
      <c r="A578" s="0" t="n">
        <v>10088</v>
      </c>
      <c r="B578" s="0" t="s">
        <v>137</v>
      </c>
      <c r="C578" s="0" t="n">
        <v>578</v>
      </c>
      <c r="D578" s="0" t="n">
        <v>6260543504791</v>
      </c>
      <c r="E578" s="94" t="s">
        <v>443</v>
      </c>
      <c r="F578" s="0" t="n">
        <v>60</v>
      </c>
      <c r="G578" s="0" t="n">
        <v>4</v>
      </c>
      <c r="I578" s="0" t="n">
        <v>240</v>
      </c>
      <c r="J578" s="0" t="n">
        <v>13</v>
      </c>
    </row>
    <row r="579" customFormat="false" ht="15" hidden="false" customHeight="false" outlineLevel="0" collapsed="false">
      <c r="A579" s="0" t="n">
        <v>10088</v>
      </c>
      <c r="B579" s="0" t="s">
        <v>137</v>
      </c>
      <c r="C579" s="0" t="n">
        <v>579</v>
      </c>
      <c r="D579" s="0" t="n">
        <v>162900054350751</v>
      </c>
      <c r="E579" s="94" t="s">
        <v>443</v>
      </c>
      <c r="F579" s="0" t="n">
        <v>60</v>
      </c>
      <c r="G579" s="0" t="n">
        <v>4</v>
      </c>
      <c r="I579" s="0" t="n">
        <v>240</v>
      </c>
      <c r="J579" s="0" t="n">
        <v>14</v>
      </c>
    </row>
    <row r="580" customFormat="false" ht="15" hidden="false" customHeight="false" outlineLevel="0" collapsed="false">
      <c r="A580" s="0" t="n">
        <v>10088</v>
      </c>
      <c r="B580" s="0" t="s">
        <v>137</v>
      </c>
      <c r="C580" s="0" t="n">
        <v>580</v>
      </c>
      <c r="D580" s="0" t="n">
        <v>6263812801386</v>
      </c>
      <c r="E580" s="94" t="s">
        <v>377</v>
      </c>
      <c r="F580" s="0" t="n">
        <v>30</v>
      </c>
      <c r="G580" s="0" t="n">
        <v>16</v>
      </c>
      <c r="I580" s="0" t="n">
        <v>480</v>
      </c>
      <c r="J580" s="0" t="n">
        <v>15</v>
      </c>
    </row>
    <row r="581" customFormat="false" ht="15" hidden="false" customHeight="false" outlineLevel="0" collapsed="false">
      <c r="A581" s="0" t="n">
        <v>10088</v>
      </c>
      <c r="J581" s="0" t="n">
        <v>-22</v>
      </c>
    </row>
    <row r="582" customFormat="false" ht="15" hidden="false" customHeight="false" outlineLevel="0" collapsed="false">
      <c r="A582" s="0" t="n">
        <v>10088</v>
      </c>
      <c r="J582" s="0" t="n">
        <v>-8</v>
      </c>
    </row>
    <row r="583" customFormat="false" ht="15" hidden="false" customHeight="false" outlineLevel="0" collapsed="false">
      <c r="A583" s="0" t="n">
        <v>10088</v>
      </c>
      <c r="B583" s="0" t="s">
        <v>137</v>
      </c>
      <c r="C583" s="0" t="n">
        <v>583</v>
      </c>
      <c r="D583" s="0" t="n">
        <v>6269948100201</v>
      </c>
      <c r="E583" s="94" t="s">
        <v>434</v>
      </c>
      <c r="F583" s="0" t="n">
        <v>20</v>
      </c>
      <c r="G583" s="0" t="n">
        <v>10</v>
      </c>
      <c r="I583" s="0" t="n">
        <v>200</v>
      </c>
      <c r="J583" s="0" t="n">
        <v>18</v>
      </c>
    </row>
    <row r="584" customFormat="false" ht="15" hidden="false" customHeight="false" outlineLevel="0" collapsed="false">
      <c r="A584" s="0" t="n">
        <v>10088</v>
      </c>
      <c r="B584" s="0" t="s">
        <v>137</v>
      </c>
      <c r="C584" s="0" t="n">
        <v>584</v>
      </c>
      <c r="D584" s="0" t="n">
        <v>6260003111798</v>
      </c>
      <c r="E584" s="94" t="s">
        <v>262</v>
      </c>
      <c r="F584" s="0" t="n">
        <v>10</v>
      </c>
      <c r="G584" s="0" t="n">
        <v>11.5</v>
      </c>
      <c r="I584" s="0" t="n">
        <v>115</v>
      </c>
      <c r="J584" s="0" t="n">
        <v>19</v>
      </c>
    </row>
    <row r="585" customFormat="false" ht="15" hidden="false" customHeight="false" outlineLevel="0" collapsed="false">
      <c r="A585" s="0" t="n">
        <v>10089</v>
      </c>
      <c r="B585" s="0" t="s">
        <v>95</v>
      </c>
      <c r="C585" s="0" t="n">
        <v>585</v>
      </c>
      <c r="D585" s="0" t="n">
        <v>7700</v>
      </c>
      <c r="E585" s="94" t="s">
        <v>431</v>
      </c>
      <c r="F585" s="0" t="n">
        <v>0.12</v>
      </c>
      <c r="G585" s="0" t="n">
        <v>180</v>
      </c>
      <c r="I585" s="0" t="n">
        <v>21.6</v>
      </c>
      <c r="J585" s="0" t="n">
        <v>7</v>
      </c>
    </row>
    <row r="586" customFormat="false" ht="15" hidden="false" customHeight="false" outlineLevel="0" collapsed="false">
      <c r="A586" s="0" t="n">
        <v>10088</v>
      </c>
      <c r="B586" s="0" t="s">
        <v>137</v>
      </c>
      <c r="C586" s="0" t="n">
        <v>586</v>
      </c>
      <c r="D586" s="0" t="n">
        <v>6261847503244</v>
      </c>
      <c r="E586" s="94" t="s">
        <v>350</v>
      </c>
      <c r="F586" s="0" t="n">
        <v>40</v>
      </c>
      <c r="G586" s="0" t="n">
        <v>15</v>
      </c>
      <c r="I586" s="0" t="n">
        <v>600</v>
      </c>
      <c r="J586" s="0" t="n">
        <v>20</v>
      </c>
    </row>
    <row r="587" customFormat="false" ht="15" hidden="false" customHeight="false" outlineLevel="0" collapsed="false">
      <c r="A587" s="0" t="n">
        <v>10088</v>
      </c>
      <c r="B587" s="0" t="s">
        <v>137</v>
      </c>
      <c r="C587" s="0" t="n">
        <v>587</v>
      </c>
      <c r="D587" s="0" t="n">
        <v>6262477911973</v>
      </c>
      <c r="E587" s="94" t="s">
        <v>371</v>
      </c>
      <c r="F587" s="0" t="n">
        <v>20</v>
      </c>
      <c r="G587" s="0" t="n">
        <v>16.8</v>
      </c>
      <c r="I587" s="0" t="n">
        <v>336</v>
      </c>
      <c r="J587" s="0" t="n">
        <v>21</v>
      </c>
    </row>
    <row r="588" customFormat="false" ht="15" hidden="false" customHeight="false" outlineLevel="0" collapsed="false">
      <c r="A588" s="0" t="n">
        <v>10088</v>
      </c>
      <c r="B588" s="0" t="s">
        <v>137</v>
      </c>
      <c r="C588" s="0" t="n">
        <v>588</v>
      </c>
      <c r="D588" s="0" t="n">
        <v>6262477911157</v>
      </c>
      <c r="E588" s="94" t="s">
        <v>372</v>
      </c>
      <c r="F588" s="0" t="n">
        <v>20</v>
      </c>
      <c r="G588" s="0" t="n">
        <v>16.8</v>
      </c>
      <c r="I588" s="0" t="n">
        <v>336</v>
      </c>
      <c r="J588" s="0" t="n">
        <v>22</v>
      </c>
    </row>
    <row r="589" customFormat="false" ht="15" hidden="false" customHeight="false" outlineLevel="0" collapsed="false">
      <c r="A589" s="0" t="n">
        <v>10088</v>
      </c>
      <c r="B589" s="0" t="s">
        <v>137</v>
      </c>
      <c r="C589" s="0" t="n">
        <v>589</v>
      </c>
      <c r="D589" s="0" t="n">
        <v>6262036200012</v>
      </c>
      <c r="E589" s="94" t="s">
        <v>444</v>
      </c>
      <c r="F589" s="0" t="n">
        <v>60</v>
      </c>
      <c r="G589" s="0" t="n">
        <v>4</v>
      </c>
      <c r="I589" s="0" t="n">
        <v>240</v>
      </c>
      <c r="J589" s="0" t="n">
        <v>23</v>
      </c>
    </row>
    <row r="590" customFormat="false" ht="15" hidden="false" customHeight="false" outlineLevel="0" collapsed="false">
      <c r="A590" s="0" t="n">
        <v>10090</v>
      </c>
      <c r="B590" s="0" t="s">
        <v>95</v>
      </c>
      <c r="C590" s="0" t="n">
        <v>590</v>
      </c>
      <c r="D590" s="0" t="n">
        <v>6260543504289</v>
      </c>
      <c r="E590" s="94" t="s">
        <v>301</v>
      </c>
      <c r="F590" s="0" t="n">
        <v>2</v>
      </c>
      <c r="G590" s="0" t="n">
        <v>15</v>
      </c>
      <c r="I590" s="0" t="n">
        <v>30</v>
      </c>
      <c r="J590" s="0" t="n">
        <v>7</v>
      </c>
    </row>
    <row r="591" customFormat="false" ht="15" hidden="false" customHeight="false" outlineLevel="0" collapsed="false">
      <c r="A591" s="0" t="n">
        <v>10088</v>
      </c>
      <c r="B591" s="0" t="s">
        <v>137</v>
      </c>
      <c r="C591" s="0" t="n">
        <v>591</v>
      </c>
      <c r="D591" s="0" t="n">
        <v>6260166910306</v>
      </c>
      <c r="E591" s="94" t="s">
        <v>216</v>
      </c>
      <c r="F591" s="0" t="n">
        <v>36</v>
      </c>
      <c r="G591" s="0" t="n">
        <v>5.6</v>
      </c>
      <c r="I591" s="0" t="n">
        <v>201.6</v>
      </c>
      <c r="J591" s="0" t="n">
        <v>24</v>
      </c>
    </row>
    <row r="592" customFormat="false" ht="15" hidden="false" customHeight="false" outlineLevel="0" collapsed="false">
      <c r="A592" s="0" t="n">
        <v>10088</v>
      </c>
      <c r="B592" s="0" t="s">
        <v>137</v>
      </c>
      <c r="C592" s="0" t="n">
        <v>592</v>
      </c>
      <c r="D592" s="0" t="n">
        <v>160290016690012</v>
      </c>
      <c r="E592" s="94" t="s">
        <v>216</v>
      </c>
      <c r="F592" s="0" t="n">
        <v>36</v>
      </c>
      <c r="G592" s="0" t="n">
        <v>10</v>
      </c>
      <c r="I592" s="0" t="n">
        <v>360</v>
      </c>
      <c r="J592" s="0" t="n">
        <v>25</v>
      </c>
    </row>
    <row r="593" customFormat="false" ht="15" hidden="false" customHeight="false" outlineLevel="0" collapsed="false">
      <c r="A593" s="0" t="n">
        <v>10091</v>
      </c>
      <c r="B593" s="0" t="s">
        <v>95</v>
      </c>
      <c r="C593" s="0" t="n">
        <v>593</v>
      </c>
      <c r="D593" s="0" t="n">
        <v>6260002926331</v>
      </c>
      <c r="E593" s="94" t="s">
        <v>440</v>
      </c>
      <c r="F593" s="0" t="n">
        <v>1</v>
      </c>
      <c r="G593" s="0" t="n">
        <v>25</v>
      </c>
      <c r="I593" s="0" t="n">
        <v>25</v>
      </c>
      <c r="J593" s="0" t="n">
        <v>7</v>
      </c>
    </row>
    <row r="594" customFormat="false" ht="15" hidden="false" customHeight="false" outlineLevel="0" collapsed="false">
      <c r="A594" s="0" t="n">
        <v>10092</v>
      </c>
      <c r="B594" s="0" t="s">
        <v>95</v>
      </c>
      <c r="C594" s="0" t="n">
        <v>594</v>
      </c>
      <c r="D594" s="0" t="n">
        <v>6260109281555</v>
      </c>
      <c r="E594" s="94" t="s">
        <v>322</v>
      </c>
      <c r="F594" s="0" t="n">
        <v>2</v>
      </c>
      <c r="G594" s="0" t="n">
        <v>12</v>
      </c>
      <c r="I594" s="0" t="n">
        <v>24</v>
      </c>
      <c r="J594" s="0" t="n">
        <v>7</v>
      </c>
    </row>
    <row r="595" customFormat="false" ht="15" hidden="false" customHeight="false" outlineLevel="0" collapsed="false">
      <c r="A595" s="0" t="n">
        <v>10092</v>
      </c>
      <c r="B595" s="0" t="s">
        <v>95</v>
      </c>
      <c r="C595" s="0" t="n">
        <v>595</v>
      </c>
      <c r="D595" s="0" t="n">
        <v>1100</v>
      </c>
      <c r="E595" s="94" t="s">
        <v>256</v>
      </c>
      <c r="F595" s="0" t="n">
        <v>2</v>
      </c>
      <c r="G595" s="0" t="n">
        <v>3</v>
      </c>
      <c r="I595" s="0" t="n">
        <v>6</v>
      </c>
      <c r="J595" s="0" t="n">
        <v>8</v>
      </c>
    </row>
    <row r="596" customFormat="false" ht="15" hidden="false" customHeight="false" outlineLevel="0" collapsed="false">
      <c r="A596" s="0" t="n">
        <v>10093</v>
      </c>
      <c r="B596" s="0" t="s">
        <v>95</v>
      </c>
      <c r="C596" s="0" t="n">
        <v>596</v>
      </c>
      <c r="D596" s="0" t="n">
        <v>6261101511152</v>
      </c>
      <c r="E596" s="94" t="s">
        <v>194</v>
      </c>
      <c r="F596" s="0" t="n">
        <v>1</v>
      </c>
      <c r="G596" s="0" t="n">
        <v>25</v>
      </c>
      <c r="I596" s="0" t="n">
        <v>25</v>
      </c>
      <c r="J596" s="0" t="n">
        <v>7</v>
      </c>
    </row>
    <row r="597" customFormat="false" ht="15" hidden="false" customHeight="false" outlineLevel="0" collapsed="false">
      <c r="A597" s="0" t="n">
        <v>10093</v>
      </c>
      <c r="B597" s="0" t="s">
        <v>95</v>
      </c>
      <c r="C597" s="0" t="n">
        <v>597</v>
      </c>
      <c r="D597" s="0" t="n">
        <v>6261670803870</v>
      </c>
      <c r="E597" s="94" t="s">
        <v>193</v>
      </c>
      <c r="F597" s="0" t="n">
        <v>1</v>
      </c>
      <c r="G597" s="0" t="n">
        <v>25</v>
      </c>
      <c r="I597" s="0" t="n">
        <v>25</v>
      </c>
      <c r="J597" s="0" t="n">
        <v>8</v>
      </c>
    </row>
    <row r="598" customFormat="false" ht="15" hidden="false" customHeight="false" outlineLevel="0" collapsed="false">
      <c r="A598" s="0" t="n">
        <v>10088</v>
      </c>
      <c r="B598" s="0" t="s">
        <v>137</v>
      </c>
      <c r="C598" s="0" t="n">
        <v>598</v>
      </c>
      <c r="D598" s="0" t="n">
        <v>6269948100638</v>
      </c>
      <c r="E598" s="94" t="s">
        <v>326</v>
      </c>
      <c r="F598" s="0" t="n">
        <v>48</v>
      </c>
      <c r="G598" s="0" t="n">
        <v>6</v>
      </c>
      <c r="I598" s="0" t="n">
        <v>288</v>
      </c>
      <c r="J598" s="0" t="n">
        <v>25</v>
      </c>
    </row>
    <row r="599" customFormat="false" ht="15" hidden="false" customHeight="false" outlineLevel="0" collapsed="false">
      <c r="A599" s="0" t="n">
        <v>10088</v>
      </c>
      <c r="B599" s="0" t="s">
        <v>137</v>
      </c>
      <c r="C599" s="0" t="n">
        <v>599</v>
      </c>
      <c r="D599" s="0" t="n">
        <v>6261847503275</v>
      </c>
      <c r="E599" s="94" t="s">
        <v>349</v>
      </c>
      <c r="F599" s="0" t="n">
        <v>40</v>
      </c>
      <c r="G599" s="0" t="n">
        <v>15</v>
      </c>
      <c r="I599" s="0" t="n">
        <v>600</v>
      </c>
      <c r="J599" s="0" t="n">
        <v>26</v>
      </c>
    </row>
    <row r="600" customFormat="false" ht="15" hidden="false" customHeight="false" outlineLevel="0" collapsed="false">
      <c r="A600" s="0" t="n">
        <v>10088</v>
      </c>
      <c r="B600" s="0" t="s">
        <v>137</v>
      </c>
      <c r="C600" s="0" t="n">
        <v>600</v>
      </c>
      <c r="D600" s="0" t="n">
        <v>6260007406487</v>
      </c>
      <c r="E600" s="94" t="s">
        <v>235</v>
      </c>
      <c r="F600" s="0" t="n">
        <v>15</v>
      </c>
      <c r="G600" s="0" t="n">
        <v>14</v>
      </c>
      <c r="I600" s="0" t="n">
        <v>210</v>
      </c>
      <c r="J600" s="0" t="n">
        <v>27</v>
      </c>
    </row>
    <row r="601" customFormat="false" ht="15" hidden="false" customHeight="false" outlineLevel="0" collapsed="false">
      <c r="A601" s="0" t="n">
        <v>10094</v>
      </c>
      <c r="B601" s="0" t="s">
        <v>95</v>
      </c>
      <c r="C601" s="0" t="n">
        <v>601</v>
      </c>
      <c r="D601" s="0" t="n">
        <v>7700</v>
      </c>
      <c r="E601" s="94" t="s">
        <v>431</v>
      </c>
      <c r="F601" s="0" t="n">
        <v>0.28</v>
      </c>
      <c r="G601" s="0" t="n">
        <v>180</v>
      </c>
      <c r="I601" s="0" t="n">
        <v>50.4</v>
      </c>
      <c r="J601" s="0" t="n">
        <v>7</v>
      </c>
    </row>
    <row r="602" customFormat="false" ht="15" hidden="false" customHeight="false" outlineLevel="0" collapsed="false">
      <c r="A602" s="0" t="n">
        <v>10094</v>
      </c>
      <c r="B602" s="0" t="s">
        <v>95</v>
      </c>
      <c r="C602" s="0" t="n">
        <v>602</v>
      </c>
      <c r="D602" s="0" t="n">
        <v>6264078410992</v>
      </c>
      <c r="E602" s="94" t="s">
        <v>420</v>
      </c>
      <c r="F602" s="0" t="n">
        <v>1</v>
      </c>
      <c r="G602" s="0" t="n">
        <v>15</v>
      </c>
      <c r="I602" s="0" t="n">
        <v>15</v>
      </c>
      <c r="J602" s="0" t="n">
        <v>8</v>
      </c>
    </row>
    <row r="603" customFormat="false" ht="15" hidden="false" customHeight="false" outlineLevel="0" collapsed="false">
      <c r="A603" s="0" t="n">
        <v>10094</v>
      </c>
      <c r="B603" s="0" t="s">
        <v>95</v>
      </c>
      <c r="C603" s="0" t="n">
        <v>603</v>
      </c>
      <c r="D603" s="0" t="n">
        <v>6260501700111</v>
      </c>
      <c r="E603" s="94" t="s">
        <v>382</v>
      </c>
      <c r="F603" s="0" t="n">
        <v>1</v>
      </c>
      <c r="G603" s="0" t="n">
        <v>15</v>
      </c>
      <c r="I603" s="0" t="n">
        <v>15</v>
      </c>
      <c r="J603" s="0" t="n">
        <v>9</v>
      </c>
    </row>
    <row r="604" customFormat="false" ht="15" hidden="false" customHeight="false" outlineLevel="0" collapsed="false">
      <c r="A604" s="0" t="n">
        <v>10088</v>
      </c>
      <c r="B604" s="0" t="s">
        <v>137</v>
      </c>
      <c r="C604" s="0" t="n">
        <v>604</v>
      </c>
      <c r="J604" s="0" t="n">
        <v>17</v>
      </c>
    </row>
    <row r="605" customFormat="false" ht="15" hidden="false" customHeight="false" outlineLevel="0" collapsed="false">
      <c r="A605" s="0" t="n">
        <v>10088</v>
      </c>
      <c r="B605" s="0" t="s">
        <v>137</v>
      </c>
      <c r="C605" s="0" t="n">
        <v>605</v>
      </c>
      <c r="D605" s="0" t="n">
        <v>2600</v>
      </c>
      <c r="E605" s="94" t="s">
        <v>279</v>
      </c>
      <c r="F605" s="0" t="n">
        <v>3</v>
      </c>
      <c r="G605" s="0" t="n">
        <v>100</v>
      </c>
      <c r="I605" s="0" t="n">
        <v>300</v>
      </c>
      <c r="J605" s="0" t="n">
        <v>28</v>
      </c>
    </row>
    <row r="606" customFormat="false" ht="15" hidden="false" customHeight="false" outlineLevel="0" collapsed="false">
      <c r="A606" s="0" t="n">
        <v>10088</v>
      </c>
      <c r="B606" s="0" t="s">
        <v>137</v>
      </c>
      <c r="C606" s="0" t="n">
        <v>606</v>
      </c>
      <c r="D606" s="0" t="n">
        <v>6260079200914</v>
      </c>
      <c r="E606" s="94" t="s">
        <v>291</v>
      </c>
      <c r="F606" s="0" t="n">
        <v>12</v>
      </c>
      <c r="G606" s="0" t="n">
        <v>17</v>
      </c>
      <c r="I606" s="0" t="n">
        <v>204</v>
      </c>
      <c r="J606" s="0" t="n">
        <v>29</v>
      </c>
    </row>
    <row r="607" customFormat="false" ht="15" hidden="false" customHeight="false" outlineLevel="0" collapsed="false">
      <c r="A607" s="0" t="n">
        <v>10088</v>
      </c>
      <c r="B607" s="0" t="s">
        <v>137</v>
      </c>
      <c r="C607" s="0" t="n">
        <v>607</v>
      </c>
      <c r="D607" s="0" t="n">
        <v>6269988500269</v>
      </c>
      <c r="E607" s="94" t="s">
        <v>379</v>
      </c>
      <c r="F607" s="0" t="n">
        <v>24</v>
      </c>
      <c r="G607" s="0" t="n">
        <v>11</v>
      </c>
      <c r="I607" s="0" t="n">
        <v>264</v>
      </c>
      <c r="J607" s="0" t="n">
        <v>30</v>
      </c>
    </row>
    <row r="608" customFormat="false" ht="15" hidden="false" customHeight="false" outlineLevel="0" collapsed="false">
      <c r="A608" s="0" t="n">
        <v>10088</v>
      </c>
      <c r="B608" s="0" t="s">
        <v>137</v>
      </c>
      <c r="C608" s="0" t="n">
        <v>608</v>
      </c>
      <c r="D608" s="0" t="n">
        <v>6260079211293</v>
      </c>
      <c r="E608" s="94" t="s">
        <v>312</v>
      </c>
      <c r="F608" s="0" t="n">
        <v>6</v>
      </c>
      <c r="G608" s="0" t="n">
        <v>30</v>
      </c>
      <c r="I608" s="0" t="n">
        <v>180</v>
      </c>
      <c r="J608" s="0" t="n">
        <v>31</v>
      </c>
    </row>
    <row r="609" customFormat="false" ht="15" hidden="false" customHeight="false" outlineLevel="0" collapsed="false">
      <c r="A609" s="0" t="n">
        <v>10088</v>
      </c>
      <c r="B609" s="0" t="s">
        <v>137</v>
      </c>
      <c r="C609" s="0" t="n">
        <v>609</v>
      </c>
      <c r="D609" s="0" t="n">
        <v>6261149146071</v>
      </c>
      <c r="E609" s="94" t="s">
        <v>313</v>
      </c>
      <c r="F609" s="0" t="n">
        <v>12</v>
      </c>
      <c r="G609" s="0" t="n">
        <v>22.5</v>
      </c>
      <c r="I609" s="0" t="n">
        <v>270</v>
      </c>
      <c r="J609" s="0" t="n">
        <v>32</v>
      </c>
    </row>
    <row r="610" customFormat="false" ht="15" hidden="false" customHeight="false" outlineLevel="0" collapsed="false">
      <c r="A610" s="0" t="n">
        <v>10088</v>
      </c>
      <c r="B610" s="0" t="s">
        <v>137</v>
      </c>
      <c r="C610" s="0" t="n">
        <v>610</v>
      </c>
      <c r="D610" s="0" t="n">
        <v>6261149146088</v>
      </c>
      <c r="E610" s="94" t="s">
        <v>314</v>
      </c>
      <c r="F610" s="0" t="n">
        <v>12</v>
      </c>
      <c r="G610" s="0" t="n">
        <v>22.5</v>
      </c>
      <c r="I610" s="0" t="n">
        <v>270</v>
      </c>
      <c r="J610" s="0" t="n">
        <v>33</v>
      </c>
    </row>
    <row r="611" customFormat="false" ht="15" hidden="false" customHeight="false" outlineLevel="0" collapsed="false">
      <c r="A611" s="0" t="n">
        <v>10088</v>
      </c>
      <c r="B611" s="0" t="s">
        <v>137</v>
      </c>
      <c r="C611" s="0" t="n">
        <v>611</v>
      </c>
      <c r="D611" s="0" t="n">
        <v>6260079277138</v>
      </c>
      <c r="E611" s="94" t="s">
        <v>315</v>
      </c>
      <c r="F611" s="0" t="n">
        <v>6</v>
      </c>
      <c r="G611" s="0" t="n">
        <v>24</v>
      </c>
      <c r="I611" s="0" t="n">
        <v>144</v>
      </c>
      <c r="J611" s="0" t="n">
        <v>34</v>
      </c>
    </row>
    <row r="612" customFormat="false" ht="15" hidden="false" customHeight="false" outlineLevel="0" collapsed="false">
      <c r="A612" s="0" t="n">
        <v>10095</v>
      </c>
      <c r="B612" s="0" t="s">
        <v>95</v>
      </c>
      <c r="C612" s="0" t="n">
        <v>612</v>
      </c>
      <c r="D612" s="0" t="n">
        <v>6260108300165</v>
      </c>
      <c r="E612" s="94" t="s">
        <v>243</v>
      </c>
      <c r="F612" s="0" t="n">
        <v>1</v>
      </c>
      <c r="G612" s="0" t="n">
        <v>350</v>
      </c>
      <c r="I612" s="0" t="n">
        <v>350</v>
      </c>
      <c r="J612" s="0" t="n">
        <v>7</v>
      </c>
    </row>
    <row r="613" customFormat="false" ht="15" hidden="false" customHeight="false" outlineLevel="0" collapsed="false">
      <c r="A613" s="0" t="n">
        <v>10095</v>
      </c>
      <c r="B613" s="0" t="s">
        <v>95</v>
      </c>
      <c r="C613" s="0" t="n">
        <v>613</v>
      </c>
      <c r="D613" s="0" t="n">
        <v>6269365700077</v>
      </c>
      <c r="E613" s="94" t="s">
        <v>390</v>
      </c>
      <c r="F613" s="0" t="n">
        <v>3</v>
      </c>
      <c r="G613" s="0" t="n">
        <v>18</v>
      </c>
      <c r="I613" s="0" t="n">
        <v>54</v>
      </c>
      <c r="J613" s="0" t="n">
        <v>8</v>
      </c>
    </row>
    <row r="614" customFormat="false" ht="15" hidden="false" customHeight="false" outlineLevel="0" collapsed="false">
      <c r="A614" s="0" t="n">
        <v>10095</v>
      </c>
      <c r="B614" s="0" t="s">
        <v>95</v>
      </c>
      <c r="C614" s="0" t="n">
        <v>614</v>
      </c>
      <c r="D614" s="0" t="n">
        <v>2200</v>
      </c>
      <c r="E614" s="94" t="s">
        <v>164</v>
      </c>
      <c r="F614" s="0" t="n">
        <v>5</v>
      </c>
      <c r="G614" s="0" t="n">
        <v>70</v>
      </c>
      <c r="I614" s="0" t="n">
        <v>350</v>
      </c>
      <c r="J614" s="0" t="n">
        <v>9</v>
      </c>
    </row>
    <row r="615" customFormat="false" ht="15" hidden="false" customHeight="false" outlineLevel="0" collapsed="false">
      <c r="A615" s="0" t="n">
        <v>10088</v>
      </c>
      <c r="B615" s="0" t="s">
        <v>137</v>
      </c>
      <c r="C615" s="0" t="n">
        <v>615</v>
      </c>
      <c r="D615" s="0" t="n">
        <v>6261149065594</v>
      </c>
      <c r="E615" s="94" t="s">
        <v>375</v>
      </c>
      <c r="F615" s="0" t="n">
        <v>24</v>
      </c>
      <c r="G615" s="0" t="n">
        <v>4.2</v>
      </c>
      <c r="I615" s="0" t="n">
        <v>100.8</v>
      </c>
      <c r="J615" s="0" t="n">
        <v>35</v>
      </c>
    </row>
    <row r="616" customFormat="false" ht="15" hidden="false" customHeight="false" outlineLevel="0" collapsed="false">
      <c r="A616" s="0" t="n">
        <v>10088</v>
      </c>
      <c r="B616" s="0" t="s">
        <v>137</v>
      </c>
      <c r="C616" s="0" t="n">
        <v>616</v>
      </c>
      <c r="D616" s="0" t="n">
        <v>6261149065129</v>
      </c>
      <c r="E616" s="94" t="s">
        <v>445</v>
      </c>
      <c r="F616" s="0" t="n">
        <v>24</v>
      </c>
      <c r="G616" s="0" t="n">
        <v>4.2</v>
      </c>
      <c r="I616" s="0" t="n">
        <v>100.8</v>
      </c>
      <c r="J616" s="0" t="n">
        <v>36</v>
      </c>
    </row>
    <row r="617" customFormat="false" ht="15" hidden="false" customHeight="false" outlineLevel="0" collapsed="false">
      <c r="A617" s="0" t="n">
        <v>10088</v>
      </c>
      <c r="B617" s="0" t="s">
        <v>137</v>
      </c>
      <c r="C617" s="0" t="n">
        <v>617</v>
      </c>
      <c r="D617" s="0" t="n">
        <v>6261149065136</v>
      </c>
      <c r="E617" s="94" t="s">
        <v>373</v>
      </c>
      <c r="F617" s="0" t="n">
        <v>24</v>
      </c>
      <c r="G617" s="0" t="n">
        <v>4.2</v>
      </c>
      <c r="I617" s="0" t="n">
        <v>100.8</v>
      </c>
      <c r="J617" s="0" t="n">
        <v>37</v>
      </c>
    </row>
    <row r="618" customFormat="false" ht="15" hidden="false" customHeight="false" outlineLevel="0" collapsed="false">
      <c r="A618" s="0" t="n">
        <v>10088</v>
      </c>
      <c r="B618" s="0" t="s">
        <v>137</v>
      </c>
      <c r="C618" s="0" t="n">
        <v>618</v>
      </c>
      <c r="D618" s="0" t="n">
        <v>6261149065679</v>
      </c>
      <c r="E618" s="94" t="s">
        <v>376</v>
      </c>
      <c r="F618" s="0" t="n">
        <v>24</v>
      </c>
      <c r="G618" s="0" t="n">
        <v>4.2</v>
      </c>
      <c r="I618" s="0" t="n">
        <v>100.8</v>
      </c>
      <c r="J618" s="0" t="n">
        <v>38</v>
      </c>
    </row>
    <row r="619" customFormat="false" ht="15" hidden="false" customHeight="false" outlineLevel="0" collapsed="false">
      <c r="A619" s="0" t="n">
        <v>10096</v>
      </c>
      <c r="B619" s="0" t="s">
        <v>95</v>
      </c>
      <c r="C619" s="0" t="n">
        <v>619</v>
      </c>
      <c r="D619" s="0" t="n">
        <v>6260217600866</v>
      </c>
      <c r="E619" s="94" t="s">
        <v>210</v>
      </c>
      <c r="F619" s="0" t="n">
        <v>1</v>
      </c>
      <c r="G619" s="0" t="n">
        <v>70</v>
      </c>
      <c r="I619" s="0" t="n">
        <v>70</v>
      </c>
      <c r="J619" s="0" t="n">
        <v>7</v>
      </c>
    </row>
    <row r="620" customFormat="false" ht="15" hidden="false" customHeight="false" outlineLevel="0" collapsed="false">
      <c r="A620" s="0" t="n">
        <v>10096</v>
      </c>
      <c r="B620" s="0" t="s">
        <v>95</v>
      </c>
      <c r="C620" s="0" t="n">
        <v>620</v>
      </c>
      <c r="D620" s="0" t="n">
        <v>6261149065136</v>
      </c>
      <c r="E620" s="94" t="s">
        <v>373</v>
      </c>
      <c r="F620" s="0" t="n">
        <v>1</v>
      </c>
      <c r="G620" s="0" t="n">
        <v>5</v>
      </c>
      <c r="I620" s="0" t="n">
        <v>5</v>
      </c>
      <c r="J620" s="0" t="n">
        <v>8</v>
      </c>
    </row>
    <row r="621" customFormat="false" ht="15" hidden="false" customHeight="false" outlineLevel="0" collapsed="false">
      <c r="A621" s="0" t="n">
        <v>10096</v>
      </c>
      <c r="B621" s="0" t="s">
        <v>95</v>
      </c>
      <c r="C621" s="0" t="n">
        <v>621</v>
      </c>
      <c r="D621" s="0" t="n">
        <v>6261149065129</v>
      </c>
      <c r="E621" s="94" t="s">
        <v>445</v>
      </c>
      <c r="F621" s="0" t="n">
        <v>1</v>
      </c>
      <c r="G621" s="0" t="n">
        <v>5</v>
      </c>
      <c r="I621" s="0" t="n">
        <v>5</v>
      </c>
      <c r="J621" s="0" t="n">
        <v>9</v>
      </c>
    </row>
    <row r="622" customFormat="false" ht="15" hidden="false" customHeight="false" outlineLevel="0" collapsed="false">
      <c r="A622" s="0" t="n">
        <v>10097</v>
      </c>
      <c r="B622" s="0" t="s">
        <v>95</v>
      </c>
      <c r="C622" s="0" t="n">
        <v>622</v>
      </c>
      <c r="D622" s="0" t="n">
        <v>6269365700084</v>
      </c>
      <c r="E622" s="94" t="s">
        <v>395</v>
      </c>
      <c r="F622" s="0" t="n">
        <v>1</v>
      </c>
      <c r="G622" s="0" t="n">
        <v>18</v>
      </c>
      <c r="I622" s="0" t="n">
        <v>18</v>
      </c>
      <c r="J622" s="0" t="n">
        <v>7</v>
      </c>
    </row>
    <row r="623" customFormat="false" ht="15" hidden="false" customHeight="false" outlineLevel="0" collapsed="false">
      <c r="A623" s="0" t="n">
        <v>10097</v>
      </c>
      <c r="B623" s="0" t="s">
        <v>95</v>
      </c>
      <c r="C623" s="0" t="n">
        <v>623</v>
      </c>
      <c r="D623" s="0" t="n">
        <v>6260308310278</v>
      </c>
      <c r="E623" s="94" t="s">
        <v>165</v>
      </c>
      <c r="F623" s="0" t="n">
        <v>1</v>
      </c>
      <c r="G623" s="0" t="n">
        <v>80</v>
      </c>
      <c r="I623" s="0" t="n">
        <v>80</v>
      </c>
      <c r="J623" s="0" t="n">
        <v>8</v>
      </c>
    </row>
    <row r="624" customFormat="false" ht="15" hidden="false" customHeight="false" outlineLevel="0" collapsed="false">
      <c r="A624" s="0" t="n">
        <v>10098</v>
      </c>
      <c r="B624" s="0" t="s">
        <v>95</v>
      </c>
      <c r="C624" s="0" t="n">
        <v>624</v>
      </c>
      <c r="D624" s="0" t="n">
        <v>7700</v>
      </c>
      <c r="E624" s="94" t="s">
        <v>431</v>
      </c>
      <c r="F624" s="0" t="n">
        <v>0.305</v>
      </c>
      <c r="G624" s="0" t="n">
        <v>180</v>
      </c>
      <c r="I624" s="0" t="n">
        <v>54.9</v>
      </c>
      <c r="J624" s="0" t="n">
        <v>7</v>
      </c>
    </row>
    <row r="625" customFormat="false" ht="15" hidden="false" customHeight="false" outlineLevel="0" collapsed="false">
      <c r="A625" s="0" t="n">
        <v>10099</v>
      </c>
      <c r="B625" s="0" t="s">
        <v>95</v>
      </c>
      <c r="C625" s="0" t="n">
        <v>625</v>
      </c>
      <c r="D625" s="0" t="n">
        <v>6260201109320</v>
      </c>
      <c r="E625" s="94" t="s">
        <v>202</v>
      </c>
      <c r="F625" s="0" t="n">
        <v>1</v>
      </c>
      <c r="G625" s="0" t="n">
        <v>30</v>
      </c>
      <c r="I625" s="0" t="n">
        <v>30</v>
      </c>
      <c r="J625" s="0" t="n">
        <v>7</v>
      </c>
    </row>
    <row r="626" customFormat="false" ht="15" hidden="false" customHeight="false" outlineLevel="0" collapsed="false">
      <c r="A626" s="0" t="n">
        <v>10100</v>
      </c>
      <c r="B626" s="0" t="s">
        <v>95</v>
      </c>
      <c r="C626" s="0" t="n">
        <v>626</v>
      </c>
      <c r="D626" s="0" t="n">
        <v>6263812801256</v>
      </c>
      <c r="E626" s="94" t="s">
        <v>446</v>
      </c>
      <c r="F626" s="0" t="n">
        <v>1</v>
      </c>
      <c r="G626" s="0" t="n">
        <v>45</v>
      </c>
      <c r="I626" s="0" t="n">
        <v>45</v>
      </c>
      <c r="J626" s="0" t="n">
        <v>7</v>
      </c>
    </row>
    <row r="627" customFormat="false" ht="15" hidden="false" customHeight="false" outlineLevel="0" collapsed="false">
      <c r="A627" s="0" t="n">
        <v>10100</v>
      </c>
      <c r="B627" s="0" t="s">
        <v>95</v>
      </c>
      <c r="C627" s="0" t="n">
        <v>627</v>
      </c>
      <c r="D627" s="0" t="n">
        <v>6261178014334</v>
      </c>
      <c r="E627" s="94" t="s">
        <v>351</v>
      </c>
      <c r="F627" s="0" t="n">
        <v>1</v>
      </c>
      <c r="G627" s="0" t="n">
        <v>4</v>
      </c>
      <c r="I627" s="0" t="n">
        <v>4</v>
      </c>
      <c r="J627" s="0" t="n">
        <v>8</v>
      </c>
    </row>
    <row r="628" customFormat="false" ht="15" hidden="false" customHeight="false" outlineLevel="0" collapsed="false">
      <c r="A628" s="0" t="n">
        <v>10100</v>
      </c>
      <c r="B628" s="0" t="s">
        <v>95</v>
      </c>
      <c r="C628" s="0" t="n">
        <v>628</v>
      </c>
      <c r="D628" s="0" t="n">
        <v>7500</v>
      </c>
      <c r="E628" s="94" t="s">
        <v>318</v>
      </c>
      <c r="F628" s="0" t="n">
        <v>6</v>
      </c>
      <c r="G628" s="0" t="n">
        <v>2</v>
      </c>
      <c r="I628" s="0" t="n">
        <v>12</v>
      </c>
      <c r="J628" s="0" t="n">
        <v>9</v>
      </c>
    </row>
    <row r="629" customFormat="false" ht="15" hidden="false" customHeight="false" outlineLevel="0" collapsed="false">
      <c r="A629" s="0" t="n">
        <v>10101</v>
      </c>
      <c r="B629" s="0" t="s">
        <v>95</v>
      </c>
      <c r="C629" s="0" t="n">
        <v>629</v>
      </c>
      <c r="D629" s="0" t="n">
        <v>6261422504543</v>
      </c>
      <c r="E629" s="94" t="s">
        <v>226</v>
      </c>
      <c r="F629" s="0" t="n">
        <v>1</v>
      </c>
      <c r="G629" s="0" t="n">
        <v>30</v>
      </c>
      <c r="I629" s="0" t="n">
        <v>30</v>
      </c>
      <c r="J629" s="0" t="n">
        <v>7</v>
      </c>
    </row>
    <row r="630" customFormat="false" ht="15" hidden="false" customHeight="false" outlineLevel="0" collapsed="false">
      <c r="A630" s="0" t="n">
        <v>10088</v>
      </c>
      <c r="B630" s="0" t="s">
        <v>137</v>
      </c>
      <c r="C630" s="0" t="n">
        <v>630</v>
      </c>
      <c r="D630" s="0" t="n">
        <v>6263812801386</v>
      </c>
      <c r="E630" s="94" t="s">
        <v>447</v>
      </c>
      <c r="F630" s="0" t="n">
        <v>30</v>
      </c>
      <c r="G630" s="0" t="n">
        <v>16</v>
      </c>
      <c r="I630" s="0" t="n">
        <v>480</v>
      </c>
      <c r="J630" s="0" t="n">
        <v>38</v>
      </c>
    </row>
    <row r="631" customFormat="false" ht="15" hidden="false" customHeight="false" outlineLevel="0" collapsed="false">
      <c r="A631" s="0" t="n">
        <v>10088</v>
      </c>
      <c r="B631" s="0" t="s">
        <v>137</v>
      </c>
      <c r="C631" s="0" t="n">
        <v>631</v>
      </c>
      <c r="D631" s="0" t="n">
        <v>6260170902281</v>
      </c>
      <c r="E631" s="94" t="s">
        <v>448</v>
      </c>
      <c r="F631" s="0" t="n">
        <v>24</v>
      </c>
      <c r="G631" s="0" t="n">
        <v>16</v>
      </c>
      <c r="I631" s="0" t="n">
        <v>384</v>
      </c>
      <c r="J631" s="0" t="n">
        <v>39</v>
      </c>
    </row>
    <row r="632" customFormat="false" ht="15" hidden="false" customHeight="false" outlineLevel="0" collapsed="false">
      <c r="A632" s="0" t="n">
        <v>10102</v>
      </c>
      <c r="B632" s="0" t="s">
        <v>95</v>
      </c>
      <c r="C632" s="0" t="n">
        <v>632</v>
      </c>
      <c r="D632" s="0" t="n">
        <v>6262003401961</v>
      </c>
      <c r="E632" s="94" t="s">
        <v>393</v>
      </c>
      <c r="F632" s="0" t="n">
        <v>1</v>
      </c>
      <c r="G632" s="0" t="n">
        <v>55</v>
      </c>
      <c r="I632" s="0" t="n">
        <v>55</v>
      </c>
      <c r="J632" s="0" t="n">
        <v>7</v>
      </c>
    </row>
    <row r="633" customFormat="false" ht="15" hidden="false" customHeight="false" outlineLevel="0" collapsed="false">
      <c r="A633" s="0" t="n">
        <v>10102</v>
      </c>
      <c r="B633" s="0" t="s">
        <v>95</v>
      </c>
      <c r="C633" s="0" t="n">
        <v>633</v>
      </c>
      <c r="D633" s="0" t="n">
        <v>6262003402647</v>
      </c>
      <c r="E633" s="94" t="s">
        <v>386</v>
      </c>
      <c r="F633" s="0" t="n">
        <v>2</v>
      </c>
      <c r="G633" s="0" t="n">
        <v>38</v>
      </c>
      <c r="I633" s="0" t="n">
        <v>76</v>
      </c>
      <c r="J633" s="0" t="n">
        <v>8</v>
      </c>
    </row>
    <row r="634" customFormat="false" ht="15" hidden="false" customHeight="false" outlineLevel="0" collapsed="false">
      <c r="A634" s="0" t="n">
        <v>10102</v>
      </c>
      <c r="B634" s="0" t="s">
        <v>95</v>
      </c>
      <c r="C634" s="0" t="n">
        <v>634</v>
      </c>
      <c r="D634" s="0" t="n">
        <v>6260533000067</v>
      </c>
      <c r="E634" s="94" t="s">
        <v>190</v>
      </c>
      <c r="F634" s="0" t="n">
        <v>3</v>
      </c>
      <c r="G634" s="0" t="n">
        <v>50</v>
      </c>
      <c r="I634" s="0" t="n">
        <v>150</v>
      </c>
      <c r="J634" s="0" t="n">
        <v>9</v>
      </c>
    </row>
    <row r="635" customFormat="false" ht="15" hidden="false" customHeight="false" outlineLevel="0" collapsed="false">
      <c r="A635" s="0" t="n">
        <v>10102</v>
      </c>
      <c r="B635" s="0" t="s">
        <v>95</v>
      </c>
      <c r="C635" s="0" t="n">
        <v>635</v>
      </c>
      <c r="D635" s="0" t="n">
        <v>6263186900012</v>
      </c>
      <c r="E635" s="94" t="s">
        <v>273</v>
      </c>
      <c r="F635" s="0" t="n">
        <v>3</v>
      </c>
      <c r="G635" s="0" t="n">
        <v>2</v>
      </c>
      <c r="I635" s="0" t="n">
        <v>6</v>
      </c>
      <c r="J635" s="0" t="n">
        <v>10</v>
      </c>
    </row>
    <row r="636" customFormat="false" ht="15" hidden="false" customHeight="false" outlineLevel="0" collapsed="false">
      <c r="A636" s="0" t="n">
        <v>10102</v>
      </c>
      <c r="B636" s="0" t="s">
        <v>95</v>
      </c>
      <c r="C636" s="0" t="n">
        <v>636</v>
      </c>
      <c r="D636" s="0" t="n">
        <v>5200</v>
      </c>
      <c r="E636" s="94" t="s">
        <v>323</v>
      </c>
      <c r="F636" s="0" t="n">
        <v>4</v>
      </c>
      <c r="G636" s="0" t="n">
        <v>1</v>
      </c>
      <c r="I636" s="0" t="n">
        <v>4</v>
      </c>
      <c r="J636" s="0" t="n">
        <v>11</v>
      </c>
    </row>
    <row r="637" customFormat="false" ht="15" hidden="false" customHeight="false" outlineLevel="0" collapsed="false">
      <c r="A637" s="0" t="n">
        <v>10103</v>
      </c>
      <c r="B637" s="0" t="s">
        <v>95</v>
      </c>
      <c r="C637" s="0" t="n">
        <v>637</v>
      </c>
      <c r="D637" s="0" t="n">
        <v>6261422503003</v>
      </c>
      <c r="E637" s="94" t="s">
        <v>436</v>
      </c>
      <c r="F637" s="0" t="n">
        <v>1</v>
      </c>
      <c r="G637" s="0" t="n">
        <v>30</v>
      </c>
      <c r="I637" s="0" t="n">
        <v>30</v>
      </c>
      <c r="J637" s="0" t="n">
        <v>7</v>
      </c>
    </row>
    <row r="638" customFormat="false" ht="15" hidden="false" customHeight="false" outlineLevel="0" collapsed="false">
      <c r="A638" s="0" t="n">
        <v>10104</v>
      </c>
      <c r="B638" s="0" t="s">
        <v>95</v>
      </c>
      <c r="C638" s="0" t="n">
        <v>638</v>
      </c>
      <c r="D638" s="0" t="n">
        <v>6261163400197</v>
      </c>
      <c r="E638" s="94" t="s">
        <v>418</v>
      </c>
      <c r="F638" s="0" t="n">
        <v>1</v>
      </c>
      <c r="G638" s="0" t="n">
        <v>20</v>
      </c>
      <c r="I638" s="0" t="n">
        <v>20</v>
      </c>
      <c r="J638" s="0" t="n">
        <v>7</v>
      </c>
    </row>
    <row r="639" customFormat="false" ht="15" hidden="false" customHeight="false" outlineLevel="0" collapsed="false">
      <c r="A639" s="0" t="n">
        <v>10105</v>
      </c>
      <c r="B639" s="0" t="s">
        <v>95</v>
      </c>
      <c r="C639" s="0" t="n">
        <v>639</v>
      </c>
      <c r="D639" s="0" t="n">
        <v>6265826100134</v>
      </c>
      <c r="E639" s="94" t="s">
        <v>388</v>
      </c>
      <c r="F639" s="0" t="n">
        <v>2</v>
      </c>
      <c r="G639" s="0" t="n">
        <v>21</v>
      </c>
      <c r="I639" s="0" t="n">
        <v>42</v>
      </c>
      <c r="J639" s="0" t="n">
        <v>7</v>
      </c>
    </row>
    <row r="640" customFormat="false" ht="15" hidden="false" customHeight="false" outlineLevel="0" collapsed="false">
      <c r="A640" s="0" t="n">
        <v>10106</v>
      </c>
      <c r="B640" s="0" t="s">
        <v>137</v>
      </c>
      <c r="C640" s="0" t="n">
        <v>640</v>
      </c>
      <c r="D640" s="0" t="n">
        <v>6260000252135</v>
      </c>
      <c r="E640" s="94" t="s">
        <v>449</v>
      </c>
      <c r="F640" s="0" t="n">
        <v>1</v>
      </c>
      <c r="G640" s="0" t="n">
        <v>13</v>
      </c>
      <c r="I640" s="0" t="n">
        <v>13</v>
      </c>
      <c r="J640" s="0" t="n">
        <v>7</v>
      </c>
    </row>
    <row r="641" customFormat="false" ht="15" hidden="false" customHeight="false" outlineLevel="0" collapsed="false">
      <c r="A641" s="0" t="n">
        <v>10106</v>
      </c>
      <c r="B641" s="0" t="s">
        <v>137</v>
      </c>
      <c r="C641" s="0" t="n">
        <v>641</v>
      </c>
      <c r="D641" s="0" t="n">
        <v>6260000252166</v>
      </c>
      <c r="E641" s="94" t="s">
        <v>450</v>
      </c>
      <c r="F641" s="0" t="n">
        <v>5</v>
      </c>
      <c r="G641" s="0" t="n">
        <v>13</v>
      </c>
      <c r="I641" s="0" t="n">
        <v>65</v>
      </c>
      <c r="J641" s="0" t="n">
        <v>8</v>
      </c>
    </row>
    <row r="642" customFormat="false" ht="15" hidden="false" customHeight="false" outlineLevel="0" collapsed="false">
      <c r="A642" s="0" t="n">
        <v>10106</v>
      </c>
      <c r="B642" s="0" t="s">
        <v>137</v>
      </c>
      <c r="C642" s="0" t="n">
        <v>642</v>
      </c>
      <c r="D642" s="0" t="n">
        <v>6260000252128</v>
      </c>
      <c r="E642" s="94" t="s">
        <v>451</v>
      </c>
      <c r="F642" s="0" t="n">
        <v>5</v>
      </c>
      <c r="G642" s="0" t="n">
        <v>12</v>
      </c>
      <c r="I642" s="0" t="n">
        <v>60</v>
      </c>
      <c r="J642" s="0" t="n">
        <v>9</v>
      </c>
    </row>
    <row r="643" customFormat="false" ht="15" hidden="false" customHeight="false" outlineLevel="0" collapsed="false">
      <c r="A643" s="0" t="n">
        <v>10106</v>
      </c>
      <c r="B643" s="0" t="s">
        <v>137</v>
      </c>
      <c r="C643" s="0" t="n">
        <v>643</v>
      </c>
      <c r="D643" s="0" t="n">
        <v>6260000252142</v>
      </c>
      <c r="E643" s="94" t="s">
        <v>452</v>
      </c>
      <c r="F643" s="0" t="n">
        <v>4</v>
      </c>
      <c r="G643" s="0" t="n">
        <v>12</v>
      </c>
      <c r="I643" s="0" t="n">
        <v>48</v>
      </c>
      <c r="J643" s="0" t="n">
        <v>10</v>
      </c>
    </row>
    <row r="644" customFormat="false" ht="15" hidden="false" customHeight="false" outlineLevel="0" collapsed="false">
      <c r="A644" s="0" t="n">
        <v>10107</v>
      </c>
      <c r="B644" s="0" t="s">
        <v>95</v>
      </c>
      <c r="C644" s="0" t="n">
        <v>644</v>
      </c>
      <c r="D644" s="0" t="n">
        <v>6269365700251</v>
      </c>
      <c r="E644" s="94" t="s">
        <v>397</v>
      </c>
      <c r="F644" s="0" t="n">
        <v>1</v>
      </c>
      <c r="G644" s="0" t="n">
        <v>21</v>
      </c>
      <c r="I644" s="0" t="n">
        <v>21</v>
      </c>
      <c r="J644" s="0" t="n">
        <v>7</v>
      </c>
    </row>
    <row r="645" customFormat="false" ht="15" hidden="false" customHeight="false" outlineLevel="0" collapsed="false">
      <c r="A645" s="0" t="n">
        <v>10108</v>
      </c>
      <c r="B645" s="0" t="s">
        <v>95</v>
      </c>
      <c r="C645" s="0" t="n">
        <v>645</v>
      </c>
      <c r="D645" s="0" t="n">
        <v>6261163400036</v>
      </c>
      <c r="E645" s="94" t="s">
        <v>417</v>
      </c>
      <c r="F645" s="0" t="n">
        <v>1</v>
      </c>
      <c r="G645" s="0" t="n">
        <v>20</v>
      </c>
      <c r="I645" s="0" t="n">
        <v>20</v>
      </c>
      <c r="J645" s="0" t="n">
        <v>7</v>
      </c>
    </row>
    <row r="646" customFormat="false" ht="15" hidden="false" customHeight="false" outlineLevel="0" collapsed="false">
      <c r="A646" s="0" t="n">
        <v>10109</v>
      </c>
      <c r="B646" s="0" t="s">
        <v>95</v>
      </c>
      <c r="C646" s="0" t="n">
        <v>646</v>
      </c>
      <c r="D646" s="0" t="n">
        <v>6260806400020</v>
      </c>
      <c r="E646" s="94" t="s">
        <v>309</v>
      </c>
      <c r="F646" s="0" t="n">
        <v>1</v>
      </c>
      <c r="G646" s="0" t="n">
        <v>50</v>
      </c>
      <c r="I646" s="0" t="n">
        <v>50</v>
      </c>
      <c r="J646" s="0" t="n">
        <v>7</v>
      </c>
    </row>
    <row r="647" customFormat="false" ht="15" hidden="false" customHeight="false" outlineLevel="0" collapsed="false">
      <c r="A647" s="0" t="n">
        <v>10110</v>
      </c>
      <c r="B647" s="0" t="s">
        <v>95</v>
      </c>
      <c r="C647" s="0" t="n">
        <v>647</v>
      </c>
      <c r="D647" s="0" t="n">
        <v>6269365700077</v>
      </c>
      <c r="E647" s="94" t="s">
        <v>390</v>
      </c>
      <c r="F647" s="0" t="n">
        <v>1</v>
      </c>
      <c r="G647" s="0" t="n">
        <v>18</v>
      </c>
      <c r="I647" s="0" t="n">
        <v>18</v>
      </c>
      <c r="J647" s="0" t="n">
        <v>7</v>
      </c>
    </row>
    <row r="648" customFormat="false" ht="15" hidden="false" customHeight="false" outlineLevel="0" collapsed="false">
      <c r="A648" s="0" t="n">
        <v>10110</v>
      </c>
      <c r="B648" s="0" t="s">
        <v>95</v>
      </c>
      <c r="C648" s="0" t="n">
        <v>648</v>
      </c>
      <c r="D648" s="0" t="n">
        <v>6265826100028</v>
      </c>
      <c r="E648" s="94" t="s">
        <v>389</v>
      </c>
      <c r="F648" s="0" t="n">
        <v>1</v>
      </c>
      <c r="G648" s="0" t="n">
        <v>21</v>
      </c>
      <c r="I648" s="0" t="n">
        <v>21</v>
      </c>
      <c r="J648" s="0" t="n">
        <v>8</v>
      </c>
    </row>
    <row r="649" customFormat="false" ht="15" hidden="false" customHeight="false" outlineLevel="0" collapsed="false">
      <c r="A649" s="0" t="n">
        <v>10111</v>
      </c>
      <c r="B649" s="0" t="s">
        <v>95</v>
      </c>
      <c r="C649" s="0" t="n">
        <v>649</v>
      </c>
      <c r="D649" s="0" t="n">
        <v>3000</v>
      </c>
      <c r="E649" s="94" t="s">
        <v>166</v>
      </c>
      <c r="F649" s="0" t="n">
        <v>0.08</v>
      </c>
      <c r="G649" s="0" t="n">
        <v>700</v>
      </c>
      <c r="I649" s="0" t="n">
        <v>56</v>
      </c>
      <c r="J649" s="0" t="n">
        <v>7</v>
      </c>
    </row>
    <row r="650" customFormat="false" ht="15" hidden="false" customHeight="false" outlineLevel="0" collapsed="false">
      <c r="A650" s="0" t="n">
        <v>10112</v>
      </c>
      <c r="B650" s="0" t="s">
        <v>137</v>
      </c>
      <c r="C650" s="0" t="n">
        <v>650</v>
      </c>
      <c r="D650" s="0" t="n">
        <v>2582525885273</v>
      </c>
      <c r="E650" s="94" t="s">
        <v>453</v>
      </c>
      <c r="F650" s="0" t="n">
        <v>10</v>
      </c>
      <c r="G650" s="0" t="n">
        <v>10</v>
      </c>
      <c r="I650" s="0" t="n">
        <v>100</v>
      </c>
      <c r="J650" s="0" t="n">
        <v>7</v>
      </c>
    </row>
    <row r="651" customFormat="false" ht="15" hidden="false" customHeight="false" outlineLevel="0" collapsed="false">
      <c r="A651" s="0" t="n">
        <v>10112</v>
      </c>
      <c r="B651" s="0" t="s">
        <v>137</v>
      </c>
      <c r="C651" s="0" t="n">
        <v>651</v>
      </c>
      <c r="D651" s="0" t="n">
        <v>6260308310278</v>
      </c>
      <c r="E651" s="94" t="s">
        <v>165</v>
      </c>
      <c r="F651" s="0" t="n">
        <v>6</v>
      </c>
      <c r="G651" s="0" t="n">
        <v>75</v>
      </c>
      <c r="I651" s="0" t="n">
        <v>450</v>
      </c>
      <c r="J651" s="0" t="n">
        <v>8</v>
      </c>
    </row>
    <row r="652" customFormat="false" ht="15" hidden="false" customHeight="false" outlineLevel="0" collapsed="false">
      <c r="A652" s="0" t="n">
        <v>10112</v>
      </c>
      <c r="B652" s="0" t="s">
        <v>137</v>
      </c>
      <c r="C652" s="0" t="n">
        <v>652</v>
      </c>
      <c r="D652" s="0" t="n">
        <v>6300</v>
      </c>
      <c r="E652" s="94" t="s">
        <v>454</v>
      </c>
      <c r="F652" s="0" t="n">
        <v>6</v>
      </c>
      <c r="G652" s="0" t="n">
        <v>20</v>
      </c>
      <c r="I652" s="0" t="n">
        <v>120</v>
      </c>
      <c r="J652" s="0" t="n">
        <v>9</v>
      </c>
    </row>
    <row r="653" customFormat="false" ht="15" hidden="false" customHeight="false" outlineLevel="0" collapsed="false">
      <c r="A653" s="0" t="n">
        <v>10113</v>
      </c>
      <c r="B653" s="0" t="s">
        <v>95</v>
      </c>
      <c r="C653" s="0" t="n">
        <v>653</v>
      </c>
      <c r="D653" s="0" t="n">
        <v>6265663103565</v>
      </c>
      <c r="E653" s="94" t="s">
        <v>299</v>
      </c>
      <c r="F653" s="0" t="n">
        <v>2</v>
      </c>
      <c r="G653" s="0" t="n">
        <v>5</v>
      </c>
      <c r="I653" s="0" t="n">
        <v>10</v>
      </c>
      <c r="J653" s="0" t="n">
        <v>7</v>
      </c>
    </row>
    <row r="654" customFormat="false" ht="15" hidden="false" customHeight="false" outlineLevel="0" collapsed="false">
      <c r="A654" s="0" t="n">
        <v>10113</v>
      </c>
      <c r="B654" s="0" t="s">
        <v>95</v>
      </c>
      <c r="C654" s="0" t="n">
        <v>654</v>
      </c>
      <c r="D654" s="0" t="n">
        <v>6269365700091</v>
      </c>
      <c r="E654" s="94" t="s">
        <v>391</v>
      </c>
      <c r="F654" s="0" t="n">
        <v>1</v>
      </c>
      <c r="G654" s="0" t="n">
        <v>18</v>
      </c>
      <c r="I654" s="0" t="n">
        <v>18</v>
      </c>
      <c r="J654" s="0" t="n">
        <v>8</v>
      </c>
    </row>
    <row r="655" customFormat="false" ht="15" hidden="false" customHeight="false" outlineLevel="0" collapsed="false">
      <c r="A655" s="0" t="n">
        <v>10113</v>
      </c>
      <c r="B655" s="0" t="s">
        <v>95</v>
      </c>
      <c r="C655" s="0" t="n">
        <v>655</v>
      </c>
      <c r="D655" s="0" t="n">
        <v>6264078411616</v>
      </c>
      <c r="E655" s="94" t="s">
        <v>425</v>
      </c>
      <c r="F655" s="0" t="n">
        <v>1</v>
      </c>
      <c r="G655" s="0" t="n">
        <v>10</v>
      </c>
      <c r="I655" s="0" t="n">
        <v>10</v>
      </c>
      <c r="J655" s="0" t="n">
        <v>9</v>
      </c>
    </row>
    <row r="656" customFormat="false" ht="15" hidden="false" customHeight="false" outlineLevel="0" collapsed="false">
      <c r="A656" s="0" t="n">
        <v>10113</v>
      </c>
      <c r="B656" s="0" t="s">
        <v>95</v>
      </c>
      <c r="C656" s="0" t="n">
        <v>656</v>
      </c>
      <c r="D656" s="0" t="n">
        <v>5200</v>
      </c>
      <c r="E656" s="94" t="s">
        <v>323</v>
      </c>
      <c r="F656" s="0" t="n">
        <v>2</v>
      </c>
      <c r="G656" s="0" t="n">
        <v>1</v>
      </c>
      <c r="I656" s="0" t="n">
        <v>2</v>
      </c>
      <c r="J656" s="0" t="n">
        <v>10</v>
      </c>
    </row>
    <row r="657" customFormat="false" ht="15" hidden="false" customHeight="false" outlineLevel="0" collapsed="false">
      <c r="A657" s="0" t="n">
        <v>10114</v>
      </c>
      <c r="B657" s="0" t="s">
        <v>95</v>
      </c>
      <c r="C657" s="0" t="n">
        <v>657</v>
      </c>
      <c r="D657" s="0" t="n">
        <v>6260543505668</v>
      </c>
      <c r="E657" s="94" t="s">
        <v>360</v>
      </c>
      <c r="F657" s="0" t="n">
        <v>2</v>
      </c>
      <c r="G657" s="0" t="n">
        <v>5</v>
      </c>
      <c r="I657" s="0" t="n">
        <v>10</v>
      </c>
      <c r="J657" s="0" t="n">
        <v>7</v>
      </c>
    </row>
    <row r="658" customFormat="false" ht="15" hidden="false" customHeight="false" outlineLevel="0" collapsed="false">
      <c r="A658" s="0" t="n">
        <v>10115</v>
      </c>
      <c r="B658" s="0" t="s">
        <v>137</v>
      </c>
      <c r="C658" s="0" t="n">
        <v>658</v>
      </c>
      <c r="D658" s="0" t="n">
        <v>6265826100844</v>
      </c>
      <c r="E658" s="94" t="s">
        <v>408</v>
      </c>
      <c r="F658" s="0" t="n">
        <v>10</v>
      </c>
      <c r="G658" s="0" t="n">
        <v>18</v>
      </c>
      <c r="I658" s="0" t="n">
        <v>180</v>
      </c>
      <c r="J658" s="0" t="n">
        <v>7</v>
      </c>
    </row>
    <row r="659" customFormat="false" ht="15" hidden="false" customHeight="false" outlineLevel="0" collapsed="false">
      <c r="A659" s="0" t="n">
        <v>10115</v>
      </c>
      <c r="B659" s="0" t="s">
        <v>137</v>
      </c>
      <c r="C659" s="0" t="n">
        <v>659</v>
      </c>
      <c r="D659" s="0" t="n">
        <v>6265826100837</v>
      </c>
      <c r="E659" s="94" t="s">
        <v>409</v>
      </c>
      <c r="F659" s="0" t="n">
        <v>10</v>
      </c>
      <c r="G659" s="0" t="n">
        <v>18</v>
      </c>
      <c r="I659" s="0" t="n">
        <v>180</v>
      </c>
      <c r="J659" s="0" t="n">
        <v>8</v>
      </c>
    </row>
    <row r="660" customFormat="false" ht="15" hidden="false" customHeight="false" outlineLevel="0" collapsed="false">
      <c r="A660" s="0" t="n">
        <v>10116</v>
      </c>
      <c r="B660" s="0" t="s">
        <v>95</v>
      </c>
      <c r="C660" s="0" t="n">
        <v>660</v>
      </c>
      <c r="D660" s="0" t="n">
        <v>5200</v>
      </c>
      <c r="E660" s="94" t="s">
        <v>323</v>
      </c>
      <c r="F660" s="0" t="n">
        <v>1</v>
      </c>
      <c r="G660" s="0" t="n">
        <v>1</v>
      </c>
      <c r="I660" s="0" t="n">
        <v>1</v>
      </c>
      <c r="J660" s="0" t="n">
        <v>7</v>
      </c>
    </row>
    <row r="661" customFormat="false" ht="15" hidden="false" customHeight="false" outlineLevel="0" collapsed="false">
      <c r="A661" s="0" t="n">
        <v>10117</v>
      </c>
      <c r="B661" s="0" t="s">
        <v>95</v>
      </c>
      <c r="C661" s="0" t="n">
        <v>661</v>
      </c>
      <c r="D661" s="0" t="n">
        <v>6264078411616</v>
      </c>
      <c r="E661" s="94" t="s">
        <v>425</v>
      </c>
      <c r="F661" s="0" t="n">
        <v>1</v>
      </c>
      <c r="G661" s="0" t="n">
        <v>10</v>
      </c>
      <c r="I661" s="0" t="n">
        <v>10</v>
      </c>
      <c r="J661" s="0" t="n">
        <v>7</v>
      </c>
    </row>
    <row r="662" customFormat="false" ht="15" hidden="false" customHeight="false" outlineLevel="0" collapsed="false">
      <c r="A662" s="0" t="n">
        <v>10117</v>
      </c>
      <c r="B662" s="0" t="s">
        <v>95</v>
      </c>
      <c r="C662" s="0" t="n">
        <v>662</v>
      </c>
      <c r="D662" s="0" t="n">
        <v>6264078411593</v>
      </c>
      <c r="E662" s="94" t="s">
        <v>426</v>
      </c>
      <c r="F662" s="0" t="n">
        <v>1</v>
      </c>
      <c r="G662" s="0" t="n">
        <v>10</v>
      </c>
      <c r="I662" s="0" t="n">
        <v>10</v>
      </c>
      <c r="J662" s="0" t="n">
        <v>8</v>
      </c>
    </row>
    <row r="663" customFormat="false" ht="15" hidden="false" customHeight="false" outlineLevel="0" collapsed="false">
      <c r="A663" s="0" t="n">
        <v>10118</v>
      </c>
      <c r="B663" s="0" t="s">
        <v>95</v>
      </c>
      <c r="C663" s="0" t="n">
        <v>663</v>
      </c>
      <c r="D663" s="0" t="n">
        <v>6269365700091</v>
      </c>
      <c r="E663" s="94" t="s">
        <v>391</v>
      </c>
      <c r="F663" s="0" t="n">
        <v>2</v>
      </c>
      <c r="G663" s="0" t="n">
        <v>18</v>
      </c>
      <c r="I663" s="0" t="n">
        <v>36</v>
      </c>
      <c r="J663" s="0" t="n">
        <v>7</v>
      </c>
    </row>
    <row r="664" customFormat="false" ht="15" hidden="false" customHeight="false" outlineLevel="0" collapsed="false">
      <c r="A664" s="0" t="n">
        <v>10119</v>
      </c>
      <c r="B664" s="0" t="s">
        <v>95</v>
      </c>
      <c r="C664" s="0" t="n">
        <v>664</v>
      </c>
      <c r="D664" s="0" t="n">
        <v>6260007406487</v>
      </c>
      <c r="E664" s="94" t="s">
        <v>235</v>
      </c>
      <c r="F664" s="0" t="n">
        <v>1</v>
      </c>
      <c r="G664" s="0" t="n">
        <v>17</v>
      </c>
      <c r="I664" s="0" t="n">
        <v>17</v>
      </c>
      <c r="J664" s="0" t="n">
        <v>7</v>
      </c>
    </row>
    <row r="665" customFormat="false" ht="15" hidden="false" customHeight="false" outlineLevel="0" collapsed="false">
      <c r="A665" s="0" t="n">
        <v>10119</v>
      </c>
      <c r="B665" s="0" t="s">
        <v>95</v>
      </c>
      <c r="C665" s="0" t="n">
        <v>665</v>
      </c>
      <c r="D665" s="0" t="n">
        <v>6269948100195</v>
      </c>
      <c r="E665" s="94" t="s">
        <v>435</v>
      </c>
      <c r="F665" s="0" t="n">
        <v>2</v>
      </c>
      <c r="G665" s="0" t="n">
        <v>12.5</v>
      </c>
      <c r="I665" s="0" t="n">
        <v>25</v>
      </c>
      <c r="J665" s="0" t="n">
        <v>8</v>
      </c>
    </row>
    <row r="666" customFormat="false" ht="15" hidden="false" customHeight="false" outlineLevel="0" collapsed="false">
      <c r="A666" s="0" t="n">
        <v>10120</v>
      </c>
      <c r="B666" s="0" t="s">
        <v>95</v>
      </c>
      <c r="C666" s="0" t="n">
        <v>666</v>
      </c>
      <c r="D666" s="0" t="n">
        <v>6261163400197</v>
      </c>
      <c r="E666" s="94" t="s">
        <v>418</v>
      </c>
      <c r="F666" s="0" t="n">
        <v>2</v>
      </c>
      <c r="G666" s="0" t="n">
        <v>20</v>
      </c>
      <c r="I666" s="0" t="n">
        <v>40</v>
      </c>
      <c r="J666" s="0" t="n">
        <v>7</v>
      </c>
    </row>
    <row r="667" customFormat="false" ht="15" hidden="false" customHeight="false" outlineLevel="0" collapsed="false">
      <c r="A667" s="0" t="n">
        <v>10121</v>
      </c>
      <c r="B667" s="0" t="s">
        <v>95</v>
      </c>
      <c r="C667" s="0" t="n">
        <v>667</v>
      </c>
      <c r="D667" s="0" t="n">
        <v>6262412625057</v>
      </c>
      <c r="E667" s="94" t="s">
        <v>384</v>
      </c>
      <c r="F667" s="0" t="n">
        <v>1</v>
      </c>
      <c r="G667" s="0" t="n">
        <v>10</v>
      </c>
      <c r="I667" s="0" t="n">
        <v>10</v>
      </c>
      <c r="J667" s="0" t="n">
        <v>7</v>
      </c>
    </row>
    <row r="668" customFormat="false" ht="15" hidden="false" customHeight="false" outlineLevel="0" collapsed="false">
      <c r="A668" s="0" t="n">
        <v>10122</v>
      </c>
      <c r="B668" s="0" t="s">
        <v>95</v>
      </c>
      <c r="C668" s="0" t="n">
        <v>668</v>
      </c>
      <c r="D668" s="0" t="n">
        <v>6269447802224</v>
      </c>
      <c r="E668" s="94" t="s">
        <v>284</v>
      </c>
      <c r="F668" s="0" t="n">
        <v>1</v>
      </c>
      <c r="G668" s="0" t="n">
        <v>7</v>
      </c>
      <c r="I668" s="0" t="n">
        <v>7</v>
      </c>
      <c r="J668" s="0" t="n">
        <v>7</v>
      </c>
    </row>
    <row r="669" customFormat="false" ht="15" hidden="false" customHeight="false" outlineLevel="0" collapsed="false">
      <c r="A669" s="0" t="n">
        <v>10123</v>
      </c>
      <c r="B669" s="0" t="s">
        <v>95</v>
      </c>
      <c r="C669" s="0" t="n">
        <v>669</v>
      </c>
      <c r="D669" s="0" t="n">
        <v>8936036022933</v>
      </c>
      <c r="E669" s="94" t="s">
        <v>329</v>
      </c>
      <c r="F669" s="0" t="n">
        <v>1</v>
      </c>
      <c r="G669" s="0" t="n">
        <v>10</v>
      </c>
      <c r="I669" s="0" t="n">
        <v>10</v>
      </c>
      <c r="J669" s="0" t="n">
        <v>7</v>
      </c>
    </row>
    <row r="670" customFormat="false" ht="15" hidden="false" customHeight="false" outlineLevel="0" collapsed="false">
      <c r="A670" s="0" t="n">
        <v>10124</v>
      </c>
      <c r="B670" s="0" t="s">
        <v>95</v>
      </c>
      <c r="C670" s="0" t="n">
        <v>670</v>
      </c>
      <c r="D670" s="0" t="n">
        <v>5200</v>
      </c>
      <c r="E670" s="94" t="s">
        <v>323</v>
      </c>
      <c r="F670" s="0" t="n">
        <v>3</v>
      </c>
      <c r="G670" s="0" t="n">
        <v>1</v>
      </c>
      <c r="I670" s="0" t="n">
        <v>3</v>
      </c>
      <c r="J670" s="0" t="n">
        <v>7</v>
      </c>
    </row>
    <row r="671" customFormat="false" ht="15" hidden="false" customHeight="false" outlineLevel="0" collapsed="false">
      <c r="A671" s="0" t="n">
        <v>10125</v>
      </c>
      <c r="B671" s="0" t="s">
        <v>95</v>
      </c>
      <c r="C671" s="0" t="n">
        <v>671</v>
      </c>
      <c r="D671" s="0" t="n">
        <v>6260308310278</v>
      </c>
      <c r="E671" s="94" t="s">
        <v>165</v>
      </c>
      <c r="F671" s="0" t="n">
        <v>1</v>
      </c>
      <c r="G671" s="0" t="n">
        <v>80</v>
      </c>
      <c r="I671" s="0" t="n">
        <v>80</v>
      </c>
      <c r="J671" s="0" t="n">
        <v>7</v>
      </c>
    </row>
    <row r="672" customFormat="false" ht="15" hidden="false" customHeight="false" outlineLevel="0" collapsed="false">
      <c r="A672" s="0" t="n">
        <v>10125</v>
      </c>
      <c r="B672" s="0" t="s">
        <v>95</v>
      </c>
      <c r="C672" s="0" t="n">
        <v>672</v>
      </c>
      <c r="D672" s="0" t="n">
        <v>6260055843036</v>
      </c>
      <c r="E672" s="94" t="s">
        <v>310</v>
      </c>
      <c r="F672" s="0" t="n">
        <v>1</v>
      </c>
      <c r="G672" s="0" t="n">
        <v>35</v>
      </c>
      <c r="I672" s="0" t="n">
        <v>35</v>
      </c>
      <c r="J672" s="0" t="n">
        <v>8</v>
      </c>
    </row>
    <row r="673" customFormat="false" ht="15" hidden="false" customHeight="false" outlineLevel="0" collapsed="false">
      <c r="A673" s="0" t="n">
        <v>10125</v>
      </c>
      <c r="B673" s="0" t="s">
        <v>95</v>
      </c>
      <c r="C673" s="0" t="n">
        <v>673</v>
      </c>
      <c r="D673" s="0" t="n">
        <v>6261845300173</v>
      </c>
      <c r="E673" s="94" t="s">
        <v>310</v>
      </c>
      <c r="F673" s="0" t="n">
        <v>1</v>
      </c>
      <c r="G673" s="0" t="n">
        <v>35</v>
      </c>
      <c r="I673" s="0" t="n">
        <v>35</v>
      </c>
      <c r="J673" s="0" t="n">
        <v>9</v>
      </c>
    </row>
    <row r="674" customFormat="false" ht="15" hidden="false" customHeight="false" outlineLevel="0" collapsed="false">
      <c r="A674" s="0" t="n">
        <v>10126</v>
      </c>
      <c r="B674" s="0" t="s">
        <v>95</v>
      </c>
      <c r="C674" s="0" t="n">
        <v>674</v>
      </c>
      <c r="D674" s="0" t="n">
        <v>6264078410992</v>
      </c>
      <c r="E674" s="94" t="s">
        <v>420</v>
      </c>
      <c r="F674" s="0" t="n">
        <v>1</v>
      </c>
      <c r="G674" s="0" t="n">
        <v>15</v>
      </c>
      <c r="I674" s="0" t="n">
        <v>15</v>
      </c>
      <c r="J674" s="0" t="n">
        <v>7</v>
      </c>
    </row>
    <row r="675" customFormat="false" ht="15" hidden="false" customHeight="false" outlineLevel="0" collapsed="false">
      <c r="A675" s="0" t="n">
        <v>10127</v>
      </c>
      <c r="B675" s="0" t="s">
        <v>95</v>
      </c>
      <c r="C675" s="0" t="n">
        <v>675</v>
      </c>
      <c r="D675" s="0" t="n">
        <v>6261178014334</v>
      </c>
      <c r="E675" s="94" t="s">
        <v>351</v>
      </c>
      <c r="F675" s="0" t="n">
        <v>1</v>
      </c>
      <c r="G675" s="0" t="n">
        <v>4</v>
      </c>
      <c r="I675" s="0" t="n">
        <v>4</v>
      </c>
      <c r="J675" s="0" t="n">
        <v>7</v>
      </c>
    </row>
    <row r="676" customFormat="false" ht="15" hidden="false" customHeight="false" outlineLevel="0" collapsed="false">
      <c r="A676" s="0" t="n">
        <v>10127</v>
      </c>
      <c r="B676" s="0" t="s">
        <v>95</v>
      </c>
      <c r="C676" s="0" t="n">
        <v>676</v>
      </c>
      <c r="D676" s="0" t="n">
        <v>6265663104265</v>
      </c>
      <c r="E676" s="94" t="s">
        <v>363</v>
      </c>
      <c r="F676" s="0" t="n">
        <v>1</v>
      </c>
      <c r="G676" s="0" t="n">
        <v>10</v>
      </c>
      <c r="I676" s="0" t="n">
        <v>10</v>
      </c>
      <c r="J676" s="0" t="n">
        <v>8</v>
      </c>
    </row>
    <row r="677" customFormat="false" ht="15" hidden="false" customHeight="false" outlineLevel="0" collapsed="false">
      <c r="A677" s="0" t="n">
        <v>10127</v>
      </c>
      <c r="B677" s="0" t="s">
        <v>95</v>
      </c>
      <c r="C677" s="0" t="n">
        <v>677</v>
      </c>
      <c r="D677" s="0" t="n">
        <v>6260002666725</v>
      </c>
      <c r="E677" s="94" t="s">
        <v>271</v>
      </c>
      <c r="F677" s="0" t="n">
        <v>1</v>
      </c>
      <c r="G677" s="0" t="n">
        <v>10</v>
      </c>
      <c r="I677" s="0" t="n">
        <v>10</v>
      </c>
      <c r="J677" s="0" t="n">
        <v>9</v>
      </c>
    </row>
    <row r="678" customFormat="false" ht="15" hidden="false" customHeight="false" outlineLevel="0" collapsed="false">
      <c r="A678" s="0" t="n">
        <v>10127</v>
      </c>
      <c r="B678" s="0" t="s">
        <v>95</v>
      </c>
      <c r="C678" s="0" t="n">
        <v>678</v>
      </c>
      <c r="D678" s="0" t="n">
        <v>7700</v>
      </c>
      <c r="E678" s="94" t="s">
        <v>431</v>
      </c>
      <c r="F678" s="0" t="n">
        <v>0.425</v>
      </c>
      <c r="G678" s="0" t="n">
        <v>180</v>
      </c>
      <c r="I678" s="0" t="n">
        <v>76.5</v>
      </c>
      <c r="J678" s="0" t="n">
        <v>10</v>
      </c>
    </row>
    <row r="679" customFormat="false" ht="15" hidden="false" customHeight="false" outlineLevel="0" collapsed="false">
      <c r="A679" s="0" t="n">
        <v>10128</v>
      </c>
      <c r="B679" s="0" t="s">
        <v>95</v>
      </c>
      <c r="C679" s="0" t="n">
        <v>679</v>
      </c>
      <c r="D679" s="0" t="n">
        <v>6260575900769</v>
      </c>
      <c r="E679" s="94" t="s">
        <v>359</v>
      </c>
      <c r="F679" s="0" t="n">
        <v>1</v>
      </c>
      <c r="G679" s="0" t="n">
        <v>5</v>
      </c>
      <c r="I679" s="0" t="n">
        <v>5</v>
      </c>
      <c r="J679" s="0" t="n">
        <v>7</v>
      </c>
    </row>
    <row r="680" customFormat="false" ht="15" hidden="false" customHeight="false" outlineLevel="0" collapsed="false">
      <c r="A680" s="0" t="n">
        <v>10129</v>
      </c>
      <c r="B680" s="0" t="s">
        <v>95</v>
      </c>
      <c r="C680" s="0" t="n">
        <v>680</v>
      </c>
      <c r="D680" s="0" t="n">
        <v>6260543504791</v>
      </c>
      <c r="E680" s="94" t="s">
        <v>443</v>
      </c>
      <c r="F680" s="0" t="n">
        <v>3</v>
      </c>
      <c r="G680" s="0" t="n">
        <v>5</v>
      </c>
      <c r="I680" s="0" t="n">
        <v>15</v>
      </c>
      <c r="J680" s="0" t="n">
        <v>7</v>
      </c>
    </row>
    <row r="681" customFormat="false" ht="15" hidden="false" customHeight="false" outlineLevel="0" collapsed="false">
      <c r="A681" s="0" t="n">
        <v>10129</v>
      </c>
      <c r="B681" s="0" t="s">
        <v>95</v>
      </c>
      <c r="C681" s="0" t="n">
        <v>681</v>
      </c>
      <c r="D681" s="0" t="n">
        <v>6261163400197</v>
      </c>
      <c r="E681" s="94" t="s">
        <v>418</v>
      </c>
      <c r="F681" s="0" t="n">
        <v>1</v>
      </c>
      <c r="G681" s="0" t="n">
        <v>15</v>
      </c>
      <c r="I681" s="0" t="n">
        <v>15</v>
      </c>
      <c r="J681" s="0" t="n">
        <v>8</v>
      </c>
    </row>
    <row r="682" customFormat="false" ht="15" hidden="false" customHeight="false" outlineLevel="0" collapsed="false">
      <c r="A682" s="0" t="n">
        <v>10129</v>
      </c>
      <c r="B682" s="0" t="s">
        <v>95</v>
      </c>
      <c r="C682" s="0" t="n">
        <v>682</v>
      </c>
      <c r="D682" s="0" t="n">
        <v>6260575904330</v>
      </c>
      <c r="E682" s="94" t="s">
        <v>296</v>
      </c>
      <c r="F682" s="0" t="n">
        <v>2</v>
      </c>
      <c r="G682" s="0" t="n">
        <v>15</v>
      </c>
      <c r="I682" s="0" t="n">
        <v>30</v>
      </c>
      <c r="J682" s="0" t="n">
        <v>9</v>
      </c>
    </row>
    <row r="683" customFormat="false" ht="15" hidden="false" customHeight="false" outlineLevel="0" collapsed="false">
      <c r="A683" s="0" t="n">
        <v>10129</v>
      </c>
      <c r="B683" s="0" t="s">
        <v>95</v>
      </c>
      <c r="C683" s="0" t="n">
        <v>683</v>
      </c>
      <c r="D683" s="0" t="n">
        <v>6264078402324</v>
      </c>
      <c r="E683" s="94" t="s">
        <v>424</v>
      </c>
      <c r="F683" s="0" t="n">
        <v>1</v>
      </c>
      <c r="G683" s="0" t="n">
        <v>10</v>
      </c>
      <c r="I683" s="0" t="n">
        <v>10</v>
      </c>
      <c r="J683" s="0" t="n">
        <v>10</v>
      </c>
    </row>
    <row r="684" customFormat="false" ht="15" hidden="false" customHeight="false" outlineLevel="0" collapsed="false">
      <c r="A684" s="0" t="n">
        <v>10130</v>
      </c>
      <c r="B684" s="0" t="s">
        <v>95</v>
      </c>
      <c r="C684" s="0" t="n">
        <v>684</v>
      </c>
      <c r="D684" s="0" t="n">
        <v>6260002931380</v>
      </c>
      <c r="E684" s="94" t="s">
        <v>229</v>
      </c>
      <c r="F684" s="0" t="n">
        <v>3</v>
      </c>
      <c r="G684" s="0" t="n">
        <v>16</v>
      </c>
      <c r="I684" s="0" t="n">
        <v>48</v>
      </c>
      <c r="J684" s="0" t="n">
        <v>7</v>
      </c>
    </row>
    <row r="685" customFormat="false" ht="15" hidden="false" customHeight="false" outlineLevel="0" collapsed="false">
      <c r="A685" s="0" t="n">
        <v>10131</v>
      </c>
      <c r="B685" s="0" t="s">
        <v>95</v>
      </c>
      <c r="C685" s="0" t="n">
        <v>685</v>
      </c>
      <c r="D685" s="0" t="n">
        <v>6269365700152</v>
      </c>
      <c r="E685" s="94" t="s">
        <v>394</v>
      </c>
      <c r="F685" s="0" t="n">
        <v>1</v>
      </c>
      <c r="G685" s="0" t="n">
        <v>19</v>
      </c>
      <c r="I685" s="0" t="n">
        <v>19</v>
      </c>
      <c r="J685" s="0" t="n">
        <v>7</v>
      </c>
    </row>
    <row r="686" customFormat="false" ht="15" hidden="false" customHeight="false" outlineLevel="0" collapsed="false">
      <c r="A686" s="0" t="n">
        <v>10131</v>
      </c>
      <c r="B686" s="0" t="s">
        <v>95</v>
      </c>
      <c r="C686" s="0" t="n">
        <v>686</v>
      </c>
      <c r="D686" s="0" t="n">
        <v>2200</v>
      </c>
      <c r="E686" s="94" t="s">
        <v>164</v>
      </c>
      <c r="F686" s="0" t="n">
        <v>0.505</v>
      </c>
      <c r="G686" s="0" t="n">
        <v>70</v>
      </c>
      <c r="I686" s="0" t="n">
        <v>35.35</v>
      </c>
      <c r="J686" s="0" t="n">
        <v>8</v>
      </c>
    </row>
    <row r="687" customFormat="false" ht="15" hidden="false" customHeight="false" outlineLevel="0" collapsed="false">
      <c r="A687" s="0" t="n">
        <v>10131</v>
      </c>
      <c r="B687" s="0" t="s">
        <v>95</v>
      </c>
      <c r="C687" s="0" t="n">
        <v>687</v>
      </c>
      <c r="D687" s="0" t="n">
        <v>5200</v>
      </c>
      <c r="E687" s="94" t="s">
        <v>323</v>
      </c>
      <c r="F687" s="0" t="n">
        <v>1</v>
      </c>
      <c r="G687" s="0" t="n">
        <v>1</v>
      </c>
      <c r="I687" s="0" t="n">
        <v>1</v>
      </c>
      <c r="J687" s="0" t="n">
        <v>9</v>
      </c>
    </row>
    <row r="688" customFormat="false" ht="15" hidden="false" customHeight="false" outlineLevel="0" collapsed="false">
      <c r="A688" s="0" t="n">
        <v>10132</v>
      </c>
      <c r="B688" s="0" t="s">
        <v>95</v>
      </c>
      <c r="C688" s="0" t="n">
        <v>688</v>
      </c>
      <c r="D688" s="0" t="n">
        <v>6260575900769</v>
      </c>
      <c r="E688" s="94" t="s">
        <v>359</v>
      </c>
      <c r="F688" s="0" t="n">
        <v>1</v>
      </c>
      <c r="G688" s="0" t="n">
        <v>5</v>
      </c>
      <c r="I688" s="0" t="n">
        <v>5</v>
      </c>
      <c r="J688" s="0" t="n">
        <v>7</v>
      </c>
    </row>
    <row r="689" customFormat="false" ht="15" hidden="false" customHeight="false" outlineLevel="0" collapsed="false">
      <c r="A689" s="0" t="n">
        <v>10133</v>
      </c>
      <c r="B689" s="0" t="s">
        <v>95</v>
      </c>
      <c r="C689" s="0" t="n">
        <v>689</v>
      </c>
      <c r="D689" s="0" t="n">
        <v>6260575904309</v>
      </c>
      <c r="E689" s="94" t="s">
        <v>356</v>
      </c>
      <c r="F689" s="0" t="n">
        <v>2</v>
      </c>
      <c r="G689" s="0" t="n">
        <v>10</v>
      </c>
      <c r="I689" s="0" t="n">
        <v>20</v>
      </c>
      <c r="J689" s="0" t="n">
        <v>7</v>
      </c>
    </row>
    <row r="690" customFormat="false" ht="15" hidden="false" customHeight="false" outlineLevel="0" collapsed="false">
      <c r="A690" s="0" t="n">
        <v>10133</v>
      </c>
      <c r="B690" s="0" t="s">
        <v>95</v>
      </c>
      <c r="C690" s="0" t="n">
        <v>690</v>
      </c>
      <c r="D690" s="0" t="n">
        <v>6260109281555</v>
      </c>
      <c r="E690" s="94" t="s">
        <v>322</v>
      </c>
      <c r="F690" s="0" t="n">
        <v>2</v>
      </c>
      <c r="G690" s="0" t="n">
        <v>12</v>
      </c>
      <c r="I690" s="0" t="n">
        <v>24</v>
      </c>
      <c r="J690" s="0" t="n">
        <v>8</v>
      </c>
    </row>
    <row r="691" customFormat="false" ht="15" hidden="false" customHeight="false" outlineLevel="0" collapsed="false">
      <c r="A691" s="0" t="n">
        <v>10133</v>
      </c>
      <c r="B691" s="0" t="s">
        <v>95</v>
      </c>
      <c r="C691" s="0" t="n">
        <v>691</v>
      </c>
      <c r="D691" s="0" t="n">
        <v>6260543504791</v>
      </c>
      <c r="E691" s="94" t="s">
        <v>443</v>
      </c>
      <c r="F691" s="0" t="n">
        <v>1</v>
      </c>
      <c r="G691" s="0" t="n">
        <v>5</v>
      </c>
      <c r="I691" s="0" t="n">
        <v>5</v>
      </c>
      <c r="J691" s="0" t="n">
        <v>9</v>
      </c>
    </row>
    <row r="692" customFormat="false" ht="15" hidden="false" customHeight="false" outlineLevel="0" collapsed="false">
      <c r="A692" s="0" t="n">
        <v>10133</v>
      </c>
      <c r="B692" s="0" t="s">
        <v>95</v>
      </c>
      <c r="C692" s="0" t="n">
        <v>692</v>
      </c>
      <c r="D692" s="0" t="n">
        <v>5200</v>
      </c>
      <c r="E692" s="94" t="s">
        <v>323</v>
      </c>
      <c r="F692" s="0" t="n">
        <v>1</v>
      </c>
      <c r="G692" s="0" t="n">
        <v>1</v>
      </c>
      <c r="I692" s="0" t="n">
        <v>1</v>
      </c>
      <c r="J692" s="0" t="n">
        <v>10</v>
      </c>
    </row>
    <row r="693" customFormat="false" ht="15" hidden="false" customHeight="false" outlineLevel="0" collapsed="false">
      <c r="A693" s="0" t="n">
        <v>10134</v>
      </c>
      <c r="B693" s="0" t="s">
        <v>95</v>
      </c>
      <c r="C693" s="0" t="n">
        <v>693</v>
      </c>
      <c r="D693" s="0" t="n">
        <v>6269365700251</v>
      </c>
      <c r="E693" s="94" t="s">
        <v>397</v>
      </c>
      <c r="F693" s="0" t="n">
        <v>2</v>
      </c>
      <c r="G693" s="0" t="n">
        <v>21</v>
      </c>
      <c r="I693" s="0" t="n">
        <v>42</v>
      </c>
      <c r="J693" s="0" t="n">
        <v>7</v>
      </c>
    </row>
    <row r="694" customFormat="false" ht="15" hidden="false" customHeight="false" outlineLevel="0" collapsed="false">
      <c r="A694" s="0" t="n">
        <v>10135</v>
      </c>
      <c r="B694" s="0" t="s">
        <v>95</v>
      </c>
      <c r="C694" s="0" t="n">
        <v>694</v>
      </c>
      <c r="D694" s="0" t="n">
        <v>6265554201035</v>
      </c>
      <c r="E694" s="94" t="s">
        <v>159</v>
      </c>
      <c r="F694" s="0" t="n">
        <v>0.518</v>
      </c>
      <c r="G694" s="0" t="n">
        <v>750</v>
      </c>
      <c r="I694" s="0" t="n">
        <v>388.5</v>
      </c>
      <c r="J694" s="0" t="n">
        <v>7</v>
      </c>
    </row>
    <row r="695" customFormat="false" ht="15" hidden="false" customHeight="false" outlineLevel="0" collapsed="false">
      <c r="A695" s="0" t="n">
        <v>10135</v>
      </c>
      <c r="B695" s="0" t="s">
        <v>95</v>
      </c>
      <c r="C695" s="0" t="n">
        <v>695</v>
      </c>
      <c r="D695" s="0" t="n">
        <v>6260501700111</v>
      </c>
      <c r="E695" s="94" t="s">
        <v>382</v>
      </c>
      <c r="F695" s="0" t="n">
        <v>1</v>
      </c>
      <c r="G695" s="0" t="n">
        <v>15</v>
      </c>
      <c r="I695" s="0" t="n">
        <v>15</v>
      </c>
      <c r="J695" s="0" t="n">
        <v>8</v>
      </c>
    </row>
    <row r="696" customFormat="false" ht="15" hidden="false" customHeight="false" outlineLevel="0" collapsed="false">
      <c r="A696" s="0" t="n">
        <v>10136</v>
      </c>
      <c r="B696" s="0" t="s">
        <v>95</v>
      </c>
      <c r="C696" s="0" t="n">
        <v>696</v>
      </c>
      <c r="D696" s="0" t="n">
        <v>6265554201035</v>
      </c>
      <c r="E696" s="94" t="s">
        <v>159</v>
      </c>
      <c r="F696" s="0" t="n">
        <v>0.488</v>
      </c>
      <c r="G696" s="0" t="n">
        <v>750</v>
      </c>
      <c r="I696" s="0" t="n">
        <v>366</v>
      </c>
      <c r="J696" s="0" t="n">
        <v>7</v>
      </c>
    </row>
    <row r="697" customFormat="false" ht="15" hidden="false" customHeight="false" outlineLevel="0" collapsed="false">
      <c r="A697" s="0" t="n">
        <v>10137</v>
      </c>
      <c r="B697" s="0" t="s">
        <v>95</v>
      </c>
      <c r="C697" s="0" t="n">
        <v>697</v>
      </c>
      <c r="D697" s="0" t="n">
        <v>6261204000133</v>
      </c>
      <c r="E697" s="94" t="s">
        <v>406</v>
      </c>
      <c r="F697" s="0" t="n">
        <v>1</v>
      </c>
      <c r="G697" s="0" t="n">
        <v>16</v>
      </c>
      <c r="I697" s="0" t="n">
        <v>16</v>
      </c>
      <c r="J697" s="0" t="n">
        <v>7</v>
      </c>
    </row>
    <row r="698" customFormat="false" ht="15" hidden="false" customHeight="false" outlineLevel="0" collapsed="false">
      <c r="A698" s="0" t="n">
        <v>10138</v>
      </c>
      <c r="B698" s="0" t="s">
        <v>95</v>
      </c>
      <c r="C698" s="0" t="n">
        <v>698</v>
      </c>
      <c r="D698" s="0" t="n">
        <v>6260533000067</v>
      </c>
      <c r="E698" s="94" t="s">
        <v>190</v>
      </c>
      <c r="F698" s="0" t="n">
        <v>3</v>
      </c>
      <c r="G698" s="0" t="n">
        <v>50</v>
      </c>
      <c r="I698" s="0" t="n">
        <v>150</v>
      </c>
      <c r="J698" s="0" t="n">
        <v>7</v>
      </c>
    </row>
    <row r="699" customFormat="false" ht="15" hidden="false" customHeight="false" outlineLevel="0" collapsed="false">
      <c r="A699" s="0" t="n">
        <v>10139</v>
      </c>
      <c r="B699" s="0" t="s">
        <v>95</v>
      </c>
      <c r="C699" s="0" t="n">
        <v>699</v>
      </c>
      <c r="D699" s="0" t="n">
        <v>6269948100201</v>
      </c>
      <c r="E699" s="94" t="s">
        <v>434</v>
      </c>
      <c r="F699" s="0" t="n">
        <v>2</v>
      </c>
      <c r="G699" s="0" t="n">
        <v>12.5</v>
      </c>
      <c r="I699" s="0" t="n">
        <v>25</v>
      </c>
      <c r="J699" s="0" t="n">
        <v>7</v>
      </c>
    </row>
    <row r="700" customFormat="false" ht="15" hidden="false" customHeight="false" outlineLevel="0" collapsed="false">
      <c r="A700" s="0" t="n">
        <v>10140</v>
      </c>
      <c r="B700" s="0" t="s">
        <v>95</v>
      </c>
      <c r="C700" s="0" t="n">
        <v>700</v>
      </c>
      <c r="D700" s="0" t="n">
        <v>6264078410992</v>
      </c>
      <c r="E700" s="94" t="s">
        <v>420</v>
      </c>
      <c r="F700" s="0" t="n">
        <v>1</v>
      </c>
      <c r="G700" s="0" t="n">
        <v>15</v>
      </c>
      <c r="I700" s="0" t="n">
        <v>15</v>
      </c>
      <c r="J700" s="0" t="n">
        <v>7</v>
      </c>
    </row>
    <row r="701" customFormat="false" ht="15" hidden="false" customHeight="false" outlineLevel="0" collapsed="false">
      <c r="A701" s="0" t="n">
        <v>10140</v>
      </c>
      <c r="B701" s="0" t="s">
        <v>95</v>
      </c>
      <c r="C701" s="0" t="n">
        <v>701</v>
      </c>
      <c r="D701" s="0" t="n">
        <v>6264078411616</v>
      </c>
      <c r="E701" s="94" t="s">
        <v>425</v>
      </c>
      <c r="F701" s="0" t="n">
        <v>1</v>
      </c>
      <c r="G701" s="0" t="n">
        <v>10</v>
      </c>
      <c r="I701" s="0" t="n">
        <v>10</v>
      </c>
      <c r="J701" s="0" t="n">
        <v>8</v>
      </c>
    </row>
    <row r="702" customFormat="false" ht="15" hidden="false" customHeight="false" outlineLevel="0" collapsed="false">
      <c r="A702" s="0" t="n">
        <v>10140</v>
      </c>
      <c r="B702" s="0" t="s">
        <v>95</v>
      </c>
      <c r="C702" s="0" t="n">
        <v>702</v>
      </c>
      <c r="D702" s="0" t="n">
        <v>6261163400036</v>
      </c>
      <c r="E702" s="94" t="s">
        <v>417</v>
      </c>
      <c r="F702" s="0" t="n">
        <v>1</v>
      </c>
      <c r="G702" s="0" t="n">
        <v>20</v>
      </c>
      <c r="I702" s="0" t="n">
        <v>20</v>
      </c>
      <c r="J702" s="0" t="n">
        <v>9</v>
      </c>
    </row>
    <row r="703" customFormat="false" ht="15" hidden="false" customHeight="false" outlineLevel="0" collapsed="false">
      <c r="A703" s="0" t="n">
        <v>10141</v>
      </c>
      <c r="B703" s="0" t="s">
        <v>95</v>
      </c>
      <c r="C703" s="0" t="n">
        <v>703</v>
      </c>
      <c r="D703" s="0" t="n">
        <v>6268167900050</v>
      </c>
      <c r="E703" s="94" t="s">
        <v>399</v>
      </c>
      <c r="F703" s="0" t="n">
        <v>2</v>
      </c>
      <c r="G703" s="0" t="n">
        <v>23</v>
      </c>
      <c r="I703" s="0" t="n">
        <v>46</v>
      </c>
      <c r="J703" s="0" t="n">
        <v>7</v>
      </c>
    </row>
    <row r="704" customFormat="false" ht="15" hidden="false" customHeight="false" outlineLevel="0" collapsed="false">
      <c r="A704" s="0" t="n">
        <v>10142</v>
      </c>
      <c r="B704" s="0" t="s">
        <v>95</v>
      </c>
      <c r="C704" s="0" t="n">
        <v>704</v>
      </c>
      <c r="D704" s="0" t="n">
        <v>6260806400020</v>
      </c>
      <c r="E704" s="94" t="s">
        <v>309</v>
      </c>
      <c r="F704" s="0" t="n">
        <v>2</v>
      </c>
      <c r="G704" s="0" t="n">
        <v>50</v>
      </c>
      <c r="I704" s="0" t="n">
        <v>100</v>
      </c>
      <c r="J704" s="0" t="n">
        <v>7</v>
      </c>
    </row>
    <row r="705" customFormat="false" ht="15" hidden="false" customHeight="false" outlineLevel="0" collapsed="false">
      <c r="A705" s="0" t="n">
        <v>10142</v>
      </c>
      <c r="B705" s="0" t="s">
        <v>95</v>
      </c>
      <c r="C705" s="0" t="n">
        <v>705</v>
      </c>
      <c r="D705" s="0" t="n">
        <v>6264078402324</v>
      </c>
      <c r="E705" s="94" t="s">
        <v>424</v>
      </c>
      <c r="F705" s="0" t="n">
        <v>1</v>
      </c>
      <c r="G705" s="0" t="n">
        <v>10</v>
      </c>
      <c r="I705" s="0" t="n">
        <v>10</v>
      </c>
      <c r="J705" s="0" t="n">
        <v>8</v>
      </c>
    </row>
    <row r="706" customFormat="false" ht="15" hidden="false" customHeight="false" outlineLevel="0" collapsed="false">
      <c r="A706" s="0" t="n">
        <v>10143</v>
      </c>
      <c r="B706" s="0" t="s">
        <v>95</v>
      </c>
      <c r="C706" s="0" t="n">
        <v>706</v>
      </c>
      <c r="D706" s="0" t="n">
        <v>6265826100134</v>
      </c>
      <c r="E706" s="94" t="s">
        <v>388</v>
      </c>
      <c r="F706" s="0" t="n">
        <v>1</v>
      </c>
      <c r="G706" s="0" t="n">
        <v>21</v>
      </c>
      <c r="I706" s="0" t="n">
        <v>21</v>
      </c>
      <c r="J706" s="0" t="n">
        <v>7</v>
      </c>
    </row>
    <row r="707" customFormat="false" ht="15" hidden="false" customHeight="false" outlineLevel="0" collapsed="false">
      <c r="A707" s="0" t="n">
        <v>10144</v>
      </c>
      <c r="B707" s="0" t="s">
        <v>95</v>
      </c>
      <c r="C707" s="0" t="n">
        <v>707</v>
      </c>
      <c r="D707" s="0" t="n">
        <v>7700</v>
      </c>
      <c r="E707" s="94" t="s">
        <v>431</v>
      </c>
      <c r="F707" s="0" t="n">
        <v>0.07</v>
      </c>
      <c r="G707" s="0" t="n">
        <v>180</v>
      </c>
      <c r="I707" s="0" t="n">
        <v>12.6</v>
      </c>
      <c r="J707" s="0" t="n">
        <v>7</v>
      </c>
    </row>
    <row r="708" customFormat="false" ht="15" hidden="false" customHeight="false" outlineLevel="0" collapsed="false">
      <c r="A708" s="0" t="n">
        <v>10144</v>
      </c>
      <c r="B708" s="0" t="s">
        <v>95</v>
      </c>
      <c r="C708" s="0" t="n">
        <v>708</v>
      </c>
      <c r="D708" s="0" t="n">
        <v>6269988500269</v>
      </c>
      <c r="E708" s="94" t="s">
        <v>379</v>
      </c>
      <c r="F708" s="0" t="n">
        <v>1</v>
      </c>
      <c r="G708" s="0" t="n">
        <v>12</v>
      </c>
      <c r="I708" s="0" t="n">
        <v>12</v>
      </c>
      <c r="J708" s="0" t="n">
        <v>8</v>
      </c>
    </row>
    <row r="709" customFormat="false" ht="15" hidden="false" customHeight="false" outlineLevel="0" collapsed="false">
      <c r="A709" s="0" t="n">
        <v>10145</v>
      </c>
      <c r="B709" s="0" t="s">
        <v>95</v>
      </c>
      <c r="C709" s="0" t="n">
        <v>709</v>
      </c>
      <c r="D709" s="0" t="n">
        <v>6260543505620</v>
      </c>
      <c r="E709" s="94" t="s">
        <v>442</v>
      </c>
      <c r="F709" s="0" t="n">
        <v>1</v>
      </c>
      <c r="G709" s="0" t="n">
        <v>15</v>
      </c>
      <c r="I709" s="0" t="n">
        <v>15</v>
      </c>
      <c r="J709" s="0" t="n">
        <v>7</v>
      </c>
    </row>
    <row r="710" customFormat="false" ht="15" hidden="false" customHeight="false" outlineLevel="0" collapsed="false">
      <c r="A710" s="0" t="n">
        <v>10146</v>
      </c>
      <c r="B710" s="0" t="s">
        <v>95</v>
      </c>
      <c r="C710" s="0" t="n">
        <v>710</v>
      </c>
      <c r="D710" s="0" t="n">
        <v>6269948100201</v>
      </c>
      <c r="E710" s="94" t="s">
        <v>434</v>
      </c>
      <c r="F710" s="0" t="n">
        <v>2</v>
      </c>
      <c r="G710" s="0" t="n">
        <v>12.5</v>
      </c>
      <c r="I710" s="0" t="n">
        <v>25</v>
      </c>
      <c r="J710" s="0" t="n">
        <v>7</v>
      </c>
    </row>
    <row r="711" customFormat="false" ht="15" hidden="false" customHeight="false" outlineLevel="0" collapsed="false">
      <c r="A711" s="0" t="n">
        <v>10146</v>
      </c>
      <c r="B711" s="0" t="s">
        <v>95</v>
      </c>
      <c r="C711" s="0" t="n">
        <v>711</v>
      </c>
      <c r="D711" s="0" t="n">
        <v>6261149065129</v>
      </c>
      <c r="E711" s="94" t="s">
        <v>445</v>
      </c>
      <c r="F711" s="0" t="n">
        <v>1</v>
      </c>
      <c r="G711" s="0" t="n">
        <v>5</v>
      </c>
      <c r="I711" s="0" t="n">
        <v>5</v>
      </c>
      <c r="J711" s="0" t="n">
        <v>8</v>
      </c>
    </row>
    <row r="712" customFormat="false" ht="15" hidden="false" customHeight="false" outlineLevel="0" collapsed="false">
      <c r="A712" s="0" t="n">
        <v>10146</v>
      </c>
      <c r="B712" s="0" t="s">
        <v>95</v>
      </c>
      <c r="C712" s="0" t="n">
        <v>712</v>
      </c>
      <c r="D712" s="0" t="n">
        <v>6261149065679</v>
      </c>
      <c r="E712" s="94" t="s">
        <v>376</v>
      </c>
      <c r="F712" s="0" t="n">
        <v>1</v>
      </c>
      <c r="G712" s="0" t="n">
        <v>5</v>
      </c>
      <c r="I712" s="0" t="n">
        <v>5</v>
      </c>
      <c r="J712" s="0" t="n">
        <v>9</v>
      </c>
    </row>
    <row r="713" customFormat="false" ht="15" hidden="false" customHeight="false" outlineLevel="0" collapsed="false">
      <c r="A713" s="0" t="n">
        <v>10147</v>
      </c>
      <c r="B713" s="0" t="s">
        <v>95</v>
      </c>
      <c r="C713" s="0" t="n">
        <v>713</v>
      </c>
      <c r="D713" s="0" t="n">
        <v>6260053186241</v>
      </c>
      <c r="E713" s="94" t="s">
        <v>355</v>
      </c>
      <c r="F713" s="0" t="n">
        <v>1</v>
      </c>
      <c r="G713" s="0" t="n">
        <v>25</v>
      </c>
      <c r="I713" s="0" t="n">
        <v>25</v>
      </c>
      <c r="J713" s="0" t="n">
        <v>7</v>
      </c>
    </row>
    <row r="714" customFormat="false" ht="15" hidden="false" customHeight="false" outlineLevel="0" collapsed="false">
      <c r="A714" s="0" t="n">
        <v>10147</v>
      </c>
      <c r="B714" s="0" t="s">
        <v>95</v>
      </c>
      <c r="C714" s="0" t="n">
        <v>714</v>
      </c>
      <c r="D714" s="0" t="n">
        <v>6260002926331</v>
      </c>
      <c r="E714" s="94" t="s">
        <v>440</v>
      </c>
      <c r="F714" s="0" t="n">
        <v>1</v>
      </c>
      <c r="G714" s="0" t="n">
        <v>25</v>
      </c>
      <c r="I714" s="0" t="n">
        <v>25</v>
      </c>
      <c r="J714" s="0" t="n">
        <v>8</v>
      </c>
    </row>
    <row r="715" customFormat="false" ht="15" hidden="false" customHeight="false" outlineLevel="0" collapsed="false">
      <c r="A715" s="0" t="n">
        <v>10148</v>
      </c>
      <c r="B715" s="0" t="s">
        <v>95</v>
      </c>
      <c r="C715" s="0" t="n">
        <v>715</v>
      </c>
      <c r="D715" s="0" t="n">
        <v>6260079200914</v>
      </c>
      <c r="E715" s="94" t="s">
        <v>291</v>
      </c>
      <c r="F715" s="0" t="n">
        <v>1</v>
      </c>
      <c r="G715" s="0" t="n">
        <v>20</v>
      </c>
      <c r="I715" s="0" t="n">
        <v>20</v>
      </c>
      <c r="J715" s="0" t="n">
        <v>7</v>
      </c>
    </row>
    <row r="716" customFormat="false" ht="15" hidden="false" customHeight="false" outlineLevel="0" collapsed="false">
      <c r="A716" s="0" t="n">
        <v>10148</v>
      </c>
      <c r="B716" s="0" t="s">
        <v>95</v>
      </c>
      <c r="C716" s="0" t="n">
        <v>716</v>
      </c>
      <c r="D716" s="0" t="n">
        <v>6260469900509</v>
      </c>
      <c r="E716" s="94" t="s">
        <v>304</v>
      </c>
      <c r="F716" s="0" t="n">
        <v>1</v>
      </c>
      <c r="G716" s="0" t="n">
        <v>12</v>
      </c>
      <c r="I716" s="0" t="n">
        <v>12</v>
      </c>
      <c r="J716" s="0" t="n">
        <v>8</v>
      </c>
    </row>
    <row r="717" customFormat="false" ht="15" hidden="false" customHeight="false" outlineLevel="0" collapsed="false">
      <c r="A717" s="0" t="n">
        <v>10149</v>
      </c>
      <c r="J717" s="0" t="n">
        <v>-2</v>
      </c>
    </row>
    <row r="718" customFormat="false" ht="15" hidden="false" customHeight="false" outlineLevel="0" collapsed="false">
      <c r="A718" s="0" t="n">
        <v>10149</v>
      </c>
      <c r="B718" s="0" t="s">
        <v>95</v>
      </c>
      <c r="C718" s="0" t="n">
        <v>718</v>
      </c>
      <c r="D718" s="0" t="n">
        <v>8458412400024</v>
      </c>
      <c r="E718" s="94" t="s">
        <v>293</v>
      </c>
      <c r="F718" s="0" t="n">
        <v>2</v>
      </c>
      <c r="G718" s="0" t="n">
        <v>9</v>
      </c>
      <c r="I718" s="0" t="n">
        <v>18</v>
      </c>
      <c r="J718" s="0" t="n">
        <v>8</v>
      </c>
    </row>
    <row r="719" customFormat="false" ht="15" hidden="false" customHeight="false" outlineLevel="0" collapsed="false">
      <c r="A719" s="0" t="n">
        <v>10149</v>
      </c>
      <c r="B719" s="0" t="s">
        <v>95</v>
      </c>
      <c r="C719" s="0" t="n">
        <v>719</v>
      </c>
      <c r="D719" s="0" t="n">
        <v>6260931400834</v>
      </c>
      <c r="E719" s="94" t="s">
        <v>404</v>
      </c>
      <c r="F719" s="0" t="n">
        <v>1</v>
      </c>
      <c r="G719" s="0" t="n">
        <v>35</v>
      </c>
      <c r="I719" s="0" t="n">
        <v>35</v>
      </c>
      <c r="J719" s="0" t="n">
        <v>9</v>
      </c>
    </row>
    <row r="720" customFormat="false" ht="15" hidden="false" customHeight="false" outlineLevel="0" collapsed="false">
      <c r="A720" s="0" t="n">
        <v>10150</v>
      </c>
      <c r="B720" s="0" t="s">
        <v>95</v>
      </c>
      <c r="C720" s="0" t="n">
        <v>720</v>
      </c>
      <c r="D720" s="0" t="n">
        <v>6265826100844</v>
      </c>
      <c r="E720" s="94" t="s">
        <v>408</v>
      </c>
      <c r="F720" s="0" t="n">
        <v>1</v>
      </c>
      <c r="G720" s="0" t="n">
        <v>19</v>
      </c>
      <c r="I720" s="0" t="n">
        <v>19</v>
      </c>
      <c r="J720" s="0" t="n">
        <v>7</v>
      </c>
    </row>
    <row r="721" customFormat="false" ht="15" hidden="false" customHeight="false" outlineLevel="0" collapsed="false">
      <c r="A721" s="0" t="n">
        <v>10150</v>
      </c>
      <c r="B721" s="0" t="s">
        <v>95</v>
      </c>
      <c r="C721" s="0" t="n">
        <v>721</v>
      </c>
      <c r="D721" s="0" t="n">
        <v>6260918500175</v>
      </c>
      <c r="E721" s="94" t="s">
        <v>370</v>
      </c>
      <c r="F721" s="0" t="n">
        <v>3</v>
      </c>
      <c r="G721" s="0" t="n">
        <v>10</v>
      </c>
      <c r="I721" s="0" t="n">
        <v>30</v>
      </c>
      <c r="J721" s="0" t="n">
        <v>8</v>
      </c>
    </row>
    <row r="722" customFormat="false" ht="15" hidden="false" customHeight="false" outlineLevel="0" collapsed="false">
      <c r="A722" s="0" t="n">
        <v>10150</v>
      </c>
      <c r="B722" s="0" t="s">
        <v>95</v>
      </c>
      <c r="C722" s="0" t="n">
        <v>722</v>
      </c>
      <c r="D722" s="0" t="n">
        <v>6269948100638</v>
      </c>
      <c r="E722" s="94" t="s">
        <v>326</v>
      </c>
      <c r="F722" s="0" t="n">
        <v>4</v>
      </c>
      <c r="G722" s="0" t="n">
        <v>8</v>
      </c>
      <c r="I722" s="0" t="n">
        <v>32</v>
      </c>
      <c r="J722" s="0" t="n">
        <v>9</v>
      </c>
    </row>
    <row r="723" customFormat="false" ht="15" hidden="false" customHeight="false" outlineLevel="0" collapsed="false">
      <c r="A723" s="0" t="n">
        <v>10148</v>
      </c>
      <c r="B723" s="0" t="s">
        <v>95</v>
      </c>
      <c r="C723" s="0" t="n">
        <v>723</v>
      </c>
      <c r="D723" s="0" t="n">
        <v>2400</v>
      </c>
      <c r="E723" s="94" t="s">
        <v>280</v>
      </c>
      <c r="F723" s="0" t="n">
        <v>1</v>
      </c>
      <c r="G723" s="0" t="n">
        <v>70</v>
      </c>
      <c r="I723" s="0" t="n">
        <v>70</v>
      </c>
      <c r="J723" s="0" t="n">
        <v>9</v>
      </c>
    </row>
    <row r="724" customFormat="false" ht="15" hidden="false" customHeight="false" outlineLevel="0" collapsed="false">
      <c r="A724" s="0" t="n">
        <v>10149</v>
      </c>
      <c r="B724" s="0" t="s">
        <v>95</v>
      </c>
      <c r="C724" s="0" t="n">
        <v>724</v>
      </c>
      <c r="J724" s="0" t="n">
        <v>7</v>
      </c>
    </row>
    <row r="725" customFormat="false" ht="15" hidden="false" customHeight="false" outlineLevel="0" collapsed="false">
      <c r="A725" s="0" t="n">
        <v>10151</v>
      </c>
      <c r="B725" s="0" t="s">
        <v>95</v>
      </c>
      <c r="C725" s="0" t="n">
        <v>725</v>
      </c>
      <c r="D725" s="0" t="n">
        <v>6269988500269</v>
      </c>
      <c r="E725" s="94" t="s">
        <v>379</v>
      </c>
      <c r="F725" s="0" t="n">
        <v>1</v>
      </c>
      <c r="G725" s="0" t="n">
        <v>12</v>
      </c>
      <c r="I725" s="0" t="n">
        <v>12</v>
      </c>
      <c r="J725" s="0" t="n">
        <v>7</v>
      </c>
    </row>
    <row r="726" customFormat="false" ht="15" hidden="false" customHeight="false" outlineLevel="0" collapsed="false">
      <c r="A726" s="0" t="n">
        <v>10152</v>
      </c>
      <c r="B726" s="0" t="s">
        <v>95</v>
      </c>
      <c r="C726" s="0" t="n">
        <v>726</v>
      </c>
      <c r="D726" s="0" t="n">
        <v>6260543505620</v>
      </c>
      <c r="E726" s="94" t="s">
        <v>442</v>
      </c>
      <c r="F726" s="0" t="n">
        <v>1</v>
      </c>
      <c r="G726" s="0" t="n">
        <v>15</v>
      </c>
      <c r="I726" s="0" t="n">
        <v>15</v>
      </c>
      <c r="J726" s="0" t="n">
        <v>7</v>
      </c>
    </row>
    <row r="727" customFormat="false" ht="15" hidden="false" customHeight="false" outlineLevel="0" collapsed="false">
      <c r="A727" s="0" t="n">
        <v>10153</v>
      </c>
      <c r="B727" s="0" t="s">
        <v>95</v>
      </c>
      <c r="C727" s="0" t="n">
        <v>727</v>
      </c>
      <c r="D727" s="0" t="n">
        <v>6260053185640</v>
      </c>
      <c r="E727" s="94" t="s">
        <v>300</v>
      </c>
      <c r="F727" s="0" t="n">
        <v>1</v>
      </c>
      <c r="G727" s="0" t="n">
        <v>12</v>
      </c>
      <c r="I727" s="0" t="n">
        <v>12</v>
      </c>
      <c r="J727" s="0" t="n">
        <v>7</v>
      </c>
    </row>
    <row r="728" customFormat="false" ht="15" hidden="false" customHeight="false" outlineLevel="0" collapsed="false">
      <c r="A728" s="0" t="n">
        <v>10154</v>
      </c>
      <c r="B728" s="0" t="s">
        <v>95</v>
      </c>
      <c r="C728" s="0" t="n">
        <v>728</v>
      </c>
      <c r="D728" s="0" t="n">
        <v>2100</v>
      </c>
      <c r="E728" s="94" t="s">
        <v>307</v>
      </c>
      <c r="F728" s="0" t="n">
        <v>0.5</v>
      </c>
      <c r="G728" s="0" t="n">
        <v>120</v>
      </c>
      <c r="I728" s="0" t="n">
        <v>60</v>
      </c>
      <c r="J728" s="0" t="n">
        <v>7</v>
      </c>
    </row>
    <row r="729" customFormat="false" ht="15" hidden="false" customHeight="false" outlineLevel="0" collapsed="false">
      <c r="A729" s="0" t="n">
        <v>10155</v>
      </c>
      <c r="B729" s="0" t="s">
        <v>95</v>
      </c>
      <c r="C729" s="0" t="n">
        <v>729</v>
      </c>
      <c r="D729" s="0" t="n">
        <v>162900054350816</v>
      </c>
      <c r="E729" s="94" t="s">
        <v>442</v>
      </c>
      <c r="F729" s="0" t="n">
        <v>2</v>
      </c>
      <c r="G729" s="0" t="n">
        <v>15</v>
      </c>
      <c r="I729" s="0" t="n">
        <v>30</v>
      </c>
      <c r="J729" s="0" t="n">
        <v>7</v>
      </c>
    </row>
    <row r="730" customFormat="false" ht="15" hidden="false" customHeight="false" outlineLevel="0" collapsed="false">
      <c r="A730" s="0" t="n">
        <v>10156</v>
      </c>
      <c r="B730" s="0" t="s">
        <v>95</v>
      </c>
      <c r="C730" s="0" t="n">
        <v>730</v>
      </c>
      <c r="D730" s="0" t="n">
        <v>6260002926331</v>
      </c>
      <c r="E730" s="94" t="s">
        <v>440</v>
      </c>
      <c r="F730" s="0" t="n">
        <v>2</v>
      </c>
      <c r="G730" s="0" t="n">
        <v>25</v>
      </c>
      <c r="I730" s="0" t="n">
        <v>50</v>
      </c>
      <c r="J730" s="0" t="n">
        <v>7</v>
      </c>
    </row>
    <row r="731" customFormat="false" ht="15" hidden="false" customHeight="false" outlineLevel="0" collapsed="false">
      <c r="A731" s="0" t="n">
        <v>10156</v>
      </c>
      <c r="B731" s="0" t="s">
        <v>95</v>
      </c>
      <c r="C731" s="0" t="n">
        <v>731</v>
      </c>
      <c r="D731" s="0" t="n">
        <v>162900054350816</v>
      </c>
      <c r="E731" s="94" t="s">
        <v>442</v>
      </c>
      <c r="F731" s="0" t="n">
        <v>2</v>
      </c>
      <c r="G731" s="0" t="n">
        <v>15</v>
      </c>
      <c r="I731" s="0" t="n">
        <v>30</v>
      </c>
      <c r="J731" s="0" t="n">
        <v>8</v>
      </c>
    </row>
    <row r="732" customFormat="false" ht="15" hidden="false" customHeight="false" outlineLevel="0" collapsed="false">
      <c r="A732" s="0" t="n">
        <v>10156</v>
      </c>
      <c r="B732" s="0" t="s">
        <v>95</v>
      </c>
      <c r="C732" s="0" t="n">
        <v>732</v>
      </c>
      <c r="D732" s="0" t="n">
        <v>6260002926348</v>
      </c>
      <c r="E732" s="94" t="s">
        <v>297</v>
      </c>
      <c r="F732" s="0" t="n">
        <v>1</v>
      </c>
      <c r="G732" s="0" t="n">
        <v>25</v>
      </c>
      <c r="I732" s="0" t="n">
        <v>25</v>
      </c>
      <c r="J732" s="0" t="n">
        <v>9</v>
      </c>
    </row>
    <row r="733" customFormat="false" ht="15" hidden="false" customHeight="false" outlineLevel="0" collapsed="false">
      <c r="A733" s="0" t="n">
        <v>10156</v>
      </c>
      <c r="B733" s="0" t="s">
        <v>95</v>
      </c>
      <c r="C733" s="0" t="n">
        <v>733</v>
      </c>
      <c r="D733" s="0" t="n">
        <v>6260002926362</v>
      </c>
      <c r="E733" s="94" t="s">
        <v>352</v>
      </c>
      <c r="F733" s="0" t="n">
        <v>1</v>
      </c>
      <c r="G733" s="0" t="n">
        <v>25</v>
      </c>
      <c r="I733" s="0" t="n">
        <v>25</v>
      </c>
      <c r="J733" s="0" t="n">
        <v>10</v>
      </c>
    </row>
    <row r="734" customFormat="false" ht="15" hidden="false" customHeight="false" outlineLevel="0" collapsed="false">
      <c r="A734" s="0" t="n">
        <v>10156</v>
      </c>
      <c r="B734" s="0" t="s">
        <v>95</v>
      </c>
      <c r="C734" s="0" t="n">
        <v>734</v>
      </c>
      <c r="D734" s="0" t="n">
        <v>6260053185640</v>
      </c>
      <c r="E734" s="94" t="s">
        <v>300</v>
      </c>
      <c r="F734" s="0" t="n">
        <v>2</v>
      </c>
      <c r="G734" s="0" t="n">
        <v>12</v>
      </c>
      <c r="I734" s="0" t="n">
        <v>24</v>
      </c>
      <c r="J734" s="0" t="n">
        <v>11</v>
      </c>
    </row>
    <row r="735" customFormat="false" ht="15" hidden="false" customHeight="false" outlineLevel="0" collapsed="false">
      <c r="A735" s="0" t="n">
        <v>10156</v>
      </c>
      <c r="B735" s="0" t="s">
        <v>95</v>
      </c>
      <c r="C735" s="0" t="n">
        <v>735</v>
      </c>
      <c r="D735" s="0" t="n">
        <v>2100</v>
      </c>
      <c r="E735" s="94" t="s">
        <v>307</v>
      </c>
      <c r="F735" s="0" t="n">
        <v>0.5</v>
      </c>
      <c r="G735" s="0" t="n">
        <v>120</v>
      </c>
      <c r="I735" s="0" t="n">
        <v>60</v>
      </c>
      <c r="J735" s="0" t="n">
        <v>12</v>
      </c>
    </row>
    <row r="736" customFormat="false" ht="15" hidden="false" customHeight="false" outlineLevel="0" collapsed="false">
      <c r="A736" s="0" t="n">
        <v>10156</v>
      </c>
      <c r="B736" s="0" t="s">
        <v>95</v>
      </c>
      <c r="C736" s="0" t="n">
        <v>736</v>
      </c>
      <c r="D736" s="0" t="n">
        <v>6268167900012</v>
      </c>
      <c r="E736" s="94" t="s">
        <v>398</v>
      </c>
      <c r="F736" s="0" t="n">
        <v>2</v>
      </c>
      <c r="G736" s="0" t="n">
        <v>23</v>
      </c>
      <c r="I736" s="0" t="n">
        <v>46</v>
      </c>
      <c r="J736" s="0" t="n">
        <v>13</v>
      </c>
    </row>
    <row r="737" customFormat="false" ht="15" hidden="false" customHeight="false" outlineLevel="0" collapsed="false">
      <c r="A737" s="0" t="n">
        <v>10156</v>
      </c>
      <c r="B737" s="0" t="s">
        <v>95</v>
      </c>
      <c r="C737" s="0" t="n">
        <v>737</v>
      </c>
      <c r="D737" s="0" t="n">
        <v>6264078410992</v>
      </c>
      <c r="E737" s="94" t="s">
        <v>420</v>
      </c>
      <c r="F737" s="0" t="n">
        <v>9</v>
      </c>
      <c r="G737" s="0" t="n">
        <v>15</v>
      </c>
      <c r="I737" s="0" t="n">
        <v>135</v>
      </c>
      <c r="J737" s="0" t="n">
        <v>14</v>
      </c>
    </row>
    <row r="738" customFormat="false" ht="15" hidden="false" customHeight="false" outlineLevel="0" collapsed="false">
      <c r="A738" s="0" t="n">
        <v>10156</v>
      </c>
      <c r="B738" s="0" t="s">
        <v>95</v>
      </c>
      <c r="C738" s="0" t="n">
        <v>738</v>
      </c>
      <c r="D738" s="0" t="n">
        <v>6264078411593</v>
      </c>
      <c r="E738" s="94" t="s">
        <v>426</v>
      </c>
      <c r="F738" s="0" t="n">
        <v>4</v>
      </c>
      <c r="G738" s="0" t="n">
        <v>10</v>
      </c>
      <c r="I738" s="0" t="n">
        <v>40</v>
      </c>
      <c r="J738" s="0" t="n">
        <v>15</v>
      </c>
    </row>
    <row r="739" customFormat="false" ht="15" hidden="false" customHeight="false" outlineLevel="0" collapsed="false">
      <c r="A739" s="0" t="n">
        <v>10156</v>
      </c>
      <c r="B739" s="0" t="s">
        <v>95</v>
      </c>
      <c r="C739" s="0" t="n">
        <v>739</v>
      </c>
      <c r="D739" s="0" t="n">
        <v>6261149146071</v>
      </c>
      <c r="E739" s="94" t="s">
        <v>313</v>
      </c>
      <c r="F739" s="0" t="n">
        <v>1</v>
      </c>
      <c r="G739" s="0" t="n">
        <v>30</v>
      </c>
      <c r="I739" s="0" t="n">
        <v>30</v>
      </c>
      <c r="J739" s="0" t="n">
        <v>16</v>
      </c>
    </row>
    <row r="740" customFormat="false" ht="15" hidden="false" customHeight="false" outlineLevel="0" collapsed="false">
      <c r="A740" s="0" t="n">
        <v>10156</v>
      </c>
      <c r="B740" s="0" t="s">
        <v>95</v>
      </c>
      <c r="C740" s="0" t="n">
        <v>740</v>
      </c>
      <c r="D740" s="0" t="n">
        <v>6260404400200</v>
      </c>
      <c r="E740" s="94" t="s">
        <v>369</v>
      </c>
      <c r="F740" s="0" t="n">
        <v>1</v>
      </c>
      <c r="G740" s="0" t="n">
        <v>5</v>
      </c>
      <c r="I740" s="0" t="n">
        <v>5</v>
      </c>
      <c r="J740" s="0" t="n">
        <v>17</v>
      </c>
    </row>
    <row r="741" customFormat="false" ht="15" hidden="false" customHeight="false" outlineLevel="0" collapsed="false">
      <c r="A741" s="0" t="n">
        <v>10156</v>
      </c>
      <c r="B741" s="0" t="s">
        <v>95</v>
      </c>
      <c r="C741" s="0" t="n">
        <v>741</v>
      </c>
      <c r="D741" s="0" t="n">
        <v>6269988500269</v>
      </c>
      <c r="E741" s="94" t="s">
        <v>379</v>
      </c>
      <c r="F741" s="0" t="n">
        <v>1</v>
      </c>
      <c r="G741" s="0" t="n">
        <v>12</v>
      </c>
      <c r="I741" s="0" t="n">
        <v>12</v>
      </c>
      <c r="J741" s="0" t="n">
        <v>18</v>
      </c>
    </row>
    <row r="742" customFormat="false" ht="15" hidden="false" customHeight="false" outlineLevel="0" collapsed="false">
      <c r="A742" s="0" t="n">
        <v>10157</v>
      </c>
      <c r="B742" s="0" t="s">
        <v>95</v>
      </c>
      <c r="C742" s="0" t="n">
        <v>742</v>
      </c>
      <c r="D742" s="0" t="n">
        <v>1300</v>
      </c>
      <c r="E742" s="94" t="s">
        <v>268</v>
      </c>
      <c r="F742" s="0" t="n">
        <v>10</v>
      </c>
      <c r="G742" s="0" t="n">
        <v>4.5</v>
      </c>
      <c r="I742" s="0" t="n">
        <v>45</v>
      </c>
      <c r="J742" s="0" t="n">
        <v>7</v>
      </c>
    </row>
    <row r="743" customFormat="false" ht="15" hidden="false" customHeight="false" outlineLevel="0" collapsed="false">
      <c r="A743" s="0" t="n">
        <v>10158</v>
      </c>
      <c r="B743" s="0" t="s">
        <v>95</v>
      </c>
      <c r="C743" s="0" t="n">
        <v>743</v>
      </c>
      <c r="D743" s="0" t="n">
        <v>6260002926348</v>
      </c>
      <c r="E743" s="94" t="s">
        <v>297</v>
      </c>
      <c r="F743" s="0" t="n">
        <v>1</v>
      </c>
      <c r="G743" s="0" t="n">
        <v>25</v>
      </c>
      <c r="I743" s="0" t="n">
        <v>25</v>
      </c>
      <c r="J743" s="0" t="n">
        <v>7</v>
      </c>
    </row>
    <row r="744" customFormat="false" ht="15" hidden="false" customHeight="false" outlineLevel="0" collapsed="false">
      <c r="A744" s="0" t="n">
        <v>10158</v>
      </c>
      <c r="B744" s="0" t="s">
        <v>95</v>
      </c>
      <c r="C744" s="0" t="n">
        <v>744</v>
      </c>
      <c r="D744" s="0" t="n">
        <v>6400</v>
      </c>
      <c r="E744" s="94" t="s">
        <v>171</v>
      </c>
      <c r="F744" s="0" t="n">
        <v>1</v>
      </c>
      <c r="G744" s="0" t="n">
        <v>25</v>
      </c>
      <c r="I744" s="0" t="n">
        <v>25</v>
      </c>
      <c r="J744" s="0" t="n">
        <v>8</v>
      </c>
    </row>
    <row r="745" customFormat="false" ht="15" hidden="false" customHeight="false" outlineLevel="0" collapsed="false">
      <c r="A745" s="0" t="n">
        <v>10158</v>
      </c>
      <c r="B745" s="0" t="s">
        <v>95</v>
      </c>
      <c r="C745" s="0" t="n">
        <v>745</v>
      </c>
      <c r="D745" s="0" t="n">
        <v>6260522300031</v>
      </c>
      <c r="E745" s="94" t="s">
        <v>421</v>
      </c>
      <c r="F745" s="0" t="n">
        <v>1</v>
      </c>
      <c r="G745" s="0" t="n">
        <v>10</v>
      </c>
      <c r="I745" s="0" t="n">
        <v>10</v>
      </c>
      <c r="J745" s="0" t="n">
        <v>9</v>
      </c>
    </row>
    <row r="746" customFormat="false" ht="15" hidden="false" customHeight="false" outlineLevel="0" collapsed="false">
      <c r="A746" s="0" t="n">
        <v>10159</v>
      </c>
      <c r="B746" s="0" t="s">
        <v>95</v>
      </c>
      <c r="C746" s="0" t="n">
        <v>746</v>
      </c>
      <c r="D746" s="0" t="n">
        <v>6260053186241</v>
      </c>
      <c r="E746" s="94" t="s">
        <v>355</v>
      </c>
      <c r="F746" s="0" t="n">
        <v>1</v>
      </c>
      <c r="G746" s="0" t="n">
        <v>25</v>
      </c>
      <c r="I746" s="0" t="n">
        <v>25</v>
      </c>
      <c r="J746" s="0" t="n">
        <v>7</v>
      </c>
    </row>
    <row r="747" customFormat="false" ht="15" hidden="false" customHeight="false" outlineLevel="0" collapsed="false">
      <c r="A747" s="0" t="n">
        <v>10159</v>
      </c>
      <c r="B747" s="0" t="s">
        <v>95</v>
      </c>
      <c r="C747" s="0" t="n">
        <v>747</v>
      </c>
      <c r="D747" s="0" t="n">
        <v>6260474216800</v>
      </c>
      <c r="E747" s="94" t="s">
        <v>325</v>
      </c>
      <c r="F747" s="0" t="n">
        <v>2</v>
      </c>
      <c r="G747" s="0" t="n">
        <v>5</v>
      </c>
      <c r="I747" s="0" t="n">
        <v>10</v>
      </c>
      <c r="J747" s="0" t="n">
        <v>8</v>
      </c>
    </row>
    <row r="748" customFormat="false" ht="15" hidden="false" customHeight="false" outlineLevel="0" collapsed="false">
      <c r="A748" s="0" t="n">
        <v>10159</v>
      </c>
      <c r="B748" s="0" t="s">
        <v>95</v>
      </c>
      <c r="C748" s="0" t="n">
        <v>748</v>
      </c>
      <c r="D748" s="0" t="n">
        <v>6261163400197</v>
      </c>
      <c r="E748" s="94" t="s">
        <v>418</v>
      </c>
      <c r="F748" s="0" t="n">
        <v>1</v>
      </c>
      <c r="G748" s="0" t="n">
        <v>20</v>
      </c>
      <c r="I748" s="0" t="n">
        <v>20</v>
      </c>
      <c r="J748" s="0" t="n">
        <v>9</v>
      </c>
    </row>
    <row r="749" customFormat="false" ht="15" hidden="false" customHeight="false" outlineLevel="0" collapsed="false">
      <c r="A749" s="0" t="n">
        <v>10159</v>
      </c>
      <c r="B749" s="0" t="s">
        <v>95</v>
      </c>
      <c r="C749" s="0" t="n">
        <v>749</v>
      </c>
      <c r="D749" s="0" t="n">
        <v>6260063295841</v>
      </c>
      <c r="E749" s="94" t="s">
        <v>427</v>
      </c>
      <c r="F749" s="0" t="n">
        <v>1</v>
      </c>
      <c r="G749" s="0" t="n">
        <v>10</v>
      </c>
      <c r="I749" s="0" t="n">
        <v>10</v>
      </c>
      <c r="J749" s="0" t="n">
        <v>10</v>
      </c>
    </row>
    <row r="750" customFormat="false" ht="15" hidden="false" customHeight="false" outlineLevel="0" collapsed="false">
      <c r="A750" s="0" t="n">
        <v>10159</v>
      </c>
      <c r="B750" s="0" t="s">
        <v>95</v>
      </c>
      <c r="C750" s="0" t="n">
        <v>750</v>
      </c>
      <c r="D750" s="0" t="n">
        <v>6260567198587</v>
      </c>
      <c r="E750" s="94" t="s">
        <v>336</v>
      </c>
      <c r="F750" s="0" t="n">
        <v>1</v>
      </c>
      <c r="G750" s="0" t="n">
        <v>12</v>
      </c>
      <c r="I750" s="0" t="n">
        <v>12</v>
      </c>
      <c r="J750" s="0" t="n">
        <v>11</v>
      </c>
    </row>
    <row r="751" customFormat="false" ht="15" hidden="false" customHeight="false" outlineLevel="0" collapsed="false">
      <c r="A751" s="0" t="n">
        <v>10159</v>
      </c>
      <c r="B751" s="0" t="s">
        <v>95</v>
      </c>
      <c r="C751" s="0" t="n">
        <v>751</v>
      </c>
      <c r="D751" s="0" t="n">
        <v>6260000252135</v>
      </c>
      <c r="E751" s="94" t="s">
        <v>449</v>
      </c>
      <c r="F751" s="0" t="n">
        <v>2</v>
      </c>
      <c r="G751" s="0" t="n">
        <v>15</v>
      </c>
      <c r="I751" s="0" t="n">
        <v>30</v>
      </c>
      <c r="J751" s="0" t="n">
        <v>12</v>
      </c>
    </row>
    <row r="752" customFormat="false" ht="15" hidden="false" customHeight="false" outlineLevel="0" collapsed="false">
      <c r="A752" s="0" t="n">
        <v>10159</v>
      </c>
      <c r="B752" s="0" t="s">
        <v>95</v>
      </c>
      <c r="C752" s="0" t="n">
        <v>752</v>
      </c>
      <c r="D752" s="0" t="n">
        <v>133100116340003</v>
      </c>
      <c r="E752" s="94" t="s">
        <v>417</v>
      </c>
      <c r="F752" s="0" t="n">
        <v>1</v>
      </c>
      <c r="G752" s="0" t="n">
        <v>20</v>
      </c>
      <c r="I752" s="0" t="n">
        <v>20</v>
      </c>
      <c r="J752" s="0" t="n">
        <v>13</v>
      </c>
    </row>
    <row r="753" customFormat="false" ht="15" hidden="false" customHeight="false" outlineLevel="0" collapsed="false">
      <c r="A753" s="0" t="n">
        <v>10159</v>
      </c>
      <c r="B753" s="0" t="s">
        <v>95</v>
      </c>
      <c r="C753" s="0" t="n">
        <v>753</v>
      </c>
      <c r="D753" s="0" t="n">
        <v>6260575904330</v>
      </c>
      <c r="E753" s="94" t="s">
        <v>296</v>
      </c>
      <c r="F753" s="0" t="n">
        <v>1</v>
      </c>
      <c r="G753" s="0" t="n">
        <v>15</v>
      </c>
      <c r="I753" s="0" t="n">
        <v>15</v>
      </c>
      <c r="J753" s="0" t="n">
        <v>14</v>
      </c>
    </row>
    <row r="754" customFormat="false" ht="15" hidden="false" customHeight="false" outlineLevel="0" collapsed="false">
      <c r="A754" s="0" t="n">
        <v>10159</v>
      </c>
      <c r="B754" s="0" t="s">
        <v>95</v>
      </c>
      <c r="C754" s="0" t="n">
        <v>754</v>
      </c>
      <c r="D754" s="0" t="n">
        <v>6260575902312</v>
      </c>
      <c r="E754" s="94" t="s">
        <v>294</v>
      </c>
      <c r="F754" s="0" t="n">
        <v>1</v>
      </c>
      <c r="G754" s="0" t="n">
        <v>5</v>
      </c>
      <c r="I754" s="0" t="n">
        <v>5</v>
      </c>
      <c r="J754" s="0" t="n">
        <v>15</v>
      </c>
    </row>
    <row r="755" customFormat="false" ht="15" hidden="false" customHeight="false" outlineLevel="0" collapsed="false">
      <c r="A755" s="0" t="n">
        <v>10159</v>
      </c>
      <c r="B755" s="0" t="s">
        <v>95</v>
      </c>
      <c r="C755" s="0" t="n">
        <v>755</v>
      </c>
      <c r="D755" s="0" t="n">
        <v>6260575904330</v>
      </c>
      <c r="E755" s="94" t="s">
        <v>296</v>
      </c>
      <c r="F755" s="0" t="n">
        <v>1</v>
      </c>
      <c r="G755" s="0" t="n">
        <v>15</v>
      </c>
      <c r="I755" s="0" t="n">
        <v>15</v>
      </c>
      <c r="J755" s="0" t="n">
        <v>16</v>
      </c>
    </row>
    <row r="756" customFormat="false" ht="15" hidden="false" customHeight="false" outlineLevel="0" collapsed="false">
      <c r="A756" s="0" t="n">
        <v>10159</v>
      </c>
      <c r="B756" s="0" t="s">
        <v>95</v>
      </c>
      <c r="C756" s="0" t="n">
        <v>756</v>
      </c>
      <c r="D756" s="0" t="n">
        <v>6269948100195</v>
      </c>
      <c r="E756" s="94" t="s">
        <v>435</v>
      </c>
      <c r="F756" s="0" t="n">
        <v>1</v>
      </c>
      <c r="G756" s="0" t="n">
        <v>12.5</v>
      </c>
      <c r="I756" s="0" t="n">
        <v>12.5</v>
      </c>
      <c r="J756" s="0" t="n">
        <v>17</v>
      </c>
    </row>
    <row r="757" customFormat="false" ht="15" hidden="false" customHeight="false" outlineLevel="0" collapsed="false">
      <c r="A757" s="0" t="n">
        <v>10159</v>
      </c>
      <c r="B757" s="0" t="s">
        <v>95</v>
      </c>
      <c r="C757" s="0" t="n">
        <v>757</v>
      </c>
      <c r="D757" s="0" t="n">
        <v>6269948100201</v>
      </c>
      <c r="E757" s="94" t="s">
        <v>434</v>
      </c>
      <c r="F757" s="0" t="n">
        <v>1</v>
      </c>
      <c r="G757" s="0" t="n">
        <v>12.5</v>
      </c>
      <c r="I757" s="0" t="n">
        <v>12.5</v>
      </c>
      <c r="J757" s="0" t="n">
        <v>18</v>
      </c>
    </row>
    <row r="758" customFormat="false" ht="15" hidden="false" customHeight="false" outlineLevel="0" collapsed="false">
      <c r="A758" s="0" t="n">
        <v>10159</v>
      </c>
      <c r="B758" s="0" t="s">
        <v>95</v>
      </c>
      <c r="C758" s="0" t="n">
        <v>758</v>
      </c>
      <c r="D758" s="0" t="n">
        <v>6260063298149</v>
      </c>
      <c r="E758" s="94" t="s">
        <v>419</v>
      </c>
      <c r="F758" s="0" t="n">
        <v>1</v>
      </c>
      <c r="G758" s="0" t="n">
        <v>15</v>
      </c>
      <c r="I758" s="0" t="n">
        <v>15</v>
      </c>
      <c r="J758" s="0" t="n">
        <v>19</v>
      </c>
    </row>
    <row r="759" customFormat="false" ht="15" hidden="false" customHeight="false" outlineLevel="0" collapsed="false">
      <c r="A759" s="0" t="n">
        <v>10159</v>
      </c>
      <c r="B759" s="0" t="s">
        <v>95</v>
      </c>
      <c r="C759" s="0" t="n">
        <v>759</v>
      </c>
      <c r="D759" s="0" t="n">
        <v>6265499500101</v>
      </c>
      <c r="E759" s="94" t="s">
        <v>189</v>
      </c>
      <c r="F759" s="0" t="n">
        <v>1</v>
      </c>
      <c r="G759" s="0" t="n">
        <v>50</v>
      </c>
      <c r="I759" s="0" t="n">
        <v>50</v>
      </c>
      <c r="J759" s="0" t="n">
        <v>20</v>
      </c>
    </row>
    <row r="760" customFormat="false" ht="15" hidden="false" customHeight="false" outlineLevel="0" collapsed="false">
      <c r="A760" s="0" t="n">
        <v>10159</v>
      </c>
      <c r="B760" s="0" t="s">
        <v>95</v>
      </c>
      <c r="C760" s="0" t="n">
        <v>760</v>
      </c>
      <c r="D760" s="0" t="n">
        <v>6260100509023</v>
      </c>
      <c r="E760" s="94" t="s">
        <v>244</v>
      </c>
      <c r="F760" s="0" t="n">
        <v>1</v>
      </c>
      <c r="G760" s="0" t="n">
        <v>350</v>
      </c>
      <c r="I760" s="0" t="n">
        <v>350</v>
      </c>
      <c r="J760" s="0" t="n">
        <v>21</v>
      </c>
    </row>
    <row r="761" customFormat="false" ht="15" hidden="false" customHeight="false" outlineLevel="0" collapsed="false">
      <c r="A761" s="0" t="n">
        <v>10159</v>
      </c>
      <c r="B761" s="0" t="s">
        <v>95</v>
      </c>
      <c r="C761" s="0" t="n">
        <v>761</v>
      </c>
      <c r="D761" s="0" t="n">
        <v>6260575904279</v>
      </c>
      <c r="E761" s="94" t="s">
        <v>357</v>
      </c>
      <c r="F761" s="0" t="n">
        <v>1</v>
      </c>
      <c r="G761" s="0" t="n">
        <v>10</v>
      </c>
      <c r="I761" s="0" t="n">
        <v>10</v>
      </c>
      <c r="J761" s="0" t="n">
        <v>22</v>
      </c>
    </row>
    <row r="762" customFormat="false" ht="15" hidden="false" customHeight="false" outlineLevel="0" collapsed="false">
      <c r="A762" s="0" t="n">
        <v>10160</v>
      </c>
      <c r="B762" s="0" t="s">
        <v>95</v>
      </c>
      <c r="C762" s="0" t="n">
        <v>762</v>
      </c>
      <c r="D762" s="0" t="n">
        <v>6264078411593</v>
      </c>
      <c r="E762" s="94" t="s">
        <v>426</v>
      </c>
      <c r="F762" s="0" t="n">
        <v>5</v>
      </c>
      <c r="G762" s="0" t="n">
        <v>10</v>
      </c>
      <c r="I762" s="0" t="n">
        <v>50</v>
      </c>
      <c r="J762" s="0" t="n">
        <v>7</v>
      </c>
    </row>
    <row r="763" customFormat="false" ht="15" hidden="false" customHeight="false" outlineLevel="0" collapsed="false">
      <c r="A763" s="0" t="n">
        <v>10161</v>
      </c>
      <c r="B763" s="0" t="s">
        <v>95</v>
      </c>
      <c r="C763" s="0" t="n">
        <v>763</v>
      </c>
      <c r="D763" s="0" t="n">
        <v>6260575904330</v>
      </c>
      <c r="E763" s="94" t="s">
        <v>296</v>
      </c>
      <c r="F763" s="0" t="n">
        <v>1</v>
      </c>
      <c r="G763" s="0" t="n">
        <v>15</v>
      </c>
      <c r="I763" s="0" t="n">
        <v>15</v>
      </c>
      <c r="J763" s="0" t="n">
        <v>7</v>
      </c>
    </row>
    <row r="764" customFormat="false" ht="15" hidden="false" customHeight="false" outlineLevel="0" collapsed="false">
      <c r="A764" s="0" t="n">
        <v>10162</v>
      </c>
      <c r="B764" s="0" t="s">
        <v>95</v>
      </c>
      <c r="C764" s="0" t="n">
        <v>764</v>
      </c>
      <c r="D764" s="0" t="n">
        <v>6265663104265</v>
      </c>
      <c r="E764" s="94" t="s">
        <v>363</v>
      </c>
      <c r="F764" s="0" t="n">
        <v>1</v>
      </c>
      <c r="G764" s="0" t="n">
        <v>10</v>
      </c>
      <c r="I764" s="0" t="n">
        <v>10</v>
      </c>
      <c r="J764" s="0" t="n">
        <v>7</v>
      </c>
    </row>
    <row r="765" customFormat="false" ht="15" hidden="false" customHeight="false" outlineLevel="0" collapsed="false">
      <c r="A765" s="0" t="n">
        <v>10163</v>
      </c>
      <c r="B765" s="0" t="s">
        <v>95</v>
      </c>
      <c r="C765" s="0" t="n">
        <v>765</v>
      </c>
      <c r="D765" s="0" t="n">
        <v>6265663104265</v>
      </c>
      <c r="E765" s="94" t="s">
        <v>363</v>
      </c>
      <c r="F765" s="0" t="n">
        <v>2</v>
      </c>
      <c r="G765" s="0" t="n">
        <v>10</v>
      </c>
      <c r="I765" s="0" t="n">
        <v>20</v>
      </c>
      <c r="J765" s="0" t="n">
        <v>7</v>
      </c>
    </row>
    <row r="766" customFormat="false" ht="15" hidden="false" customHeight="false" outlineLevel="0" collapsed="false">
      <c r="A766" s="0" t="n">
        <v>10163</v>
      </c>
      <c r="B766" s="0" t="s">
        <v>95</v>
      </c>
      <c r="C766" s="0" t="n">
        <v>766</v>
      </c>
      <c r="D766" s="0" t="n">
        <v>6260002666725</v>
      </c>
      <c r="E766" s="94" t="s">
        <v>271</v>
      </c>
      <c r="F766" s="0" t="n">
        <v>1</v>
      </c>
      <c r="G766" s="0" t="n">
        <v>10</v>
      </c>
      <c r="I766" s="0" t="n">
        <v>10</v>
      </c>
      <c r="J766" s="0" t="n">
        <v>8</v>
      </c>
    </row>
    <row r="767" customFormat="false" ht="15" hidden="false" customHeight="false" outlineLevel="0" collapsed="false">
      <c r="A767" s="0" t="n">
        <v>10163</v>
      </c>
      <c r="B767" s="0" t="s">
        <v>95</v>
      </c>
      <c r="C767" s="0" t="n">
        <v>767</v>
      </c>
      <c r="D767" s="0" t="n">
        <v>6261178540284</v>
      </c>
      <c r="E767" s="94" t="s">
        <v>368</v>
      </c>
      <c r="F767" s="0" t="n">
        <v>2</v>
      </c>
      <c r="G767" s="0" t="n">
        <v>4</v>
      </c>
      <c r="I767" s="0" t="n">
        <v>8</v>
      </c>
      <c r="J767" s="0" t="n">
        <v>9</v>
      </c>
    </row>
    <row r="768" customFormat="false" ht="15" hidden="false" customHeight="false" outlineLevel="0" collapsed="false">
      <c r="A768" s="0" t="n">
        <v>10163</v>
      </c>
      <c r="B768" s="0" t="s">
        <v>95</v>
      </c>
      <c r="C768" s="0" t="n">
        <v>768</v>
      </c>
      <c r="D768" s="0" t="n">
        <v>6260748000371</v>
      </c>
      <c r="E768" s="94" t="s">
        <v>345</v>
      </c>
      <c r="F768" s="0" t="n">
        <v>2</v>
      </c>
      <c r="G768" s="0" t="n">
        <v>7</v>
      </c>
      <c r="I768" s="0" t="n">
        <v>14</v>
      </c>
      <c r="J768" s="0" t="n">
        <v>10</v>
      </c>
    </row>
    <row r="769" customFormat="false" ht="15" hidden="false" customHeight="false" outlineLevel="0" collapsed="false">
      <c r="A769" s="0" t="n">
        <v>10164</v>
      </c>
      <c r="B769" s="0" t="s">
        <v>95</v>
      </c>
      <c r="C769" s="0" t="n">
        <v>769</v>
      </c>
      <c r="D769" s="0" t="n">
        <v>6260737001631</v>
      </c>
      <c r="E769" s="94" t="s">
        <v>197</v>
      </c>
      <c r="F769" s="0" t="n">
        <v>1</v>
      </c>
      <c r="G769" s="0" t="n">
        <v>10</v>
      </c>
      <c r="I769" s="0" t="n">
        <v>10</v>
      </c>
      <c r="J769" s="0" t="n">
        <v>7</v>
      </c>
    </row>
    <row r="770" customFormat="false" ht="15" hidden="false" customHeight="false" outlineLevel="0" collapsed="false">
      <c r="A770" s="0" t="n">
        <v>10165</v>
      </c>
      <c r="B770" s="0" t="s">
        <v>95</v>
      </c>
      <c r="C770" s="0" t="n">
        <v>770</v>
      </c>
      <c r="D770" s="0" t="n">
        <v>1100</v>
      </c>
      <c r="E770" s="94" t="s">
        <v>256</v>
      </c>
      <c r="F770" s="0" t="n">
        <v>6</v>
      </c>
      <c r="G770" s="0" t="n">
        <v>3</v>
      </c>
      <c r="I770" s="0" t="n">
        <v>18</v>
      </c>
      <c r="J770" s="0" t="n">
        <v>7</v>
      </c>
    </row>
    <row r="771" customFormat="false" ht="15" hidden="false" customHeight="false" outlineLevel="0" collapsed="false">
      <c r="A771" s="0" t="n">
        <v>10165</v>
      </c>
      <c r="B771" s="0" t="s">
        <v>95</v>
      </c>
      <c r="C771" s="0" t="n">
        <v>771</v>
      </c>
      <c r="D771" s="0" t="n">
        <v>6261149146071</v>
      </c>
      <c r="E771" s="94" t="s">
        <v>313</v>
      </c>
      <c r="F771" s="0" t="n">
        <v>1</v>
      </c>
      <c r="G771" s="0" t="n">
        <v>30</v>
      </c>
      <c r="I771" s="0" t="n">
        <v>30</v>
      </c>
      <c r="J771" s="0" t="n">
        <v>8</v>
      </c>
    </row>
    <row r="772" customFormat="false" ht="15" hidden="false" customHeight="false" outlineLevel="0" collapsed="false">
      <c r="A772" s="0" t="n">
        <v>10166</v>
      </c>
      <c r="B772" s="0" t="s">
        <v>95</v>
      </c>
      <c r="C772" s="0" t="n">
        <v>772</v>
      </c>
      <c r="D772" s="0" t="n">
        <v>7500</v>
      </c>
      <c r="E772" s="94" t="s">
        <v>318</v>
      </c>
      <c r="F772" s="0" t="n">
        <v>1</v>
      </c>
      <c r="G772" s="0" t="n">
        <v>2</v>
      </c>
      <c r="I772" s="0" t="n">
        <v>2</v>
      </c>
      <c r="J772" s="0" t="n">
        <v>7</v>
      </c>
    </row>
    <row r="773" customFormat="false" ht="15" hidden="false" customHeight="false" outlineLevel="0" collapsed="false">
      <c r="A773" s="0" t="n">
        <v>10166</v>
      </c>
      <c r="B773" s="0" t="s">
        <v>95</v>
      </c>
      <c r="C773" s="0" t="n">
        <v>773</v>
      </c>
      <c r="D773" s="0" t="n">
        <v>6260053185640</v>
      </c>
      <c r="E773" s="94" t="s">
        <v>300</v>
      </c>
      <c r="F773" s="0" t="n">
        <v>1</v>
      </c>
      <c r="G773" s="0" t="n">
        <v>12</v>
      </c>
      <c r="I773" s="0" t="n">
        <v>12</v>
      </c>
      <c r="J773" s="0" t="n">
        <v>8</v>
      </c>
    </row>
    <row r="774" customFormat="false" ht="15" hidden="false" customHeight="false" outlineLevel="0" collapsed="false">
      <c r="A774" s="0" t="n">
        <v>10166</v>
      </c>
      <c r="B774" s="0" t="s">
        <v>95</v>
      </c>
      <c r="C774" s="0" t="n">
        <v>774</v>
      </c>
      <c r="D774" s="0" t="n">
        <v>6260053186333</v>
      </c>
      <c r="E774" s="94" t="s">
        <v>354</v>
      </c>
      <c r="F774" s="0" t="n">
        <v>1</v>
      </c>
      <c r="G774" s="0" t="n">
        <v>18</v>
      </c>
      <c r="I774" s="0" t="n">
        <v>18</v>
      </c>
      <c r="J774" s="0" t="n">
        <v>9</v>
      </c>
    </row>
    <row r="775" customFormat="false" ht="15" hidden="false" customHeight="false" outlineLevel="0" collapsed="false">
      <c r="A775" s="0" t="n">
        <v>10167</v>
      </c>
      <c r="B775" s="0" t="s">
        <v>95</v>
      </c>
      <c r="C775" s="0" t="n">
        <v>775</v>
      </c>
      <c r="D775" s="0" t="n">
        <v>6260543504791</v>
      </c>
      <c r="E775" s="94" t="s">
        <v>443</v>
      </c>
      <c r="F775" s="0" t="n">
        <v>3</v>
      </c>
      <c r="G775" s="0" t="n">
        <v>5</v>
      </c>
      <c r="I775" s="0" t="n">
        <v>15</v>
      </c>
      <c r="J775" s="0" t="n">
        <v>7</v>
      </c>
    </row>
    <row r="776" customFormat="false" ht="15" hidden="false" customHeight="false" outlineLevel="0" collapsed="false">
      <c r="A776" s="0" t="n">
        <v>10168</v>
      </c>
      <c r="B776" s="0" t="s">
        <v>95</v>
      </c>
      <c r="C776" s="0" t="n">
        <v>776</v>
      </c>
      <c r="D776" s="0" t="n">
        <v>6260109281555</v>
      </c>
      <c r="E776" s="94" t="s">
        <v>322</v>
      </c>
      <c r="F776" s="0" t="n">
        <v>2</v>
      </c>
      <c r="G776" s="0" t="n">
        <v>12</v>
      </c>
      <c r="I776" s="0" t="n">
        <v>24</v>
      </c>
      <c r="J776" s="0" t="n">
        <v>7</v>
      </c>
    </row>
    <row r="777" customFormat="false" ht="15" hidden="false" customHeight="false" outlineLevel="0" collapsed="false">
      <c r="A777" s="0" t="n">
        <v>10168</v>
      </c>
      <c r="B777" s="0" t="s">
        <v>95</v>
      </c>
      <c r="C777" s="0" t="n">
        <v>777</v>
      </c>
      <c r="D777" s="0" t="n">
        <v>6263812800334</v>
      </c>
      <c r="E777" s="94" t="s">
        <v>353</v>
      </c>
      <c r="F777" s="0" t="n">
        <v>1</v>
      </c>
      <c r="G777" s="0" t="n">
        <v>18</v>
      </c>
      <c r="I777" s="0" t="n">
        <v>18</v>
      </c>
      <c r="J777" s="0" t="n">
        <v>8</v>
      </c>
    </row>
    <row r="778" customFormat="false" ht="15" hidden="false" customHeight="false" outlineLevel="0" collapsed="false">
      <c r="A778" s="0" t="n">
        <v>10168</v>
      </c>
      <c r="B778" s="0" t="s">
        <v>95</v>
      </c>
      <c r="C778" s="0" t="n">
        <v>778</v>
      </c>
      <c r="D778" s="0" t="n">
        <v>6264078411593</v>
      </c>
      <c r="E778" s="94" t="s">
        <v>426</v>
      </c>
      <c r="F778" s="0" t="n">
        <v>1</v>
      </c>
      <c r="G778" s="0" t="n">
        <v>10</v>
      </c>
      <c r="I778" s="0" t="n">
        <v>10</v>
      </c>
      <c r="J778" s="0" t="n">
        <v>9</v>
      </c>
    </row>
    <row r="779" customFormat="false" ht="15" hidden="false" customHeight="false" outlineLevel="0" collapsed="false">
      <c r="A779" s="0" t="n">
        <v>10168</v>
      </c>
      <c r="B779" s="0" t="s">
        <v>95</v>
      </c>
      <c r="C779" s="0" t="n">
        <v>779</v>
      </c>
      <c r="D779" s="0" t="n">
        <v>6260063295841</v>
      </c>
      <c r="E779" s="94" t="s">
        <v>427</v>
      </c>
      <c r="F779" s="0" t="n">
        <v>1</v>
      </c>
      <c r="G779" s="0" t="n">
        <v>10</v>
      </c>
      <c r="I779" s="0" t="n">
        <v>10</v>
      </c>
      <c r="J779" s="0" t="n">
        <v>10</v>
      </c>
    </row>
    <row r="780" customFormat="false" ht="15" hidden="false" customHeight="false" outlineLevel="0" collapsed="false">
      <c r="A780" s="0" t="n">
        <v>10169</v>
      </c>
      <c r="B780" s="0" t="s">
        <v>95</v>
      </c>
      <c r="C780" s="0" t="n">
        <v>780</v>
      </c>
      <c r="D780" s="0" t="n">
        <v>6269365700077</v>
      </c>
      <c r="E780" s="94" t="s">
        <v>390</v>
      </c>
      <c r="F780" s="0" t="n">
        <v>2</v>
      </c>
      <c r="G780" s="0" t="n">
        <v>18</v>
      </c>
      <c r="I780" s="0" t="n">
        <v>36</v>
      </c>
      <c r="J780" s="0" t="n">
        <v>7</v>
      </c>
    </row>
    <row r="781" customFormat="false" ht="15" hidden="false" customHeight="false" outlineLevel="0" collapsed="false">
      <c r="A781" s="0" t="n">
        <v>10170</v>
      </c>
      <c r="B781" s="0" t="s">
        <v>95</v>
      </c>
      <c r="C781" s="0" t="n">
        <v>781</v>
      </c>
      <c r="D781" s="0" t="n">
        <v>6260575904330</v>
      </c>
      <c r="E781" s="94" t="s">
        <v>296</v>
      </c>
      <c r="F781" s="0" t="n">
        <v>2</v>
      </c>
      <c r="G781" s="0" t="n">
        <v>15</v>
      </c>
      <c r="I781" s="0" t="n">
        <v>30</v>
      </c>
      <c r="J781" s="0" t="n">
        <v>7</v>
      </c>
    </row>
    <row r="782" customFormat="false" ht="15" hidden="false" customHeight="false" outlineLevel="0" collapsed="false">
      <c r="A782" s="0" t="n">
        <v>10170</v>
      </c>
      <c r="B782" s="0" t="s">
        <v>95</v>
      </c>
      <c r="C782" s="0" t="n">
        <v>782</v>
      </c>
      <c r="D782" s="0" t="n">
        <v>6260053186333</v>
      </c>
      <c r="E782" s="94" t="s">
        <v>354</v>
      </c>
      <c r="F782" s="0" t="n">
        <v>1</v>
      </c>
      <c r="G782" s="0" t="n">
        <v>18</v>
      </c>
      <c r="I782" s="0" t="n">
        <v>18</v>
      </c>
      <c r="J782" s="0" t="n">
        <v>8</v>
      </c>
    </row>
    <row r="783" customFormat="false" ht="15" hidden="false" customHeight="false" outlineLevel="0" collapsed="false">
      <c r="A783" s="0" t="n">
        <v>10170</v>
      </c>
      <c r="B783" s="0" t="s">
        <v>95</v>
      </c>
      <c r="C783" s="0" t="n">
        <v>783</v>
      </c>
      <c r="D783" s="0" t="n">
        <v>6263812800334</v>
      </c>
      <c r="E783" s="94" t="s">
        <v>353</v>
      </c>
      <c r="F783" s="0" t="n">
        <v>1</v>
      </c>
      <c r="G783" s="0" t="n">
        <v>18</v>
      </c>
      <c r="I783" s="0" t="n">
        <v>18</v>
      </c>
      <c r="J783" s="0" t="n">
        <v>9</v>
      </c>
    </row>
    <row r="784" customFormat="false" ht="15" hidden="false" customHeight="false" outlineLevel="0" collapsed="false">
      <c r="A784" s="0" t="n">
        <v>10171</v>
      </c>
      <c r="B784" s="0" t="s">
        <v>95</v>
      </c>
      <c r="C784" s="0" t="n">
        <v>784</v>
      </c>
      <c r="D784" s="0" t="n">
        <v>6260575904279</v>
      </c>
      <c r="E784" s="94" t="s">
        <v>357</v>
      </c>
      <c r="F784" s="0" t="n">
        <v>1</v>
      </c>
      <c r="G784" s="0" t="n">
        <v>10</v>
      </c>
      <c r="I784" s="0" t="n">
        <v>10</v>
      </c>
      <c r="J784" s="0" t="n">
        <v>7</v>
      </c>
    </row>
    <row r="785" customFormat="false" ht="15" hidden="false" customHeight="false" outlineLevel="0" collapsed="false">
      <c r="A785" s="0" t="n">
        <v>10171</v>
      </c>
      <c r="B785" s="0" t="s">
        <v>95</v>
      </c>
      <c r="C785" s="0" t="n">
        <v>785</v>
      </c>
      <c r="D785" s="0" t="n">
        <v>6260053186241</v>
      </c>
      <c r="E785" s="94" t="s">
        <v>355</v>
      </c>
      <c r="F785" s="0" t="n">
        <v>1</v>
      </c>
      <c r="G785" s="0" t="n">
        <v>25</v>
      </c>
      <c r="I785" s="0" t="n">
        <v>25</v>
      </c>
      <c r="J785" s="0" t="n">
        <v>8</v>
      </c>
    </row>
    <row r="786" customFormat="false" ht="15" hidden="false" customHeight="false" outlineLevel="0" collapsed="false">
      <c r="A786" s="0" t="n">
        <v>10171</v>
      </c>
      <c r="B786" s="0" t="s">
        <v>95</v>
      </c>
      <c r="C786" s="0" t="n">
        <v>786</v>
      </c>
      <c r="D786" s="0" t="n">
        <v>6260138002138</v>
      </c>
      <c r="E786" s="94" t="s">
        <v>332</v>
      </c>
      <c r="F786" s="0" t="n">
        <v>1</v>
      </c>
      <c r="G786" s="0" t="n">
        <v>10</v>
      </c>
      <c r="I786" s="0" t="n">
        <v>10</v>
      </c>
      <c r="J786" s="0" t="n">
        <v>9</v>
      </c>
    </row>
    <row r="787" customFormat="false" ht="15" hidden="false" customHeight="false" outlineLevel="0" collapsed="false">
      <c r="A787" s="0" t="n">
        <v>10171</v>
      </c>
      <c r="B787" s="0" t="s">
        <v>95</v>
      </c>
      <c r="C787" s="0" t="n">
        <v>787</v>
      </c>
      <c r="D787" s="0" t="n">
        <v>6260575904309</v>
      </c>
      <c r="E787" s="94" t="s">
        <v>356</v>
      </c>
      <c r="F787" s="0" t="n">
        <v>1</v>
      </c>
      <c r="G787" s="0" t="n">
        <v>10</v>
      </c>
      <c r="I787" s="0" t="n">
        <v>10</v>
      </c>
      <c r="J787" s="0" t="n">
        <v>10</v>
      </c>
    </row>
    <row r="788" customFormat="false" ht="15" hidden="false" customHeight="false" outlineLevel="0" collapsed="false">
      <c r="A788" s="0" t="n">
        <v>10172</v>
      </c>
      <c r="B788" s="0" t="s">
        <v>95</v>
      </c>
      <c r="C788" s="0" t="n">
        <v>788</v>
      </c>
      <c r="D788" s="0" t="n">
        <v>6260138002169</v>
      </c>
      <c r="E788" s="94" t="s">
        <v>330</v>
      </c>
      <c r="F788" s="0" t="n">
        <v>1</v>
      </c>
      <c r="G788" s="0" t="n">
        <v>10</v>
      </c>
      <c r="I788" s="0" t="n">
        <v>10</v>
      </c>
      <c r="J788" s="0" t="n">
        <v>7</v>
      </c>
    </row>
    <row r="789" customFormat="false" ht="15" hidden="false" customHeight="false" outlineLevel="0" collapsed="false">
      <c r="A789" s="0" t="n">
        <v>10172</v>
      </c>
      <c r="B789" s="0" t="s">
        <v>95</v>
      </c>
      <c r="C789" s="0" t="n">
        <v>789</v>
      </c>
      <c r="D789" s="0" t="n">
        <v>6260138002138</v>
      </c>
      <c r="E789" s="94" t="s">
        <v>332</v>
      </c>
      <c r="F789" s="0" t="n">
        <v>1</v>
      </c>
      <c r="G789" s="0" t="n">
        <v>10</v>
      </c>
      <c r="I789" s="0" t="n">
        <v>10</v>
      </c>
      <c r="J789" s="0" t="n">
        <v>8</v>
      </c>
    </row>
    <row r="790" customFormat="false" ht="15" hidden="false" customHeight="false" outlineLevel="0" collapsed="false">
      <c r="A790" s="0" t="n">
        <v>10173</v>
      </c>
      <c r="B790" s="0" t="s">
        <v>95</v>
      </c>
      <c r="C790" s="0" t="n">
        <v>790</v>
      </c>
      <c r="D790" s="0" t="n">
        <v>6260268400170</v>
      </c>
      <c r="E790" s="94" t="s">
        <v>270</v>
      </c>
      <c r="F790" s="0" t="n">
        <v>1</v>
      </c>
      <c r="G790" s="0" t="n">
        <v>15</v>
      </c>
      <c r="I790" s="0" t="n">
        <v>15</v>
      </c>
      <c r="J790" s="0" t="n">
        <v>7</v>
      </c>
    </row>
    <row r="791" customFormat="false" ht="15" hidden="false" customHeight="false" outlineLevel="0" collapsed="false">
      <c r="A791" s="0" t="n">
        <v>10173</v>
      </c>
      <c r="B791" s="0" t="s">
        <v>95</v>
      </c>
      <c r="C791" s="0" t="n">
        <v>791</v>
      </c>
      <c r="D791" s="0" t="n">
        <v>6260053186241</v>
      </c>
      <c r="E791" s="94" t="s">
        <v>355</v>
      </c>
      <c r="F791" s="0" t="n">
        <v>1</v>
      </c>
      <c r="G791" s="0" t="n">
        <v>25</v>
      </c>
      <c r="I791" s="0" t="n">
        <v>25</v>
      </c>
      <c r="J791" s="0" t="n">
        <v>8</v>
      </c>
    </row>
    <row r="792" customFormat="false" ht="15" hidden="false" customHeight="false" outlineLevel="0" collapsed="false">
      <c r="A792" s="0" t="n">
        <v>10173</v>
      </c>
      <c r="B792" s="0" t="s">
        <v>95</v>
      </c>
      <c r="C792" s="0" t="n">
        <v>792</v>
      </c>
      <c r="D792" s="0" t="n">
        <v>6262690600074</v>
      </c>
      <c r="E792" s="94" t="s">
        <v>305</v>
      </c>
      <c r="F792" s="0" t="n">
        <v>1</v>
      </c>
      <c r="G792" s="0" t="n">
        <v>10</v>
      </c>
      <c r="I792" s="0" t="n">
        <v>10</v>
      </c>
      <c r="J792" s="0" t="n">
        <v>9</v>
      </c>
    </row>
    <row r="793" customFormat="false" ht="15" hidden="false" customHeight="false" outlineLevel="0" collapsed="false">
      <c r="A793" s="0" t="n">
        <v>10173</v>
      </c>
      <c r="B793" s="0" t="s">
        <v>95</v>
      </c>
      <c r="C793" s="0" t="n">
        <v>793</v>
      </c>
      <c r="D793" s="0" t="n">
        <v>6260109281555</v>
      </c>
      <c r="E793" s="94" t="s">
        <v>322</v>
      </c>
      <c r="F793" s="0" t="n">
        <v>1</v>
      </c>
      <c r="G793" s="0" t="n">
        <v>12</v>
      </c>
      <c r="I793" s="0" t="n">
        <v>12</v>
      </c>
      <c r="J793" s="0" t="n">
        <v>10</v>
      </c>
    </row>
    <row r="794" customFormat="false" ht="15" hidden="false" customHeight="false" outlineLevel="0" collapsed="false">
      <c r="A794" s="0" t="n">
        <v>10173</v>
      </c>
      <c r="B794" s="0" t="s">
        <v>95</v>
      </c>
      <c r="C794" s="0" t="n">
        <v>794</v>
      </c>
      <c r="D794" s="0" t="n">
        <v>6260748000371</v>
      </c>
      <c r="E794" s="94" t="s">
        <v>345</v>
      </c>
      <c r="F794" s="0" t="n">
        <v>1</v>
      </c>
      <c r="G794" s="0" t="n">
        <v>7</v>
      </c>
      <c r="I794" s="0" t="n">
        <v>7</v>
      </c>
      <c r="J794" s="0" t="n">
        <v>11</v>
      </c>
    </row>
    <row r="795" customFormat="false" ht="15" hidden="false" customHeight="false" outlineLevel="0" collapsed="false">
      <c r="A795" s="0" t="n">
        <v>10173</v>
      </c>
      <c r="B795" s="0" t="s">
        <v>95</v>
      </c>
      <c r="C795" s="0" t="n">
        <v>795</v>
      </c>
      <c r="D795" s="0" t="n">
        <v>6260543505682</v>
      </c>
      <c r="E795" s="94" t="s">
        <v>358</v>
      </c>
      <c r="F795" s="0" t="n">
        <v>1</v>
      </c>
      <c r="G795" s="0" t="n">
        <v>5</v>
      </c>
      <c r="I795" s="0" t="n">
        <v>5</v>
      </c>
      <c r="J795" s="0" t="n">
        <v>12</v>
      </c>
    </row>
    <row r="796" customFormat="false" ht="15" hidden="false" customHeight="false" outlineLevel="0" collapsed="false">
      <c r="A796" s="0" t="n">
        <v>10173</v>
      </c>
      <c r="B796" s="0" t="s">
        <v>95</v>
      </c>
      <c r="C796" s="0" t="n">
        <v>796</v>
      </c>
      <c r="D796" s="0" t="n">
        <v>7500</v>
      </c>
      <c r="E796" s="94" t="s">
        <v>318</v>
      </c>
      <c r="F796" s="0" t="n">
        <v>5</v>
      </c>
      <c r="G796" s="0" t="n">
        <v>2</v>
      </c>
      <c r="I796" s="0" t="n">
        <v>10</v>
      </c>
      <c r="J796" s="0" t="n">
        <v>13</v>
      </c>
    </row>
    <row r="797" customFormat="false" ht="15" hidden="false" customHeight="false" outlineLevel="0" collapsed="false">
      <c r="A797" s="0" t="n">
        <v>10174</v>
      </c>
      <c r="B797" s="0" t="s">
        <v>95</v>
      </c>
      <c r="C797" s="0" t="n">
        <v>797</v>
      </c>
      <c r="D797" s="0" t="n">
        <v>6262003401961</v>
      </c>
      <c r="E797" s="94" t="s">
        <v>393</v>
      </c>
      <c r="F797" s="0" t="n">
        <v>1</v>
      </c>
      <c r="G797" s="0" t="n">
        <v>55</v>
      </c>
      <c r="I797" s="0" t="n">
        <v>55</v>
      </c>
      <c r="J797" s="0" t="n">
        <v>7</v>
      </c>
    </row>
    <row r="798" customFormat="false" ht="15" hidden="false" customHeight="false" outlineLevel="0" collapsed="false">
      <c r="A798" s="0" t="n">
        <v>10175</v>
      </c>
      <c r="B798" s="0" t="s">
        <v>95</v>
      </c>
      <c r="C798" s="0" t="n">
        <v>798</v>
      </c>
      <c r="D798" s="0" t="n">
        <v>6260055843036</v>
      </c>
      <c r="E798" s="94" t="s">
        <v>310</v>
      </c>
      <c r="F798" s="0" t="n">
        <v>1</v>
      </c>
      <c r="G798" s="0" t="n">
        <v>40</v>
      </c>
      <c r="I798" s="0" t="n">
        <v>40</v>
      </c>
      <c r="J798" s="0" t="n">
        <v>7</v>
      </c>
    </row>
    <row r="799" customFormat="false" ht="15" hidden="false" customHeight="false" outlineLevel="0" collapsed="false">
      <c r="A799" s="0" t="n">
        <v>10175</v>
      </c>
      <c r="B799" s="0" t="s">
        <v>95</v>
      </c>
      <c r="C799" s="0" t="n">
        <v>799</v>
      </c>
      <c r="D799" s="0" t="n">
        <v>6260055843036</v>
      </c>
      <c r="E799" s="94" t="s">
        <v>310</v>
      </c>
      <c r="F799" s="0" t="n">
        <v>1</v>
      </c>
      <c r="G799" s="0" t="n">
        <v>40</v>
      </c>
      <c r="I799" s="0" t="n">
        <v>40</v>
      </c>
      <c r="J799" s="0" t="n">
        <v>8</v>
      </c>
    </row>
    <row r="800" customFormat="false" ht="15" hidden="false" customHeight="false" outlineLevel="0" collapsed="false">
      <c r="A800" s="0" t="n">
        <v>10175</v>
      </c>
      <c r="B800" s="0" t="s">
        <v>95</v>
      </c>
      <c r="C800" s="0" t="n">
        <v>800</v>
      </c>
      <c r="D800" s="0" t="n">
        <v>7700</v>
      </c>
      <c r="E800" s="94" t="s">
        <v>431</v>
      </c>
      <c r="F800" s="0" t="n">
        <v>0.97</v>
      </c>
      <c r="G800" s="0" t="n">
        <v>180</v>
      </c>
      <c r="I800" s="0" t="n">
        <v>174.6</v>
      </c>
      <c r="J800" s="0" t="n">
        <v>9</v>
      </c>
    </row>
    <row r="801" customFormat="false" ht="15" hidden="false" customHeight="false" outlineLevel="0" collapsed="false">
      <c r="A801" s="0" t="n">
        <v>10176</v>
      </c>
      <c r="B801" s="0" t="s">
        <v>95</v>
      </c>
      <c r="C801" s="0" t="n">
        <v>801</v>
      </c>
      <c r="D801" s="0" t="n">
        <v>7700</v>
      </c>
      <c r="E801" s="94" t="s">
        <v>431</v>
      </c>
      <c r="F801" s="0" t="n">
        <v>0.28</v>
      </c>
      <c r="G801" s="0" t="n">
        <v>180</v>
      </c>
      <c r="I801" s="0" t="n">
        <v>50.4</v>
      </c>
      <c r="J801" s="0" t="n">
        <v>7</v>
      </c>
    </row>
    <row r="802" customFormat="false" ht="15" hidden="false" customHeight="false" outlineLevel="0" collapsed="false">
      <c r="A802" s="0" t="n">
        <v>10177</v>
      </c>
      <c r="B802" s="0" t="s">
        <v>95</v>
      </c>
      <c r="C802" s="0" t="n">
        <v>802</v>
      </c>
      <c r="D802" s="0" t="n">
        <v>6260063295841</v>
      </c>
      <c r="E802" s="94" t="s">
        <v>427</v>
      </c>
      <c r="F802" s="0" t="n">
        <v>1</v>
      </c>
      <c r="G802" s="0" t="n">
        <v>10</v>
      </c>
      <c r="I802" s="0" t="n">
        <v>10</v>
      </c>
      <c r="J802" s="0" t="n">
        <v>7</v>
      </c>
    </row>
    <row r="803" customFormat="false" ht="15" hidden="false" customHeight="false" outlineLevel="0" collapsed="false">
      <c r="A803" s="0" t="n">
        <v>10178</v>
      </c>
      <c r="B803" s="0" t="s">
        <v>95</v>
      </c>
      <c r="C803" s="0" t="n">
        <v>803</v>
      </c>
      <c r="D803" s="0" t="n">
        <v>6264078410992</v>
      </c>
      <c r="E803" s="94" t="s">
        <v>420</v>
      </c>
      <c r="F803" s="0" t="n">
        <v>1</v>
      </c>
      <c r="G803" s="0" t="n">
        <v>15</v>
      </c>
      <c r="I803" s="0" t="n">
        <v>15</v>
      </c>
      <c r="J803" s="0" t="n">
        <v>7</v>
      </c>
    </row>
    <row r="804" customFormat="false" ht="15" hidden="false" customHeight="false" outlineLevel="0" collapsed="false">
      <c r="A804" s="0" t="n">
        <v>10179</v>
      </c>
      <c r="B804" s="0" t="s">
        <v>95</v>
      </c>
      <c r="C804" s="0" t="n">
        <v>804</v>
      </c>
      <c r="D804" s="0" t="n">
        <v>8936036022933</v>
      </c>
      <c r="E804" s="94" t="s">
        <v>329</v>
      </c>
      <c r="F804" s="0" t="n">
        <v>1</v>
      </c>
      <c r="G804" s="0" t="n">
        <v>10</v>
      </c>
      <c r="I804" s="0" t="n">
        <v>10</v>
      </c>
      <c r="J804" s="0" t="n">
        <v>7</v>
      </c>
    </row>
    <row r="805" customFormat="false" ht="15" hidden="false" customHeight="false" outlineLevel="0" collapsed="false">
      <c r="A805" s="0" t="n">
        <v>10179</v>
      </c>
      <c r="B805" s="0" t="s">
        <v>95</v>
      </c>
      <c r="C805" s="0" t="n">
        <v>805</v>
      </c>
      <c r="D805" s="0" t="n">
        <v>6260170900461</v>
      </c>
      <c r="E805" s="94" t="s">
        <v>264</v>
      </c>
      <c r="F805" s="0" t="n">
        <v>1</v>
      </c>
      <c r="G805" s="0" t="n">
        <v>6</v>
      </c>
      <c r="I805" s="0" t="n">
        <v>6</v>
      </c>
      <c r="J805" s="0" t="n">
        <v>8</v>
      </c>
    </row>
    <row r="806" customFormat="false" ht="15" hidden="false" customHeight="false" outlineLevel="0" collapsed="false">
      <c r="A806" s="0" t="n">
        <v>10179</v>
      </c>
      <c r="B806" s="0" t="s">
        <v>95</v>
      </c>
      <c r="C806" s="0" t="n">
        <v>806</v>
      </c>
      <c r="D806" s="0" t="n">
        <v>6261178540284</v>
      </c>
      <c r="E806" s="94" t="s">
        <v>368</v>
      </c>
      <c r="F806" s="0" t="n">
        <v>1</v>
      </c>
      <c r="G806" s="0" t="n">
        <v>4</v>
      </c>
      <c r="I806" s="0" t="n">
        <v>4</v>
      </c>
      <c r="J806" s="0" t="n">
        <v>9</v>
      </c>
    </row>
    <row r="807" customFormat="false" ht="15" hidden="false" customHeight="false" outlineLevel="0" collapsed="false">
      <c r="A807" s="0" t="n">
        <v>10180</v>
      </c>
      <c r="B807" s="0" t="s">
        <v>95</v>
      </c>
      <c r="C807" s="0" t="n">
        <v>807</v>
      </c>
      <c r="D807" s="0" t="n">
        <v>6261178540284</v>
      </c>
      <c r="E807" s="94" t="s">
        <v>368</v>
      </c>
      <c r="F807" s="0" t="n">
        <v>1</v>
      </c>
      <c r="G807" s="0" t="n">
        <v>4</v>
      </c>
      <c r="I807" s="0" t="n">
        <v>4</v>
      </c>
      <c r="J807" s="0" t="n">
        <v>7</v>
      </c>
    </row>
    <row r="808" customFormat="false" ht="15" hidden="false" customHeight="false" outlineLevel="0" collapsed="false">
      <c r="A808" s="0" t="n">
        <v>10180</v>
      </c>
      <c r="B808" s="0" t="s">
        <v>95</v>
      </c>
      <c r="C808" s="0" t="n">
        <v>808</v>
      </c>
      <c r="D808" s="0" t="n">
        <v>6260575904309</v>
      </c>
      <c r="E808" s="94" t="s">
        <v>356</v>
      </c>
      <c r="F808" s="0" t="n">
        <v>1</v>
      </c>
      <c r="G808" s="0" t="n">
        <v>10</v>
      </c>
      <c r="I808" s="0" t="n">
        <v>10</v>
      </c>
      <c r="J808" s="0" t="n">
        <v>8</v>
      </c>
    </row>
    <row r="809" customFormat="false" ht="15" hidden="false" customHeight="false" outlineLevel="0" collapsed="false">
      <c r="A809" s="0" t="n">
        <v>10180</v>
      </c>
      <c r="B809" s="0" t="s">
        <v>95</v>
      </c>
      <c r="C809" s="0" t="n">
        <v>809</v>
      </c>
      <c r="D809" s="0" t="n">
        <v>6260748000371</v>
      </c>
      <c r="E809" s="94" t="s">
        <v>345</v>
      </c>
      <c r="F809" s="0" t="n">
        <v>1</v>
      </c>
      <c r="G809" s="0" t="n">
        <v>7</v>
      </c>
      <c r="I809" s="0" t="n">
        <v>7</v>
      </c>
      <c r="J809" s="0" t="n">
        <v>9</v>
      </c>
    </row>
    <row r="810" customFormat="false" ht="15" hidden="false" customHeight="false" outlineLevel="0" collapsed="false">
      <c r="A810" s="0" t="n">
        <v>10181</v>
      </c>
      <c r="B810" s="0" t="s">
        <v>95</v>
      </c>
      <c r="C810" s="0" t="n">
        <v>810</v>
      </c>
      <c r="D810" s="0" t="n">
        <v>6269948100638</v>
      </c>
      <c r="E810" s="94" t="s">
        <v>326</v>
      </c>
      <c r="F810" s="0" t="n">
        <v>1</v>
      </c>
      <c r="G810" s="0" t="n">
        <v>8</v>
      </c>
      <c r="I810" s="0" t="n">
        <v>8</v>
      </c>
      <c r="J810" s="0" t="n">
        <v>7</v>
      </c>
    </row>
    <row r="811" customFormat="false" ht="15" hidden="false" customHeight="false" outlineLevel="0" collapsed="false">
      <c r="A811" s="0" t="n">
        <v>10182</v>
      </c>
      <c r="B811" s="0" t="s">
        <v>95</v>
      </c>
      <c r="C811" s="0" t="n">
        <v>811</v>
      </c>
      <c r="D811" s="0" t="n">
        <v>7500</v>
      </c>
      <c r="E811" s="94" t="s">
        <v>318</v>
      </c>
      <c r="F811" s="0" t="n">
        <v>2</v>
      </c>
      <c r="G811" s="0" t="n">
        <v>2</v>
      </c>
      <c r="I811" s="0" t="n">
        <v>4</v>
      </c>
      <c r="J811" s="0" t="n">
        <v>7</v>
      </c>
    </row>
    <row r="812" customFormat="false" ht="15" hidden="false" customHeight="false" outlineLevel="0" collapsed="false">
      <c r="A812" s="0" t="n">
        <v>10182</v>
      </c>
      <c r="B812" s="0" t="s">
        <v>95</v>
      </c>
      <c r="C812" s="0" t="n">
        <v>812</v>
      </c>
      <c r="D812" s="0" t="n">
        <v>5200</v>
      </c>
      <c r="E812" s="94" t="s">
        <v>323</v>
      </c>
      <c r="F812" s="0" t="n">
        <v>1</v>
      </c>
      <c r="G812" s="0" t="n">
        <v>1</v>
      </c>
      <c r="I812" s="0" t="n">
        <v>1</v>
      </c>
      <c r="J812" s="0" t="n">
        <v>8</v>
      </c>
    </row>
    <row r="813" customFormat="false" ht="15" hidden="false" customHeight="false" outlineLevel="0" collapsed="false">
      <c r="A813" s="0" t="n">
        <v>10183</v>
      </c>
      <c r="B813" s="0" t="s">
        <v>95</v>
      </c>
      <c r="C813" s="0" t="n">
        <v>813</v>
      </c>
      <c r="D813" s="0" t="n">
        <v>6265826100844</v>
      </c>
      <c r="E813" s="94" t="s">
        <v>408</v>
      </c>
      <c r="F813" s="0" t="n">
        <v>1</v>
      </c>
      <c r="G813" s="0" t="n">
        <v>19</v>
      </c>
      <c r="I813" s="0" t="n">
        <v>19</v>
      </c>
      <c r="J813" s="0" t="n">
        <v>7</v>
      </c>
    </row>
    <row r="814" customFormat="false" ht="15" hidden="false" customHeight="false" outlineLevel="0" collapsed="false">
      <c r="A814" s="0" t="n">
        <v>10183</v>
      </c>
      <c r="B814" s="0" t="s">
        <v>95</v>
      </c>
      <c r="C814" s="0" t="n">
        <v>814</v>
      </c>
      <c r="D814" s="0" t="n">
        <v>6260918500175</v>
      </c>
      <c r="E814" s="94" t="s">
        <v>370</v>
      </c>
      <c r="F814" s="0" t="n">
        <v>4</v>
      </c>
      <c r="G814" s="0" t="n">
        <v>10</v>
      </c>
      <c r="I814" s="0" t="n">
        <v>40</v>
      </c>
      <c r="J814" s="0" t="n">
        <v>8</v>
      </c>
    </row>
    <row r="815" customFormat="false" ht="15" hidden="false" customHeight="false" outlineLevel="0" collapsed="false">
      <c r="A815" s="0" t="n">
        <v>10183</v>
      </c>
      <c r="B815" s="0" t="s">
        <v>95</v>
      </c>
      <c r="C815" s="0" t="n">
        <v>815</v>
      </c>
      <c r="D815" s="0" t="n">
        <v>6269948100638</v>
      </c>
      <c r="E815" s="94" t="s">
        <v>326</v>
      </c>
      <c r="F815" s="0" t="n">
        <v>5</v>
      </c>
      <c r="G815" s="0" t="n">
        <v>8</v>
      </c>
      <c r="I815" s="0" t="n">
        <v>40</v>
      </c>
      <c r="J815" s="0" t="n">
        <v>9</v>
      </c>
    </row>
    <row r="816" customFormat="false" ht="15" hidden="false" customHeight="false" outlineLevel="0" collapsed="false">
      <c r="A816" s="0" t="n">
        <v>10184</v>
      </c>
      <c r="B816" s="0" t="s">
        <v>95</v>
      </c>
      <c r="C816" s="0" t="n">
        <v>816</v>
      </c>
      <c r="D816" s="0" t="n">
        <v>6260308301467</v>
      </c>
      <c r="E816" s="94" t="s">
        <v>430</v>
      </c>
      <c r="F816" s="0" t="n">
        <v>1</v>
      </c>
      <c r="G816" s="0" t="n">
        <v>60</v>
      </c>
      <c r="I816" s="0" t="n">
        <v>60</v>
      </c>
      <c r="J816" s="0" t="n">
        <v>7</v>
      </c>
    </row>
    <row r="817" customFormat="false" ht="15" hidden="false" customHeight="false" outlineLevel="0" collapsed="false">
      <c r="A817" s="0" t="n">
        <v>10184</v>
      </c>
      <c r="B817" s="0" t="s">
        <v>95</v>
      </c>
      <c r="C817" s="0" t="n">
        <v>817</v>
      </c>
      <c r="D817" s="0" t="n">
        <v>6265499500040</v>
      </c>
      <c r="E817" s="94" t="s">
        <v>208</v>
      </c>
      <c r="F817" s="0" t="n">
        <v>1</v>
      </c>
      <c r="G817" s="0" t="n">
        <v>80</v>
      </c>
      <c r="I817" s="0" t="n">
        <v>80</v>
      </c>
      <c r="J817" s="0" t="n">
        <v>8</v>
      </c>
    </row>
    <row r="818" customFormat="false" ht="15" hidden="false" customHeight="false" outlineLevel="0" collapsed="false">
      <c r="A818" s="0" t="n">
        <v>10185</v>
      </c>
      <c r="B818" s="0" t="s">
        <v>95</v>
      </c>
      <c r="C818" s="0" t="n">
        <v>818</v>
      </c>
      <c r="D818" s="0" t="n">
        <v>160290016690011</v>
      </c>
      <c r="E818" s="94" t="s">
        <v>215</v>
      </c>
      <c r="F818" s="0" t="n">
        <v>1</v>
      </c>
      <c r="G818" s="0" t="n">
        <v>10</v>
      </c>
      <c r="I818" s="0" t="n">
        <v>10</v>
      </c>
      <c r="J818" s="0" t="n">
        <v>7</v>
      </c>
    </row>
    <row r="819" customFormat="false" ht="15" hidden="false" customHeight="false" outlineLevel="0" collapsed="false">
      <c r="A819" s="0" t="n">
        <v>10185</v>
      </c>
      <c r="B819" s="0" t="s">
        <v>95</v>
      </c>
      <c r="C819" s="0" t="n">
        <v>819</v>
      </c>
      <c r="D819" s="0" t="n">
        <v>6262003401961</v>
      </c>
      <c r="E819" s="94" t="s">
        <v>393</v>
      </c>
      <c r="F819" s="0" t="n">
        <v>1</v>
      </c>
      <c r="G819" s="0" t="n">
        <v>55</v>
      </c>
      <c r="I819" s="0" t="n">
        <v>55</v>
      </c>
      <c r="J819" s="0" t="n">
        <v>8</v>
      </c>
    </row>
    <row r="820" customFormat="false" ht="15" hidden="false" customHeight="false" outlineLevel="0" collapsed="false">
      <c r="A820" s="0" t="n">
        <v>10185</v>
      </c>
      <c r="B820" s="0" t="s">
        <v>95</v>
      </c>
      <c r="C820" s="0" t="n">
        <v>820</v>
      </c>
      <c r="D820" s="0" t="n">
        <v>2200</v>
      </c>
      <c r="E820" s="94" t="s">
        <v>164</v>
      </c>
      <c r="F820" s="0" t="n">
        <v>0.5</v>
      </c>
      <c r="G820" s="0" t="n">
        <v>70</v>
      </c>
      <c r="I820" s="0" t="n">
        <v>35</v>
      </c>
      <c r="J820" s="0" t="n">
        <v>9</v>
      </c>
    </row>
    <row r="821" customFormat="false" ht="15" hidden="false" customHeight="false" outlineLevel="0" collapsed="false">
      <c r="A821" s="0" t="n">
        <v>10185</v>
      </c>
      <c r="B821" s="0" t="s">
        <v>95</v>
      </c>
      <c r="C821" s="0" t="n">
        <v>821</v>
      </c>
      <c r="D821" s="0" t="n">
        <v>6269988500269</v>
      </c>
      <c r="E821" s="94" t="s">
        <v>379</v>
      </c>
      <c r="F821" s="0" t="n">
        <v>2</v>
      </c>
      <c r="G821" s="0" t="n">
        <v>12</v>
      </c>
      <c r="I821" s="0" t="n">
        <v>24</v>
      </c>
      <c r="J821" s="0" t="n">
        <v>10</v>
      </c>
    </row>
    <row r="822" customFormat="false" ht="15" hidden="false" customHeight="false" outlineLevel="0" collapsed="false">
      <c r="A822" s="0" t="n">
        <v>10185</v>
      </c>
      <c r="B822" s="0" t="s">
        <v>95</v>
      </c>
      <c r="C822" s="0" t="n">
        <v>822</v>
      </c>
      <c r="D822" s="0" t="n">
        <v>1100</v>
      </c>
      <c r="E822" s="94" t="s">
        <v>256</v>
      </c>
      <c r="F822" s="0" t="n">
        <v>3</v>
      </c>
      <c r="G822" s="0" t="n">
        <v>3</v>
      </c>
      <c r="I822" s="0" t="n">
        <v>9</v>
      </c>
      <c r="J822" s="0" t="n">
        <v>11</v>
      </c>
    </row>
    <row r="823" customFormat="false" ht="15" hidden="false" customHeight="false" outlineLevel="0" collapsed="false">
      <c r="A823" s="0" t="n">
        <v>10185</v>
      </c>
      <c r="B823" s="0" t="s">
        <v>95</v>
      </c>
      <c r="C823" s="0" t="n">
        <v>823</v>
      </c>
      <c r="D823" s="0" t="n">
        <v>6263812801256</v>
      </c>
      <c r="E823" s="94" t="s">
        <v>446</v>
      </c>
      <c r="F823" s="0" t="n">
        <v>1</v>
      </c>
      <c r="G823" s="0" t="n">
        <v>45</v>
      </c>
      <c r="I823" s="0" t="n">
        <v>45</v>
      </c>
      <c r="J823" s="0" t="n">
        <v>12</v>
      </c>
    </row>
    <row r="824" customFormat="false" ht="15" hidden="false" customHeight="false" outlineLevel="0" collapsed="false">
      <c r="A824" s="0" t="n">
        <v>10185</v>
      </c>
      <c r="B824" s="0" t="s">
        <v>95</v>
      </c>
      <c r="C824" s="0" t="n">
        <v>824</v>
      </c>
      <c r="D824" s="0" t="n">
        <v>6260002926348</v>
      </c>
      <c r="E824" s="94" t="s">
        <v>297</v>
      </c>
      <c r="F824" s="0" t="n">
        <v>1</v>
      </c>
      <c r="G824" s="0" t="n">
        <v>25</v>
      </c>
      <c r="I824" s="0" t="n">
        <v>25</v>
      </c>
      <c r="J824" s="0" t="n">
        <v>13</v>
      </c>
    </row>
    <row r="825" customFormat="false" ht="15" hidden="false" customHeight="false" outlineLevel="0" collapsed="false">
      <c r="A825" s="0" t="n">
        <v>10186</v>
      </c>
      <c r="B825" s="0" t="s">
        <v>95</v>
      </c>
      <c r="C825" s="0" t="n">
        <v>825</v>
      </c>
      <c r="D825" s="0" t="n">
        <v>6260000252128</v>
      </c>
      <c r="E825" s="94" t="s">
        <v>451</v>
      </c>
      <c r="F825" s="0" t="n">
        <v>1</v>
      </c>
      <c r="G825" s="0" t="n">
        <v>15</v>
      </c>
      <c r="I825" s="0" t="n">
        <v>15</v>
      </c>
      <c r="J825" s="0" t="n">
        <v>7</v>
      </c>
    </row>
    <row r="826" customFormat="false" ht="15" hidden="false" customHeight="false" outlineLevel="0" collapsed="false">
      <c r="A826" s="0" t="n">
        <v>10186</v>
      </c>
      <c r="B826" s="0" t="s">
        <v>95</v>
      </c>
      <c r="C826" s="0" t="n">
        <v>826</v>
      </c>
      <c r="D826" s="0" t="n">
        <v>6260063298149</v>
      </c>
      <c r="E826" s="94" t="s">
        <v>419</v>
      </c>
      <c r="F826" s="0" t="n">
        <v>1</v>
      </c>
      <c r="G826" s="0" t="n">
        <v>15</v>
      </c>
      <c r="I826" s="0" t="n">
        <v>15</v>
      </c>
      <c r="J826" s="0" t="n">
        <v>8</v>
      </c>
    </row>
    <row r="827" customFormat="false" ht="15" hidden="false" customHeight="false" outlineLevel="0" collapsed="false">
      <c r="A827" s="0" t="n">
        <v>10186</v>
      </c>
      <c r="B827" s="0" t="s">
        <v>95</v>
      </c>
      <c r="C827" s="0" t="n">
        <v>827</v>
      </c>
      <c r="D827" s="0" t="n">
        <v>6264078410992</v>
      </c>
      <c r="E827" s="94" t="s">
        <v>420</v>
      </c>
      <c r="F827" s="0" t="n">
        <v>1</v>
      </c>
      <c r="G827" s="0" t="n">
        <v>15</v>
      </c>
      <c r="I827" s="0" t="n">
        <v>15</v>
      </c>
      <c r="J827" s="0" t="n">
        <v>9</v>
      </c>
    </row>
    <row r="828" customFormat="false" ht="15" hidden="false" customHeight="false" outlineLevel="0" collapsed="false">
      <c r="A828" s="0" t="n">
        <v>10187</v>
      </c>
      <c r="B828" s="0" t="s">
        <v>95</v>
      </c>
      <c r="C828" s="0" t="n">
        <v>828</v>
      </c>
      <c r="D828" s="0" t="n">
        <v>6264078410992</v>
      </c>
      <c r="E828" s="94" t="s">
        <v>420</v>
      </c>
      <c r="F828" s="0" t="n">
        <v>2</v>
      </c>
      <c r="G828" s="0" t="n">
        <v>15</v>
      </c>
      <c r="I828" s="0" t="n">
        <v>30</v>
      </c>
      <c r="J828" s="0" t="n">
        <v>7</v>
      </c>
    </row>
    <row r="829" customFormat="false" ht="15" hidden="false" customHeight="false" outlineLevel="0" collapsed="false">
      <c r="A829" s="0" t="n">
        <v>10187</v>
      </c>
      <c r="B829" s="0" t="s">
        <v>95</v>
      </c>
      <c r="C829" s="0" t="n">
        <v>829</v>
      </c>
      <c r="D829" s="0" t="n">
        <v>6260138002138</v>
      </c>
      <c r="E829" s="94" t="s">
        <v>332</v>
      </c>
      <c r="F829" s="0" t="n">
        <v>1</v>
      </c>
      <c r="G829" s="0" t="n">
        <v>10</v>
      </c>
      <c r="I829" s="0" t="n">
        <v>10</v>
      </c>
      <c r="J829" s="0" t="n">
        <v>8</v>
      </c>
    </row>
    <row r="830" customFormat="false" ht="15" hidden="false" customHeight="false" outlineLevel="0" collapsed="false">
      <c r="A830" s="0" t="n">
        <v>10188</v>
      </c>
      <c r="B830" s="0" t="s">
        <v>95</v>
      </c>
      <c r="C830" s="0" t="n">
        <v>830</v>
      </c>
      <c r="D830" s="0" t="n">
        <v>6263812800334</v>
      </c>
      <c r="E830" s="94" t="s">
        <v>353</v>
      </c>
      <c r="F830" s="0" t="n">
        <v>1</v>
      </c>
      <c r="G830" s="0" t="n">
        <v>18</v>
      </c>
      <c r="I830" s="0" t="n">
        <v>18</v>
      </c>
      <c r="J830" s="0" t="n">
        <v>7</v>
      </c>
    </row>
    <row r="831" customFormat="false" ht="15" hidden="false" customHeight="false" outlineLevel="0" collapsed="false">
      <c r="A831" s="0" t="n">
        <v>10188</v>
      </c>
      <c r="B831" s="0" t="s">
        <v>95</v>
      </c>
      <c r="C831" s="0" t="n">
        <v>831</v>
      </c>
      <c r="D831" s="0" t="n">
        <v>6260053186333</v>
      </c>
      <c r="E831" s="94" t="s">
        <v>354</v>
      </c>
      <c r="F831" s="0" t="n">
        <v>1</v>
      </c>
      <c r="G831" s="0" t="n">
        <v>18</v>
      </c>
      <c r="I831" s="0" t="n">
        <v>18</v>
      </c>
      <c r="J831" s="0" t="n">
        <v>8</v>
      </c>
    </row>
    <row r="832" customFormat="false" ht="15" hidden="false" customHeight="false" outlineLevel="0" collapsed="false">
      <c r="A832" s="0" t="n">
        <v>10189</v>
      </c>
      <c r="B832" s="0" t="s">
        <v>95</v>
      </c>
      <c r="C832" s="0" t="n">
        <v>832</v>
      </c>
      <c r="D832" s="0" t="n">
        <v>6261149146071</v>
      </c>
      <c r="E832" s="94" t="s">
        <v>313</v>
      </c>
      <c r="F832" s="0" t="n">
        <v>1</v>
      </c>
      <c r="G832" s="0" t="n">
        <v>30</v>
      </c>
      <c r="I832" s="0" t="n">
        <v>30</v>
      </c>
      <c r="J832" s="0" t="n">
        <v>7</v>
      </c>
    </row>
    <row r="833" customFormat="false" ht="15" hidden="false" customHeight="false" outlineLevel="0" collapsed="false">
      <c r="A833" s="0" t="n">
        <v>10189</v>
      </c>
      <c r="B833" s="0" t="s">
        <v>95</v>
      </c>
      <c r="C833" s="0" t="n">
        <v>833</v>
      </c>
      <c r="D833" s="0" t="n">
        <v>6260002926379</v>
      </c>
      <c r="E833" s="94" t="s">
        <v>303</v>
      </c>
      <c r="F833" s="0" t="n">
        <v>1</v>
      </c>
      <c r="G833" s="0" t="n">
        <v>25</v>
      </c>
      <c r="I833" s="0" t="n">
        <v>25</v>
      </c>
      <c r="J833" s="0" t="n">
        <v>8</v>
      </c>
    </row>
    <row r="834" customFormat="false" ht="15" hidden="false" customHeight="false" outlineLevel="0" collapsed="false">
      <c r="A834" s="0" t="n">
        <v>10189</v>
      </c>
      <c r="B834" s="0" t="s">
        <v>95</v>
      </c>
      <c r="C834" s="0" t="n">
        <v>834</v>
      </c>
      <c r="D834" s="0" t="n">
        <v>6260002926348</v>
      </c>
      <c r="E834" s="94" t="s">
        <v>297</v>
      </c>
      <c r="F834" s="0" t="n">
        <v>1</v>
      </c>
      <c r="G834" s="0" t="n">
        <v>25</v>
      </c>
      <c r="I834" s="0" t="n">
        <v>25</v>
      </c>
      <c r="J834" s="0" t="n">
        <v>9</v>
      </c>
    </row>
    <row r="835" customFormat="false" ht="15" hidden="false" customHeight="false" outlineLevel="0" collapsed="false">
      <c r="A835" s="0" t="n">
        <v>10189</v>
      </c>
      <c r="B835" s="0" t="s">
        <v>95</v>
      </c>
      <c r="C835" s="0" t="n">
        <v>835</v>
      </c>
      <c r="D835" s="0" t="n">
        <v>6263812801249</v>
      </c>
      <c r="E835" s="94" t="s">
        <v>348</v>
      </c>
      <c r="F835" s="0" t="n">
        <v>1</v>
      </c>
      <c r="G835" s="0" t="n">
        <v>20</v>
      </c>
      <c r="I835" s="0" t="n">
        <v>20</v>
      </c>
      <c r="J835" s="0" t="n">
        <v>10</v>
      </c>
    </row>
    <row r="836" customFormat="false" ht="15" hidden="false" customHeight="false" outlineLevel="0" collapsed="false">
      <c r="A836" s="0" t="n">
        <v>10190</v>
      </c>
      <c r="B836" s="0" t="s">
        <v>95</v>
      </c>
      <c r="C836" s="0" t="n">
        <v>836</v>
      </c>
      <c r="D836" s="0" t="n">
        <v>6265826100134</v>
      </c>
      <c r="E836" s="94" t="s">
        <v>388</v>
      </c>
      <c r="F836" s="0" t="n">
        <v>1</v>
      </c>
      <c r="G836" s="0" t="n">
        <v>21</v>
      </c>
      <c r="I836" s="0" t="n">
        <v>21</v>
      </c>
      <c r="J836" s="0" t="n">
        <v>7</v>
      </c>
    </row>
    <row r="837" customFormat="false" ht="15" hidden="false" customHeight="false" outlineLevel="0" collapsed="false">
      <c r="A837" s="0" t="n">
        <v>10190</v>
      </c>
      <c r="B837" s="0" t="s">
        <v>95</v>
      </c>
      <c r="C837" s="0" t="n">
        <v>837</v>
      </c>
      <c r="D837" s="0" t="n">
        <v>6269365700091</v>
      </c>
      <c r="E837" s="94" t="s">
        <v>391</v>
      </c>
      <c r="F837" s="0" t="n">
        <v>1</v>
      </c>
      <c r="G837" s="0" t="n">
        <v>18</v>
      </c>
      <c r="I837" s="0" t="n">
        <v>18</v>
      </c>
      <c r="J837" s="0" t="n">
        <v>8</v>
      </c>
    </row>
    <row r="838" customFormat="false" ht="15" hidden="false" customHeight="false" outlineLevel="0" collapsed="false">
      <c r="A838" s="0" t="n">
        <v>10191</v>
      </c>
      <c r="B838" s="0" t="s">
        <v>95</v>
      </c>
      <c r="C838" s="0" t="n">
        <v>838</v>
      </c>
      <c r="D838" s="0" t="n">
        <v>6262228200028</v>
      </c>
      <c r="E838" s="94" t="s">
        <v>254</v>
      </c>
      <c r="F838" s="0" t="n">
        <v>6</v>
      </c>
      <c r="G838" s="0" t="n">
        <v>8</v>
      </c>
      <c r="I838" s="0" t="n">
        <v>48</v>
      </c>
      <c r="J838" s="0" t="n">
        <v>7</v>
      </c>
    </row>
    <row r="839" customFormat="false" ht="15" hidden="false" customHeight="false" outlineLevel="0" collapsed="false">
      <c r="A839" s="0" t="n">
        <v>10191</v>
      </c>
      <c r="B839" s="0" t="s">
        <v>95</v>
      </c>
      <c r="C839" s="0" t="n">
        <v>839</v>
      </c>
      <c r="D839" s="0" t="n">
        <v>6264078410992</v>
      </c>
      <c r="E839" s="94" t="s">
        <v>420</v>
      </c>
      <c r="F839" s="0" t="n">
        <v>6</v>
      </c>
      <c r="G839" s="0" t="n">
        <v>15</v>
      </c>
      <c r="I839" s="0" t="n">
        <v>90</v>
      </c>
      <c r="J839" s="0" t="n">
        <v>8</v>
      </c>
    </row>
    <row r="840" customFormat="false" ht="15" hidden="false" customHeight="false" outlineLevel="0" collapsed="false">
      <c r="A840" s="0" t="n">
        <v>10191</v>
      </c>
      <c r="B840" s="0" t="s">
        <v>95</v>
      </c>
      <c r="C840" s="0" t="n">
        <v>840</v>
      </c>
      <c r="D840" s="0" t="n">
        <v>162900054350822</v>
      </c>
      <c r="E840" s="94" t="s">
        <v>360</v>
      </c>
      <c r="F840" s="0" t="n">
        <v>4</v>
      </c>
      <c r="G840" s="0" t="n">
        <v>5</v>
      </c>
      <c r="I840" s="0" t="n">
        <v>20</v>
      </c>
      <c r="J840" s="0" t="n">
        <v>9</v>
      </c>
    </row>
    <row r="841" customFormat="false" ht="15" hidden="false" customHeight="false" outlineLevel="0" collapsed="false">
      <c r="A841" s="0" t="n">
        <v>10191</v>
      </c>
      <c r="B841" s="0" t="s">
        <v>95</v>
      </c>
      <c r="C841" s="0" t="n">
        <v>841</v>
      </c>
      <c r="D841" s="0" t="n">
        <v>6260543505682</v>
      </c>
      <c r="E841" s="94" t="s">
        <v>358</v>
      </c>
      <c r="F841" s="0" t="n">
        <v>2</v>
      </c>
      <c r="G841" s="0" t="n">
        <v>5</v>
      </c>
      <c r="I841" s="0" t="n">
        <v>10</v>
      </c>
      <c r="J841" s="0" t="n">
        <v>10</v>
      </c>
    </row>
    <row r="842" customFormat="false" ht="15" hidden="false" customHeight="false" outlineLevel="0" collapsed="false">
      <c r="A842" s="0" t="n">
        <v>10191</v>
      </c>
      <c r="B842" s="0" t="s">
        <v>95</v>
      </c>
      <c r="C842" s="0" t="n">
        <v>842</v>
      </c>
      <c r="D842" s="0" t="n">
        <v>6260002666725</v>
      </c>
      <c r="E842" s="94" t="s">
        <v>271</v>
      </c>
      <c r="F842" s="0" t="n">
        <v>1</v>
      </c>
      <c r="G842" s="0" t="n">
        <v>10</v>
      </c>
      <c r="I842" s="0" t="n">
        <v>10</v>
      </c>
      <c r="J842" s="0" t="n">
        <v>11</v>
      </c>
    </row>
    <row r="843" customFormat="false" ht="15" hidden="false" customHeight="false" outlineLevel="0" collapsed="false">
      <c r="A843" s="0" t="n">
        <v>10191</v>
      </c>
      <c r="B843" s="0" t="s">
        <v>95</v>
      </c>
      <c r="C843" s="0" t="n">
        <v>843</v>
      </c>
      <c r="D843" s="0" t="n">
        <v>6260002666725</v>
      </c>
      <c r="E843" s="94" t="s">
        <v>271</v>
      </c>
      <c r="F843" s="0" t="n">
        <v>1</v>
      </c>
      <c r="G843" s="0" t="n">
        <v>10</v>
      </c>
      <c r="I843" s="0" t="n">
        <v>10</v>
      </c>
      <c r="J843" s="0" t="n">
        <v>12</v>
      </c>
    </row>
    <row r="844" customFormat="false" ht="15" hidden="false" customHeight="false" outlineLevel="0" collapsed="false">
      <c r="A844" s="0" t="n">
        <v>10192</v>
      </c>
      <c r="B844" s="0" t="s">
        <v>95</v>
      </c>
      <c r="C844" s="0" t="n">
        <v>844</v>
      </c>
      <c r="D844" s="0" t="n">
        <v>6260806400020</v>
      </c>
      <c r="E844" s="94" t="s">
        <v>309</v>
      </c>
      <c r="F844" s="0" t="n">
        <v>1</v>
      </c>
      <c r="G844" s="0" t="n">
        <v>50</v>
      </c>
      <c r="I844" s="0" t="n">
        <v>50</v>
      </c>
      <c r="J844" s="0" t="n">
        <v>7</v>
      </c>
    </row>
    <row r="845" customFormat="false" ht="15" hidden="false" customHeight="false" outlineLevel="0" collapsed="false">
      <c r="A845" s="0" t="n">
        <v>10193</v>
      </c>
      <c r="B845" s="0" t="s">
        <v>95</v>
      </c>
      <c r="C845" s="0" t="n">
        <v>845</v>
      </c>
      <c r="D845" s="0" t="n">
        <v>6260007406487</v>
      </c>
      <c r="E845" s="94" t="s">
        <v>235</v>
      </c>
      <c r="F845" s="0" t="n">
        <v>1</v>
      </c>
      <c r="G845" s="0" t="n">
        <v>17</v>
      </c>
      <c r="I845" s="0" t="n">
        <v>17</v>
      </c>
      <c r="J845" s="0" t="n">
        <v>7</v>
      </c>
    </row>
    <row r="846" customFormat="false" ht="15" hidden="false" customHeight="false" outlineLevel="0" collapsed="false">
      <c r="A846" s="0" t="n">
        <v>10193</v>
      </c>
      <c r="B846" s="0" t="s">
        <v>95</v>
      </c>
      <c r="C846" s="0" t="n">
        <v>846</v>
      </c>
      <c r="D846" s="0" t="n">
        <v>6260063295841</v>
      </c>
      <c r="E846" s="94" t="s">
        <v>427</v>
      </c>
      <c r="F846" s="0" t="n">
        <v>1</v>
      </c>
      <c r="G846" s="0" t="n">
        <v>10</v>
      </c>
      <c r="I846" s="0" t="n">
        <v>10</v>
      </c>
      <c r="J846" s="0" t="n">
        <v>8</v>
      </c>
    </row>
    <row r="847" customFormat="false" ht="15" hidden="false" customHeight="false" outlineLevel="0" collapsed="false">
      <c r="A847" s="0" t="n">
        <v>10194</v>
      </c>
      <c r="B847" s="0" t="s">
        <v>95</v>
      </c>
      <c r="C847" s="0" t="n">
        <v>847</v>
      </c>
      <c r="D847" s="0" t="n">
        <v>6260268400170</v>
      </c>
      <c r="E847" s="94" t="s">
        <v>270</v>
      </c>
      <c r="F847" s="0" t="n">
        <v>2</v>
      </c>
      <c r="G847" s="0" t="n">
        <v>15</v>
      </c>
      <c r="I847" s="0" t="n">
        <v>30</v>
      </c>
      <c r="J847" s="0" t="n">
        <v>7</v>
      </c>
    </row>
    <row r="848" customFormat="false" ht="15" hidden="false" customHeight="false" outlineLevel="0" collapsed="false">
      <c r="A848" s="0" t="n">
        <v>10195</v>
      </c>
      <c r="B848" s="0" t="s">
        <v>95</v>
      </c>
      <c r="C848" s="0" t="n">
        <v>848</v>
      </c>
      <c r="D848" s="0" t="n">
        <v>6261101313039</v>
      </c>
      <c r="E848" s="94" t="s">
        <v>183</v>
      </c>
      <c r="F848" s="0" t="n">
        <v>1</v>
      </c>
      <c r="G848" s="0" t="n">
        <v>100</v>
      </c>
      <c r="I848" s="0" t="n">
        <v>100</v>
      </c>
      <c r="J848" s="0" t="n">
        <v>7</v>
      </c>
    </row>
    <row r="849" customFormat="false" ht="15" hidden="false" customHeight="false" outlineLevel="0" collapsed="false">
      <c r="A849" s="0" t="n">
        <v>10195</v>
      </c>
      <c r="B849" s="0" t="s">
        <v>95</v>
      </c>
      <c r="C849" s="0" t="n">
        <v>849</v>
      </c>
      <c r="D849" s="0" t="n">
        <v>2200</v>
      </c>
      <c r="E849" s="94" t="s">
        <v>164</v>
      </c>
      <c r="F849" s="0" t="n">
        <v>5</v>
      </c>
      <c r="G849" s="0" t="n">
        <v>70</v>
      </c>
      <c r="I849" s="0" t="n">
        <v>350</v>
      </c>
      <c r="J849" s="0" t="n">
        <v>8</v>
      </c>
    </row>
    <row r="850" customFormat="false" ht="15" hidden="false" customHeight="false" outlineLevel="0" collapsed="false">
      <c r="A850" s="0" t="n">
        <v>10195</v>
      </c>
      <c r="B850" s="0" t="s">
        <v>95</v>
      </c>
      <c r="C850" s="0" t="n">
        <v>850</v>
      </c>
      <c r="D850" s="0" t="n">
        <v>6260026101066</v>
      </c>
      <c r="E850" s="94" t="s">
        <v>221</v>
      </c>
      <c r="F850" s="0" t="n">
        <v>1</v>
      </c>
      <c r="G850" s="0" t="n">
        <v>180</v>
      </c>
      <c r="I850" s="0" t="n">
        <v>180</v>
      </c>
      <c r="J850" s="0" t="n">
        <v>9</v>
      </c>
    </row>
    <row r="851" customFormat="false" ht="15" hidden="false" customHeight="false" outlineLevel="0" collapsed="false">
      <c r="A851" s="0" t="n">
        <v>10196</v>
      </c>
      <c r="B851" s="0" t="s">
        <v>95</v>
      </c>
      <c r="C851" s="0" t="n">
        <v>851</v>
      </c>
      <c r="D851" s="0" t="n">
        <v>6260404400200</v>
      </c>
      <c r="E851" s="94" t="s">
        <v>369</v>
      </c>
      <c r="F851" s="0" t="n">
        <v>4</v>
      </c>
      <c r="G851" s="0" t="n">
        <v>5</v>
      </c>
      <c r="I851" s="0" t="n">
        <v>20</v>
      </c>
      <c r="J851" s="0" t="n">
        <v>7</v>
      </c>
    </row>
    <row r="852" customFormat="false" ht="15" hidden="false" customHeight="false" outlineLevel="0" collapsed="false">
      <c r="A852" s="0" t="n">
        <v>10196</v>
      </c>
      <c r="B852" s="0" t="s">
        <v>95</v>
      </c>
      <c r="C852" s="0" t="n">
        <v>852</v>
      </c>
      <c r="D852" s="0" t="n">
        <v>6264078409156</v>
      </c>
      <c r="E852" s="94" t="s">
        <v>422</v>
      </c>
      <c r="F852" s="0" t="n">
        <v>4</v>
      </c>
      <c r="G852" s="0" t="n">
        <v>10</v>
      </c>
      <c r="I852" s="0" t="n">
        <v>40</v>
      </c>
      <c r="J852" s="0" t="n">
        <v>8</v>
      </c>
    </row>
    <row r="853" customFormat="false" ht="15" hidden="false" customHeight="false" outlineLevel="0" collapsed="false">
      <c r="A853" s="0" t="n">
        <v>10196</v>
      </c>
      <c r="B853" s="0" t="s">
        <v>95</v>
      </c>
      <c r="C853" s="0" t="n">
        <v>853</v>
      </c>
      <c r="D853" s="0" t="n">
        <v>6265663103565</v>
      </c>
      <c r="E853" s="94" t="s">
        <v>299</v>
      </c>
      <c r="F853" s="0" t="n">
        <v>2</v>
      </c>
      <c r="G853" s="0" t="n">
        <v>5</v>
      </c>
      <c r="I853" s="0" t="n">
        <v>10</v>
      </c>
      <c r="J853" s="0" t="n">
        <v>9</v>
      </c>
    </row>
    <row r="854" customFormat="false" ht="15" hidden="false" customHeight="false" outlineLevel="0" collapsed="false">
      <c r="A854" s="0" t="n">
        <v>10197</v>
      </c>
      <c r="B854" s="0" t="s">
        <v>95</v>
      </c>
      <c r="C854" s="0" t="n">
        <v>854</v>
      </c>
      <c r="D854" s="0" t="n">
        <v>6260079200914</v>
      </c>
      <c r="E854" s="94" t="s">
        <v>291</v>
      </c>
      <c r="F854" s="0" t="n">
        <v>1</v>
      </c>
      <c r="G854" s="0" t="n">
        <v>20</v>
      </c>
      <c r="I854" s="0" t="n">
        <v>20</v>
      </c>
      <c r="J854" s="0" t="n">
        <v>7</v>
      </c>
    </row>
    <row r="855" customFormat="false" ht="15" hidden="false" customHeight="false" outlineLevel="0" collapsed="false">
      <c r="A855" s="0" t="n">
        <v>10198</v>
      </c>
      <c r="B855" s="0" t="s">
        <v>95</v>
      </c>
      <c r="C855" s="0" t="n">
        <v>855</v>
      </c>
      <c r="D855" s="0" t="n">
        <v>7500</v>
      </c>
      <c r="E855" s="94" t="s">
        <v>318</v>
      </c>
      <c r="F855" s="0" t="n">
        <v>3</v>
      </c>
      <c r="G855" s="0" t="n">
        <v>2</v>
      </c>
      <c r="I855" s="0" t="n">
        <v>6</v>
      </c>
      <c r="J855" s="0" t="n">
        <v>7</v>
      </c>
    </row>
    <row r="856" customFormat="false" ht="15" hidden="false" customHeight="false" outlineLevel="0" collapsed="false">
      <c r="A856" s="0" t="n">
        <v>10198</v>
      </c>
      <c r="B856" s="0" t="s">
        <v>95</v>
      </c>
      <c r="C856" s="0" t="n">
        <v>856</v>
      </c>
      <c r="D856" s="0" t="n">
        <v>6260575902312</v>
      </c>
      <c r="E856" s="94" t="s">
        <v>294</v>
      </c>
      <c r="F856" s="0" t="n">
        <v>1</v>
      </c>
      <c r="G856" s="0" t="n">
        <v>5</v>
      </c>
      <c r="I856" s="0" t="n">
        <v>5</v>
      </c>
      <c r="J856" s="0" t="n">
        <v>8</v>
      </c>
    </row>
    <row r="857" customFormat="false" ht="15" hidden="false" customHeight="false" outlineLevel="0" collapsed="false">
      <c r="A857" s="0" t="n">
        <v>10199</v>
      </c>
      <c r="B857" s="0" t="s">
        <v>95</v>
      </c>
      <c r="C857" s="0" t="n">
        <v>857</v>
      </c>
      <c r="D857" s="0" t="n">
        <v>6261149024867</v>
      </c>
      <c r="E857" s="94" t="s">
        <v>364</v>
      </c>
      <c r="F857" s="0" t="n">
        <v>1</v>
      </c>
      <c r="G857" s="0" t="n">
        <v>10</v>
      </c>
      <c r="I857" s="0" t="n">
        <v>10</v>
      </c>
      <c r="J857" s="0" t="n">
        <v>7</v>
      </c>
    </row>
    <row r="858" customFormat="false" ht="15" hidden="false" customHeight="false" outlineLevel="0" collapsed="false">
      <c r="A858" s="0" t="n">
        <v>10200</v>
      </c>
      <c r="B858" s="0" t="s">
        <v>95</v>
      </c>
      <c r="C858" s="0" t="n">
        <v>858</v>
      </c>
      <c r="D858" s="0" t="n">
        <v>6260026101066</v>
      </c>
      <c r="E858" s="94" t="s">
        <v>221</v>
      </c>
      <c r="F858" s="0" t="n">
        <v>1</v>
      </c>
      <c r="G858" s="0" t="n">
        <v>180</v>
      </c>
      <c r="I858" s="0" t="n">
        <v>180</v>
      </c>
      <c r="J858" s="0" t="n">
        <v>7</v>
      </c>
    </row>
    <row r="859" customFormat="false" ht="15" hidden="false" customHeight="false" outlineLevel="0" collapsed="false">
      <c r="A859" s="0" t="n">
        <v>10201</v>
      </c>
      <c r="B859" s="0" t="s">
        <v>95</v>
      </c>
      <c r="C859" s="0" t="n">
        <v>859</v>
      </c>
      <c r="D859" s="0" t="n">
        <v>2112265425554</v>
      </c>
      <c r="E859" s="94" t="s">
        <v>220</v>
      </c>
      <c r="F859" s="0" t="n">
        <v>1</v>
      </c>
      <c r="G859" s="0" t="n">
        <v>35</v>
      </c>
      <c r="I859" s="0" t="n">
        <v>35</v>
      </c>
      <c r="J859" s="0" t="n">
        <v>7</v>
      </c>
    </row>
    <row r="860" customFormat="false" ht="15" hidden="false" customHeight="false" outlineLevel="0" collapsed="false">
      <c r="A860" s="0" t="n">
        <v>10202</v>
      </c>
      <c r="B860" s="0" t="s">
        <v>95</v>
      </c>
      <c r="C860" s="0" t="n">
        <v>860</v>
      </c>
      <c r="D860" s="0" t="n">
        <v>2300</v>
      </c>
      <c r="E860" s="94" t="s">
        <v>344</v>
      </c>
      <c r="F860" s="0" t="n">
        <v>1</v>
      </c>
      <c r="G860" s="0" t="n">
        <v>25</v>
      </c>
      <c r="I860" s="0" t="n">
        <v>25</v>
      </c>
      <c r="J860" s="0" t="n">
        <v>7</v>
      </c>
    </row>
    <row r="861" customFormat="false" ht="15" hidden="false" customHeight="false" outlineLevel="0" collapsed="false">
      <c r="A861" s="0" t="n">
        <v>10202</v>
      </c>
      <c r="B861" s="0" t="s">
        <v>95</v>
      </c>
      <c r="C861" s="0" t="n">
        <v>861</v>
      </c>
      <c r="D861" s="0" t="n">
        <v>225822517542789</v>
      </c>
      <c r="E861" s="94" t="s">
        <v>429</v>
      </c>
      <c r="F861" s="0" t="n">
        <v>1</v>
      </c>
      <c r="G861" s="0" t="n">
        <v>10</v>
      </c>
      <c r="I861" s="0" t="n">
        <v>10</v>
      </c>
      <c r="J861" s="0" t="n">
        <v>8</v>
      </c>
    </row>
    <row r="862" customFormat="false" ht="15" hidden="false" customHeight="false" outlineLevel="0" collapsed="false">
      <c r="A862" s="0" t="n">
        <v>10202</v>
      </c>
      <c r="B862" s="0" t="s">
        <v>95</v>
      </c>
      <c r="C862" s="0" t="n">
        <v>862</v>
      </c>
      <c r="D862" s="0" t="n">
        <v>6260000771995</v>
      </c>
      <c r="E862" s="94" t="s">
        <v>341</v>
      </c>
      <c r="F862" s="0" t="n">
        <v>1</v>
      </c>
      <c r="G862" s="0" t="n">
        <v>25</v>
      </c>
      <c r="I862" s="0" t="n">
        <v>25</v>
      </c>
      <c r="J862" s="0" t="n">
        <v>9</v>
      </c>
    </row>
    <row r="863" customFormat="false" ht="15" hidden="false" customHeight="false" outlineLevel="0" collapsed="false">
      <c r="A863" s="0" t="n">
        <v>10202</v>
      </c>
      <c r="B863" s="0" t="s">
        <v>95</v>
      </c>
      <c r="C863" s="0" t="n">
        <v>863</v>
      </c>
      <c r="D863" s="0" t="n">
        <v>6260737001631</v>
      </c>
      <c r="E863" s="94" t="s">
        <v>197</v>
      </c>
      <c r="F863" s="0" t="n">
        <v>1</v>
      </c>
      <c r="G863" s="0" t="n">
        <v>10</v>
      </c>
      <c r="I863" s="0" t="n">
        <v>10</v>
      </c>
      <c r="J863" s="0" t="n">
        <v>10</v>
      </c>
    </row>
    <row r="864" customFormat="false" ht="15" hidden="false" customHeight="false" outlineLevel="0" collapsed="false">
      <c r="A864" s="0" t="n">
        <v>10202</v>
      </c>
      <c r="B864" s="0" t="s">
        <v>95</v>
      </c>
      <c r="C864" s="0" t="n">
        <v>864</v>
      </c>
      <c r="D864" s="0" t="n">
        <v>6260737001631</v>
      </c>
      <c r="E864" s="94" t="s">
        <v>197</v>
      </c>
      <c r="F864" s="0" t="n">
        <v>1</v>
      </c>
      <c r="G864" s="0" t="n">
        <v>10</v>
      </c>
      <c r="I864" s="0" t="n">
        <v>10</v>
      </c>
      <c r="J864" s="0" t="n">
        <v>11</v>
      </c>
    </row>
    <row r="865" customFormat="false" ht="15" hidden="false" customHeight="false" outlineLevel="0" collapsed="false">
      <c r="A865" s="0" t="n">
        <v>10202</v>
      </c>
      <c r="B865" s="0" t="s">
        <v>95</v>
      </c>
      <c r="C865" s="0" t="n">
        <v>865</v>
      </c>
      <c r="D865" s="0" t="n">
        <v>6260079211323</v>
      </c>
      <c r="E865" s="94" t="s">
        <v>163</v>
      </c>
      <c r="F865" s="0" t="n">
        <v>1</v>
      </c>
      <c r="G865" s="0" t="n">
        <v>35</v>
      </c>
      <c r="I865" s="0" t="n">
        <v>35</v>
      </c>
      <c r="J865" s="0" t="n">
        <v>12</v>
      </c>
    </row>
    <row r="866" customFormat="false" ht="15" hidden="false" customHeight="false" outlineLevel="0" collapsed="false">
      <c r="A866" s="0" t="n">
        <v>10202</v>
      </c>
      <c r="B866" s="0" t="s">
        <v>95</v>
      </c>
      <c r="C866" s="0" t="n">
        <v>866</v>
      </c>
      <c r="D866" s="0" t="n">
        <v>6261149024867</v>
      </c>
      <c r="E866" s="94" t="s">
        <v>364</v>
      </c>
      <c r="F866" s="0" t="n">
        <v>1</v>
      </c>
      <c r="G866" s="0" t="n">
        <v>10</v>
      </c>
      <c r="I866" s="0" t="n">
        <v>10</v>
      </c>
      <c r="J866" s="0" t="n">
        <v>13</v>
      </c>
    </row>
    <row r="867" customFormat="false" ht="15" hidden="false" customHeight="false" outlineLevel="0" collapsed="false">
      <c r="A867" s="0" t="n">
        <v>10202</v>
      </c>
      <c r="B867" s="0" t="s">
        <v>95</v>
      </c>
      <c r="C867" s="0" t="n">
        <v>867</v>
      </c>
      <c r="D867" s="0" t="n">
        <v>6261149024867</v>
      </c>
      <c r="E867" s="94" t="s">
        <v>364</v>
      </c>
      <c r="F867" s="0" t="n">
        <v>1</v>
      </c>
      <c r="G867" s="0" t="n">
        <v>10</v>
      </c>
      <c r="I867" s="0" t="n">
        <v>10</v>
      </c>
      <c r="J867" s="0" t="n">
        <v>14</v>
      </c>
    </row>
    <row r="868" customFormat="false" ht="15" hidden="false" customHeight="false" outlineLevel="0" collapsed="false">
      <c r="A868" s="0" t="n">
        <v>10202</v>
      </c>
      <c r="B868" s="0" t="s">
        <v>95</v>
      </c>
      <c r="C868" s="0" t="n">
        <v>868</v>
      </c>
      <c r="D868" s="0" t="n">
        <v>6260469900509</v>
      </c>
      <c r="E868" s="94" t="s">
        <v>304</v>
      </c>
      <c r="F868" s="0" t="n">
        <v>1</v>
      </c>
      <c r="G868" s="0" t="n">
        <v>12</v>
      </c>
      <c r="I868" s="0" t="n">
        <v>12</v>
      </c>
      <c r="J868" s="0" t="n">
        <v>15</v>
      </c>
    </row>
    <row r="869" customFormat="false" ht="15" hidden="false" customHeight="false" outlineLevel="0" collapsed="false">
      <c r="A869" s="0" t="n">
        <v>10202</v>
      </c>
      <c r="B869" s="0" t="s">
        <v>95</v>
      </c>
      <c r="C869" s="0" t="n">
        <v>869</v>
      </c>
      <c r="D869" s="0" t="n">
        <v>6260469900509</v>
      </c>
      <c r="E869" s="94" t="s">
        <v>304</v>
      </c>
      <c r="F869" s="0" t="n">
        <v>1</v>
      </c>
      <c r="G869" s="0" t="n">
        <v>12</v>
      </c>
      <c r="I869" s="0" t="n">
        <v>12</v>
      </c>
      <c r="J869" s="0" t="n">
        <v>16</v>
      </c>
    </row>
    <row r="870" customFormat="false" ht="15" hidden="false" customHeight="false" outlineLevel="0" collapsed="false">
      <c r="A870" s="0" t="n">
        <v>10202</v>
      </c>
      <c r="B870" s="0" t="s">
        <v>95</v>
      </c>
      <c r="C870" s="0" t="n">
        <v>870</v>
      </c>
      <c r="D870" s="0" t="n">
        <v>6260543504289</v>
      </c>
      <c r="E870" s="94" t="s">
        <v>301</v>
      </c>
      <c r="F870" s="0" t="n">
        <v>1</v>
      </c>
      <c r="G870" s="0" t="n">
        <v>15</v>
      </c>
      <c r="I870" s="0" t="n">
        <v>15</v>
      </c>
      <c r="J870" s="0" t="n">
        <v>17</v>
      </c>
    </row>
    <row r="871" customFormat="false" ht="15" hidden="false" customHeight="false" outlineLevel="0" collapsed="false">
      <c r="A871" s="0" t="n">
        <v>10202</v>
      </c>
      <c r="B871" s="0" t="s">
        <v>95</v>
      </c>
      <c r="C871" s="0" t="n">
        <v>871</v>
      </c>
      <c r="D871" s="0" t="n">
        <v>6260501000440</v>
      </c>
      <c r="E871" s="94" t="s">
        <v>174</v>
      </c>
      <c r="F871" s="0" t="n">
        <v>1</v>
      </c>
      <c r="G871" s="0" t="n">
        <v>10</v>
      </c>
      <c r="I871" s="0" t="n">
        <v>10</v>
      </c>
      <c r="J871" s="0" t="n">
        <v>18</v>
      </c>
    </row>
    <row r="872" customFormat="false" ht="15" hidden="false" customHeight="false" outlineLevel="0" collapsed="false">
      <c r="A872" s="0" t="n">
        <v>10202</v>
      </c>
      <c r="B872" s="0" t="s">
        <v>95</v>
      </c>
      <c r="C872" s="0" t="n">
        <v>872</v>
      </c>
      <c r="D872" s="0" t="n">
        <v>6260543505682</v>
      </c>
      <c r="E872" s="94" t="s">
        <v>358</v>
      </c>
      <c r="F872" s="0" t="n">
        <v>1</v>
      </c>
      <c r="G872" s="0" t="n">
        <v>5</v>
      </c>
      <c r="I872" s="0" t="n">
        <v>5</v>
      </c>
      <c r="J872" s="0" t="n">
        <v>19</v>
      </c>
    </row>
    <row r="873" customFormat="false" ht="15" hidden="false" customHeight="false" outlineLevel="0" collapsed="false">
      <c r="A873" s="0" t="n">
        <v>10202</v>
      </c>
      <c r="B873" s="0" t="s">
        <v>95</v>
      </c>
      <c r="C873" s="0" t="n">
        <v>873</v>
      </c>
      <c r="D873" s="0" t="n">
        <v>6260053186333</v>
      </c>
      <c r="E873" s="94" t="s">
        <v>354</v>
      </c>
      <c r="F873" s="0" t="n">
        <v>1</v>
      </c>
      <c r="G873" s="0" t="n">
        <v>18</v>
      </c>
      <c r="I873" s="0" t="n">
        <v>18</v>
      </c>
      <c r="J873" s="0" t="n">
        <v>20</v>
      </c>
    </row>
    <row r="874" customFormat="false" ht="15" hidden="false" customHeight="false" outlineLevel="0" collapsed="false">
      <c r="A874" s="0" t="n">
        <v>10202</v>
      </c>
      <c r="B874" s="0" t="s">
        <v>95</v>
      </c>
      <c r="C874" s="0" t="n">
        <v>874</v>
      </c>
      <c r="D874" s="0" t="n">
        <v>6269988500269</v>
      </c>
      <c r="E874" s="94" t="s">
        <v>379</v>
      </c>
      <c r="F874" s="0" t="n">
        <v>1</v>
      </c>
      <c r="G874" s="0" t="n">
        <v>12</v>
      </c>
      <c r="I874" s="0" t="n">
        <v>12</v>
      </c>
      <c r="J874" s="0" t="n">
        <v>21</v>
      </c>
    </row>
    <row r="875" customFormat="false" ht="15" hidden="false" customHeight="false" outlineLevel="0" collapsed="false">
      <c r="A875" s="0" t="n">
        <v>10202</v>
      </c>
      <c r="B875" s="0" t="s">
        <v>95</v>
      </c>
      <c r="C875" s="0" t="n">
        <v>875</v>
      </c>
      <c r="D875" s="0" t="n">
        <v>6261005083984</v>
      </c>
      <c r="E875" s="94" t="s">
        <v>169</v>
      </c>
      <c r="F875" s="0" t="n">
        <v>1</v>
      </c>
      <c r="G875" s="0" t="n">
        <v>25</v>
      </c>
      <c r="I875" s="0" t="n">
        <v>25</v>
      </c>
      <c r="J875" s="0" t="n">
        <v>22</v>
      </c>
    </row>
    <row r="876" customFormat="false" ht="15" hidden="false" customHeight="false" outlineLevel="0" collapsed="false">
      <c r="A876" s="0" t="n">
        <v>10202</v>
      </c>
      <c r="B876" s="0" t="s">
        <v>95</v>
      </c>
      <c r="C876" s="0" t="n">
        <v>876</v>
      </c>
      <c r="D876" s="0" t="n">
        <v>6260000700025</v>
      </c>
      <c r="E876" s="94" t="s">
        <v>339</v>
      </c>
      <c r="F876" s="0" t="n">
        <v>2</v>
      </c>
      <c r="G876" s="0" t="n">
        <v>8</v>
      </c>
      <c r="I876" s="0" t="n">
        <v>16</v>
      </c>
      <c r="J876" s="0" t="n">
        <v>23</v>
      </c>
    </row>
    <row r="877" customFormat="false" ht="15" hidden="false" customHeight="false" outlineLevel="0" collapsed="false">
      <c r="A877" s="0" t="n">
        <v>10203</v>
      </c>
      <c r="B877" s="0" t="s">
        <v>95</v>
      </c>
      <c r="C877" s="0" t="n">
        <v>877</v>
      </c>
      <c r="D877" s="0" t="n">
        <v>6260002926331</v>
      </c>
      <c r="E877" s="94" t="s">
        <v>440</v>
      </c>
      <c r="F877" s="0" t="n">
        <v>1</v>
      </c>
      <c r="G877" s="0" t="n">
        <v>25</v>
      </c>
      <c r="I877" s="0" t="n">
        <v>25</v>
      </c>
      <c r="J877" s="0" t="n">
        <v>7</v>
      </c>
    </row>
    <row r="878" customFormat="false" ht="15" hidden="false" customHeight="false" outlineLevel="0" collapsed="false">
      <c r="A878" s="0" t="n">
        <v>10204</v>
      </c>
      <c r="B878" s="0" t="s">
        <v>95</v>
      </c>
      <c r="C878" s="0" t="n">
        <v>878</v>
      </c>
      <c r="D878" s="0" t="n">
        <v>6269365700077</v>
      </c>
      <c r="E878" s="94" t="s">
        <v>390</v>
      </c>
      <c r="F878" s="0" t="n">
        <v>10</v>
      </c>
      <c r="G878" s="0" t="n">
        <v>18</v>
      </c>
      <c r="I878" s="0" t="n">
        <v>180</v>
      </c>
      <c r="J878" s="0" t="n">
        <v>7</v>
      </c>
    </row>
    <row r="879" customFormat="false" ht="15" hidden="false" customHeight="false" outlineLevel="0" collapsed="false">
      <c r="A879" s="0" t="n">
        <v>10205</v>
      </c>
      <c r="B879" s="0" t="s">
        <v>95</v>
      </c>
      <c r="C879" s="0" t="n">
        <v>879</v>
      </c>
      <c r="D879" s="0" t="n">
        <v>6265826100134</v>
      </c>
      <c r="E879" s="94" t="s">
        <v>388</v>
      </c>
      <c r="F879" s="0" t="n">
        <v>1</v>
      </c>
      <c r="G879" s="0" t="n">
        <v>21</v>
      </c>
      <c r="I879" s="0" t="n">
        <v>21</v>
      </c>
      <c r="J879" s="0" t="n">
        <v>7</v>
      </c>
    </row>
    <row r="880" customFormat="false" ht="15" hidden="false" customHeight="false" outlineLevel="0" collapsed="false">
      <c r="A880" s="0" t="n">
        <v>10206</v>
      </c>
      <c r="B880" s="0" t="s">
        <v>95</v>
      </c>
      <c r="C880" s="0" t="n">
        <v>880</v>
      </c>
      <c r="D880" s="0" t="n">
        <v>8458412400024</v>
      </c>
      <c r="E880" s="94" t="s">
        <v>293</v>
      </c>
      <c r="F880" s="0" t="n">
        <v>1</v>
      </c>
      <c r="G880" s="0" t="n">
        <v>9</v>
      </c>
      <c r="I880" s="0" t="n">
        <v>9</v>
      </c>
      <c r="J880" s="0" t="n">
        <v>7</v>
      </c>
    </row>
    <row r="881" customFormat="false" ht="15" hidden="false" customHeight="false" outlineLevel="0" collapsed="false">
      <c r="A881" s="0" t="n">
        <v>10207</v>
      </c>
      <c r="B881" s="0" t="s">
        <v>95</v>
      </c>
      <c r="C881" s="0" t="n">
        <v>881</v>
      </c>
      <c r="D881" s="0" t="n">
        <v>2900</v>
      </c>
      <c r="E881" s="94" t="s">
        <v>455</v>
      </c>
      <c r="F881" s="0" t="n">
        <v>0.12</v>
      </c>
      <c r="G881" s="0" t="n">
        <v>180</v>
      </c>
      <c r="I881" s="0" t="n">
        <v>21.6</v>
      </c>
      <c r="J881" s="0" t="n">
        <v>7</v>
      </c>
    </row>
    <row r="882" customFormat="false" ht="15" hidden="false" customHeight="false" outlineLevel="0" collapsed="false">
      <c r="A882" s="0" t="n">
        <v>10207</v>
      </c>
      <c r="B882" s="0" t="s">
        <v>95</v>
      </c>
      <c r="C882" s="0" t="n">
        <v>882</v>
      </c>
      <c r="D882" s="0" t="n">
        <v>3000</v>
      </c>
      <c r="E882" s="94" t="s">
        <v>166</v>
      </c>
      <c r="F882" s="0" t="n">
        <v>0.055</v>
      </c>
      <c r="G882" s="0" t="n">
        <v>700</v>
      </c>
      <c r="I882" s="0" t="n">
        <v>38.5</v>
      </c>
      <c r="J882" s="0" t="n">
        <v>8</v>
      </c>
    </row>
    <row r="883" customFormat="false" ht="15" hidden="false" customHeight="false" outlineLevel="0" collapsed="false">
      <c r="A883" s="0" t="n">
        <v>10208</v>
      </c>
      <c r="B883" s="0" t="s">
        <v>95</v>
      </c>
      <c r="C883" s="0" t="n">
        <v>883</v>
      </c>
      <c r="D883" s="0" t="n">
        <v>6261422503003</v>
      </c>
      <c r="E883" s="94" t="s">
        <v>436</v>
      </c>
      <c r="F883" s="0" t="n">
        <v>1</v>
      </c>
      <c r="G883" s="0" t="n">
        <v>30</v>
      </c>
      <c r="I883" s="0" t="n">
        <v>30</v>
      </c>
      <c r="J883" s="0" t="n">
        <v>7</v>
      </c>
    </row>
    <row r="884" customFormat="false" ht="15" hidden="false" customHeight="false" outlineLevel="0" collapsed="false">
      <c r="A884" s="0" t="n">
        <v>10209</v>
      </c>
      <c r="B884" s="0" t="s">
        <v>95</v>
      </c>
      <c r="C884" s="0" t="n">
        <v>884</v>
      </c>
      <c r="D884" s="0" t="n">
        <v>6260567101723</v>
      </c>
      <c r="E884" s="94" t="s">
        <v>337</v>
      </c>
      <c r="F884" s="0" t="n">
        <v>3</v>
      </c>
      <c r="G884" s="0" t="n">
        <v>7</v>
      </c>
      <c r="I884" s="0" t="n">
        <v>21</v>
      </c>
      <c r="J884" s="0" t="n">
        <v>7</v>
      </c>
    </row>
    <row r="885" customFormat="false" ht="15" hidden="false" customHeight="false" outlineLevel="0" collapsed="false">
      <c r="A885" s="0" t="n">
        <v>10210</v>
      </c>
      <c r="B885" s="0" t="s">
        <v>95</v>
      </c>
      <c r="C885" s="0" t="n">
        <v>885</v>
      </c>
      <c r="D885" s="0" t="n">
        <v>6260308310278</v>
      </c>
      <c r="E885" s="94" t="s">
        <v>165</v>
      </c>
      <c r="F885" s="0" t="n">
        <v>1</v>
      </c>
      <c r="G885" s="0" t="n">
        <v>80</v>
      </c>
      <c r="I885" s="0" t="n">
        <v>80</v>
      </c>
      <c r="J885" s="0" t="n">
        <v>7</v>
      </c>
    </row>
    <row r="886" customFormat="false" ht="15" hidden="false" customHeight="false" outlineLevel="0" collapsed="false">
      <c r="A886" s="0" t="n">
        <v>10211</v>
      </c>
      <c r="B886" s="0" t="s">
        <v>95</v>
      </c>
      <c r="C886" s="0" t="n">
        <v>886</v>
      </c>
      <c r="D886" s="0" t="n">
        <v>6260002926331</v>
      </c>
      <c r="E886" s="94" t="s">
        <v>440</v>
      </c>
      <c r="F886" s="0" t="n">
        <v>1</v>
      </c>
      <c r="G886" s="0" t="n">
        <v>25</v>
      </c>
      <c r="I886" s="0" t="n">
        <v>25</v>
      </c>
      <c r="J886" s="0" t="n">
        <v>7</v>
      </c>
    </row>
    <row r="887" customFormat="false" ht="15" hidden="false" customHeight="false" outlineLevel="0" collapsed="false">
      <c r="A887" s="0" t="n">
        <v>10212</v>
      </c>
      <c r="B887" s="0" t="s">
        <v>95</v>
      </c>
      <c r="C887" s="0" t="n">
        <v>887</v>
      </c>
      <c r="D887" s="0" t="n">
        <v>6260806400068</v>
      </c>
      <c r="E887" s="94" t="s">
        <v>161</v>
      </c>
      <c r="F887" s="0" t="n">
        <v>1</v>
      </c>
      <c r="G887" s="0" t="n">
        <v>35</v>
      </c>
      <c r="I887" s="0" t="n">
        <v>35</v>
      </c>
      <c r="J887" s="0" t="n">
        <v>7</v>
      </c>
    </row>
    <row r="888" customFormat="false" ht="15" hidden="false" customHeight="false" outlineLevel="0" collapsed="false">
      <c r="A888" s="0" t="n">
        <v>10212</v>
      </c>
      <c r="B888" s="0" t="s">
        <v>95</v>
      </c>
      <c r="C888" s="0" t="n">
        <v>888</v>
      </c>
      <c r="D888" s="0" t="n">
        <v>6260079211323</v>
      </c>
      <c r="E888" s="94" t="s">
        <v>163</v>
      </c>
      <c r="F888" s="0" t="n">
        <v>1</v>
      </c>
      <c r="G888" s="0" t="n">
        <v>35</v>
      </c>
      <c r="I888" s="0" t="n">
        <v>35</v>
      </c>
      <c r="J888" s="0" t="n">
        <v>8</v>
      </c>
    </row>
    <row r="889" customFormat="false" ht="15" hidden="false" customHeight="false" outlineLevel="0" collapsed="false">
      <c r="A889" s="0" t="n">
        <v>10212</v>
      </c>
      <c r="B889" s="0" t="s">
        <v>95</v>
      </c>
      <c r="C889" s="0" t="n">
        <v>889</v>
      </c>
      <c r="D889" s="0" t="n">
        <v>6260308310278</v>
      </c>
      <c r="E889" s="94" t="s">
        <v>165</v>
      </c>
      <c r="F889" s="0" t="n">
        <v>1</v>
      </c>
      <c r="G889" s="0" t="n">
        <v>80</v>
      </c>
      <c r="I889" s="0" t="n">
        <v>80</v>
      </c>
      <c r="J889" s="0" t="n">
        <v>9</v>
      </c>
    </row>
    <row r="890" customFormat="false" ht="15" hidden="false" customHeight="false" outlineLevel="0" collapsed="false">
      <c r="A890" s="0" t="n">
        <v>10213</v>
      </c>
      <c r="B890" s="0" t="s">
        <v>95</v>
      </c>
      <c r="C890" s="0" t="n">
        <v>890</v>
      </c>
      <c r="D890" s="0" t="n">
        <v>6261178411010</v>
      </c>
      <c r="E890" s="94" t="s">
        <v>298</v>
      </c>
      <c r="F890" s="0" t="n">
        <v>1</v>
      </c>
      <c r="G890" s="0" t="n">
        <v>15</v>
      </c>
      <c r="I890" s="0" t="n">
        <v>15</v>
      </c>
      <c r="J890" s="0" t="n">
        <v>7</v>
      </c>
    </row>
    <row r="891" customFormat="false" ht="15" hidden="false" customHeight="false" outlineLevel="0" collapsed="false">
      <c r="A891" s="0" t="n">
        <v>10213</v>
      </c>
      <c r="B891" s="0" t="s">
        <v>95</v>
      </c>
      <c r="C891" s="0" t="n">
        <v>891</v>
      </c>
      <c r="D891" s="0" t="n">
        <v>6260543504791</v>
      </c>
      <c r="E891" s="94" t="s">
        <v>443</v>
      </c>
      <c r="F891" s="0" t="n">
        <v>1</v>
      </c>
      <c r="G891" s="0" t="n">
        <v>5</v>
      </c>
      <c r="I891" s="0" t="n">
        <v>5</v>
      </c>
      <c r="J891" s="0" t="n">
        <v>8</v>
      </c>
    </row>
    <row r="892" customFormat="false" ht="15" hidden="false" customHeight="false" outlineLevel="0" collapsed="false">
      <c r="A892" s="0" t="n">
        <v>10214</v>
      </c>
      <c r="B892" s="0" t="s">
        <v>95</v>
      </c>
      <c r="C892" s="0" t="n">
        <v>892</v>
      </c>
      <c r="D892" s="0" t="n">
        <v>6269365700077</v>
      </c>
      <c r="E892" s="94" t="s">
        <v>390</v>
      </c>
      <c r="F892" s="0" t="n">
        <v>2</v>
      </c>
      <c r="G892" s="0" t="n">
        <v>18</v>
      </c>
      <c r="I892" s="0" t="n">
        <v>36</v>
      </c>
      <c r="J892" s="0" t="n">
        <v>7</v>
      </c>
    </row>
    <row r="893" customFormat="false" ht="15" hidden="false" customHeight="false" outlineLevel="0" collapsed="false">
      <c r="A893" s="0" t="n">
        <v>10215</v>
      </c>
      <c r="B893" s="0" t="s">
        <v>95</v>
      </c>
      <c r="C893" s="0" t="n">
        <v>893</v>
      </c>
      <c r="D893" s="0" t="n">
        <v>6260063298149</v>
      </c>
      <c r="E893" s="94" t="s">
        <v>419</v>
      </c>
      <c r="F893" s="0" t="n">
        <v>2</v>
      </c>
      <c r="G893" s="0" t="n">
        <v>15</v>
      </c>
      <c r="I893" s="0" t="n">
        <v>30</v>
      </c>
      <c r="J893" s="0" t="n">
        <v>7</v>
      </c>
    </row>
    <row r="894" customFormat="false" ht="15" hidden="false" customHeight="false" outlineLevel="0" collapsed="false">
      <c r="A894" s="0" t="n">
        <v>10215</v>
      </c>
      <c r="B894" s="0" t="s">
        <v>95</v>
      </c>
      <c r="C894" s="0" t="n">
        <v>894</v>
      </c>
      <c r="D894" s="0" t="n">
        <v>6260575904279</v>
      </c>
      <c r="E894" s="94" t="s">
        <v>357</v>
      </c>
      <c r="F894" s="0" t="n">
        <v>1</v>
      </c>
      <c r="G894" s="0" t="n">
        <v>10</v>
      </c>
      <c r="I894" s="0" t="n">
        <v>10</v>
      </c>
      <c r="J894" s="0" t="n">
        <v>8</v>
      </c>
    </row>
    <row r="895" customFormat="false" ht="15" hidden="false" customHeight="false" outlineLevel="0" collapsed="false">
      <c r="A895" s="0" t="n">
        <v>10216</v>
      </c>
      <c r="B895" s="0" t="s">
        <v>95</v>
      </c>
      <c r="C895" s="0" t="n">
        <v>895</v>
      </c>
      <c r="D895" s="0" t="n">
        <v>6264078402324</v>
      </c>
      <c r="E895" s="94" t="s">
        <v>424</v>
      </c>
      <c r="F895" s="0" t="n">
        <v>1</v>
      </c>
      <c r="G895" s="0" t="n">
        <v>10</v>
      </c>
      <c r="I895" s="0" t="n">
        <v>10</v>
      </c>
      <c r="J895" s="0" t="n">
        <v>7</v>
      </c>
    </row>
    <row r="896" customFormat="false" ht="15" hidden="false" customHeight="false" outlineLevel="0" collapsed="false">
      <c r="A896" s="0" t="n">
        <v>10216</v>
      </c>
      <c r="B896" s="0" t="s">
        <v>95</v>
      </c>
      <c r="C896" s="0" t="n">
        <v>896</v>
      </c>
      <c r="D896" s="0" t="n">
        <v>6264078408005</v>
      </c>
      <c r="E896" s="94" t="s">
        <v>428</v>
      </c>
      <c r="F896" s="0" t="n">
        <v>1</v>
      </c>
      <c r="G896" s="0" t="n">
        <v>10</v>
      </c>
      <c r="I896" s="0" t="n">
        <v>10</v>
      </c>
      <c r="J896" s="0" t="n">
        <v>8</v>
      </c>
    </row>
    <row r="897" customFormat="false" ht="15" hidden="false" customHeight="false" outlineLevel="0" collapsed="false">
      <c r="A897" s="0" t="n">
        <v>10216</v>
      </c>
      <c r="B897" s="0" t="s">
        <v>95</v>
      </c>
      <c r="C897" s="0" t="n">
        <v>897</v>
      </c>
      <c r="D897" s="0" t="n">
        <v>6260063214255</v>
      </c>
      <c r="E897" s="94" t="s">
        <v>423</v>
      </c>
      <c r="F897" s="0" t="n">
        <v>1</v>
      </c>
      <c r="G897" s="0" t="n">
        <v>10</v>
      </c>
      <c r="I897" s="0" t="n">
        <v>10</v>
      </c>
      <c r="J897" s="0" t="n">
        <v>9</v>
      </c>
    </row>
    <row r="898" customFormat="false" ht="15" hidden="false" customHeight="false" outlineLevel="0" collapsed="false">
      <c r="A898" s="0" t="n">
        <v>10216</v>
      </c>
      <c r="B898" s="0" t="s">
        <v>95</v>
      </c>
      <c r="C898" s="0" t="n">
        <v>898</v>
      </c>
      <c r="D898" s="0" t="n">
        <v>6260543504791</v>
      </c>
      <c r="E898" s="94" t="s">
        <v>443</v>
      </c>
      <c r="F898" s="0" t="n">
        <v>2</v>
      </c>
      <c r="G898" s="0" t="n">
        <v>5</v>
      </c>
      <c r="I898" s="0" t="n">
        <v>10</v>
      </c>
      <c r="J898" s="0" t="n">
        <v>10</v>
      </c>
    </row>
    <row r="899" customFormat="false" ht="15" hidden="false" customHeight="false" outlineLevel="0" collapsed="false">
      <c r="A899" s="0" t="n">
        <v>10216</v>
      </c>
      <c r="B899" s="0" t="s">
        <v>95</v>
      </c>
      <c r="C899" s="0" t="n">
        <v>899</v>
      </c>
      <c r="D899" s="0" t="n">
        <v>7500</v>
      </c>
      <c r="E899" s="94" t="s">
        <v>318</v>
      </c>
      <c r="F899" s="0" t="n">
        <v>1</v>
      </c>
      <c r="G899" s="0" t="n">
        <v>2</v>
      </c>
      <c r="I899" s="0" t="n">
        <v>2</v>
      </c>
      <c r="J899" s="0" t="n">
        <v>11</v>
      </c>
    </row>
    <row r="900" customFormat="false" ht="15" hidden="false" customHeight="false" outlineLevel="0" collapsed="false">
      <c r="A900" s="0" t="n">
        <v>10216</v>
      </c>
      <c r="B900" s="0" t="s">
        <v>95</v>
      </c>
      <c r="C900" s="0" t="n">
        <v>900</v>
      </c>
      <c r="D900" s="0" t="n">
        <v>6264078411593</v>
      </c>
      <c r="E900" s="94" t="s">
        <v>426</v>
      </c>
      <c r="F900" s="0" t="n">
        <v>3</v>
      </c>
      <c r="G900" s="0" t="n">
        <v>10</v>
      </c>
      <c r="I900" s="0" t="n">
        <v>30</v>
      </c>
      <c r="J900" s="0" t="n">
        <v>12</v>
      </c>
    </row>
    <row r="901" customFormat="false" ht="15" hidden="false" customHeight="false" outlineLevel="0" collapsed="false">
      <c r="A901" s="0" t="n">
        <v>10216</v>
      </c>
      <c r="B901" s="0" t="s">
        <v>95</v>
      </c>
      <c r="C901" s="0" t="n">
        <v>901</v>
      </c>
      <c r="D901" s="0" t="n">
        <v>6261178014334</v>
      </c>
      <c r="E901" s="94" t="s">
        <v>351</v>
      </c>
      <c r="F901" s="0" t="n">
        <v>2</v>
      </c>
      <c r="G901" s="0" t="n">
        <v>4</v>
      </c>
      <c r="I901" s="0" t="n">
        <v>8</v>
      </c>
      <c r="J901" s="0" t="n">
        <v>13</v>
      </c>
    </row>
    <row r="902" customFormat="false" ht="15" hidden="false" customHeight="false" outlineLevel="0" collapsed="false">
      <c r="A902" s="0" t="n">
        <v>10217</v>
      </c>
      <c r="B902" s="0" t="s">
        <v>95</v>
      </c>
      <c r="C902" s="0" t="n">
        <v>902</v>
      </c>
      <c r="D902" s="0" t="n">
        <v>6260806400020</v>
      </c>
      <c r="E902" s="94" t="s">
        <v>309</v>
      </c>
      <c r="F902" s="0" t="n">
        <v>1</v>
      </c>
      <c r="G902" s="0" t="n">
        <v>50</v>
      </c>
      <c r="I902" s="0" t="n">
        <v>50</v>
      </c>
      <c r="J902" s="0" t="n">
        <v>7</v>
      </c>
    </row>
    <row r="903" customFormat="false" ht="15" hidden="false" customHeight="false" outlineLevel="0" collapsed="false">
      <c r="A903" s="0" t="n">
        <v>10217</v>
      </c>
      <c r="B903" s="0" t="s">
        <v>95</v>
      </c>
      <c r="C903" s="0" t="n">
        <v>903</v>
      </c>
      <c r="D903" s="0" t="n">
        <v>6264078411593</v>
      </c>
      <c r="E903" s="94" t="s">
        <v>426</v>
      </c>
      <c r="F903" s="0" t="n">
        <v>2</v>
      </c>
      <c r="G903" s="0" t="n">
        <v>10</v>
      </c>
      <c r="I903" s="0" t="n">
        <v>20</v>
      </c>
      <c r="J903" s="0" t="n">
        <v>8</v>
      </c>
    </row>
    <row r="904" customFormat="false" ht="15" hidden="false" customHeight="false" outlineLevel="0" collapsed="false">
      <c r="A904" s="0" t="n">
        <v>10217</v>
      </c>
      <c r="B904" s="0" t="s">
        <v>95</v>
      </c>
      <c r="C904" s="0" t="n">
        <v>904</v>
      </c>
      <c r="D904" s="0" t="n">
        <v>1100</v>
      </c>
      <c r="E904" s="94" t="s">
        <v>256</v>
      </c>
      <c r="F904" s="0" t="n">
        <v>12</v>
      </c>
      <c r="G904" s="0" t="n">
        <v>3</v>
      </c>
      <c r="I904" s="0" t="n">
        <v>36</v>
      </c>
      <c r="J904" s="0" t="n">
        <v>9</v>
      </c>
    </row>
    <row r="905" customFormat="false" ht="15" hidden="false" customHeight="false" outlineLevel="0" collapsed="false">
      <c r="A905" s="0" t="n">
        <v>10218</v>
      </c>
      <c r="B905" s="0" t="s">
        <v>95</v>
      </c>
      <c r="C905" s="0" t="n">
        <v>905</v>
      </c>
      <c r="D905" s="0" t="n">
        <v>6260575904309</v>
      </c>
      <c r="E905" s="94" t="s">
        <v>356</v>
      </c>
      <c r="F905" s="0" t="n">
        <v>1</v>
      </c>
      <c r="G905" s="0" t="n">
        <v>10</v>
      </c>
      <c r="I905" s="0" t="n">
        <v>10</v>
      </c>
      <c r="J905" s="0" t="n">
        <v>7</v>
      </c>
    </row>
    <row r="906" customFormat="false" ht="15" hidden="false" customHeight="false" outlineLevel="0" collapsed="false">
      <c r="A906" s="0" t="n">
        <v>10219</v>
      </c>
      <c r="B906" s="0" t="s">
        <v>95</v>
      </c>
      <c r="C906" s="0" t="n">
        <v>906</v>
      </c>
      <c r="D906" s="0" t="n">
        <v>1169910018400000</v>
      </c>
      <c r="E906" s="94" t="s">
        <v>338</v>
      </c>
      <c r="F906" s="0" t="n">
        <v>1</v>
      </c>
      <c r="G906" s="0" t="n">
        <v>1</v>
      </c>
      <c r="I906" s="0" t="n">
        <v>1</v>
      </c>
      <c r="J906" s="0" t="n">
        <v>7</v>
      </c>
    </row>
    <row r="907" customFormat="false" ht="15" hidden="false" customHeight="false" outlineLevel="0" collapsed="false">
      <c r="A907" s="0" t="n">
        <v>10219</v>
      </c>
      <c r="B907" s="0" t="s">
        <v>95</v>
      </c>
      <c r="C907" s="0" t="n">
        <v>907</v>
      </c>
      <c r="D907" s="0" t="n">
        <v>6260474216800</v>
      </c>
      <c r="E907" s="94" t="s">
        <v>325</v>
      </c>
      <c r="F907" s="0" t="n">
        <v>1</v>
      </c>
      <c r="G907" s="0" t="n">
        <v>5</v>
      </c>
      <c r="I907" s="0" t="n">
        <v>5</v>
      </c>
      <c r="J907" s="0" t="n">
        <v>8</v>
      </c>
    </row>
    <row r="908" customFormat="false" ht="15" hidden="false" customHeight="false" outlineLevel="0" collapsed="false">
      <c r="A908" s="0" t="n">
        <v>10220</v>
      </c>
      <c r="B908" s="0" t="s">
        <v>95</v>
      </c>
      <c r="C908" s="0" t="n">
        <v>908</v>
      </c>
      <c r="D908" s="0" t="n">
        <v>1300</v>
      </c>
      <c r="E908" s="94" t="s">
        <v>268</v>
      </c>
      <c r="F908" s="0" t="n">
        <v>3</v>
      </c>
      <c r="G908" s="0" t="n">
        <v>4.5</v>
      </c>
      <c r="I908" s="0" t="n">
        <v>13.5</v>
      </c>
      <c r="J908" s="0" t="n">
        <v>7</v>
      </c>
    </row>
    <row r="909" customFormat="false" ht="15" hidden="false" customHeight="false" outlineLevel="0" collapsed="false">
      <c r="A909" s="0" t="n">
        <v>10220</v>
      </c>
      <c r="B909" s="0" t="s">
        <v>95</v>
      </c>
      <c r="C909" s="0" t="n">
        <v>909</v>
      </c>
      <c r="D909" s="0" t="n">
        <v>6260806400068</v>
      </c>
      <c r="E909" s="94" t="s">
        <v>161</v>
      </c>
      <c r="F909" s="0" t="n">
        <v>1</v>
      </c>
      <c r="G909" s="0" t="n">
        <v>35</v>
      </c>
      <c r="I909" s="0" t="n">
        <v>35</v>
      </c>
      <c r="J909" s="0" t="n">
        <v>8</v>
      </c>
    </row>
    <row r="910" customFormat="false" ht="15" hidden="false" customHeight="false" outlineLevel="0" collapsed="false">
      <c r="A910" s="0" t="n">
        <v>10221</v>
      </c>
      <c r="B910" s="0" t="s">
        <v>95</v>
      </c>
      <c r="C910" s="0" t="n">
        <v>910</v>
      </c>
      <c r="D910" s="0" t="n">
        <v>6261149146088</v>
      </c>
      <c r="E910" s="94" t="s">
        <v>314</v>
      </c>
      <c r="F910" s="0" t="n">
        <v>1</v>
      </c>
      <c r="G910" s="0" t="n">
        <v>30</v>
      </c>
      <c r="I910" s="0" t="n">
        <v>30</v>
      </c>
      <c r="J910" s="0" t="n">
        <v>7</v>
      </c>
    </row>
    <row r="911" customFormat="false" ht="15" hidden="false" customHeight="false" outlineLevel="0" collapsed="false">
      <c r="A911" s="0" t="n">
        <v>10221</v>
      </c>
      <c r="B911" s="0" t="s">
        <v>95</v>
      </c>
      <c r="C911" s="0" t="n">
        <v>911</v>
      </c>
      <c r="D911" s="0" t="n">
        <v>6261847503244</v>
      </c>
      <c r="E911" s="94" t="s">
        <v>350</v>
      </c>
      <c r="F911" s="0" t="n">
        <v>1</v>
      </c>
      <c r="G911" s="0" t="n">
        <v>18</v>
      </c>
      <c r="I911" s="0" t="n">
        <v>18</v>
      </c>
      <c r="J911" s="0" t="n">
        <v>8</v>
      </c>
    </row>
    <row r="912" customFormat="false" ht="15" hidden="false" customHeight="false" outlineLevel="0" collapsed="false">
      <c r="A912" s="0" t="n">
        <v>10221</v>
      </c>
      <c r="B912" s="0" t="s">
        <v>95</v>
      </c>
      <c r="C912" s="0" t="n">
        <v>912</v>
      </c>
      <c r="D912" s="0" t="n">
        <v>6260575904309</v>
      </c>
      <c r="E912" s="94" t="s">
        <v>356</v>
      </c>
      <c r="F912" s="0" t="n">
        <v>1</v>
      </c>
      <c r="G912" s="0" t="n">
        <v>10</v>
      </c>
      <c r="I912" s="0" t="n">
        <v>10</v>
      </c>
      <c r="J912" s="0" t="n">
        <v>9</v>
      </c>
    </row>
    <row r="913" customFormat="false" ht="15" hidden="false" customHeight="false" outlineLevel="0" collapsed="false">
      <c r="A913" s="0" t="n">
        <v>10222</v>
      </c>
      <c r="B913" s="0" t="s">
        <v>95</v>
      </c>
      <c r="C913" s="0" t="n">
        <v>913</v>
      </c>
      <c r="D913" s="0" t="n">
        <v>7400</v>
      </c>
      <c r="E913" s="94" t="s">
        <v>319</v>
      </c>
      <c r="F913" s="0" t="n">
        <v>1</v>
      </c>
      <c r="G913" s="0" t="n">
        <v>6</v>
      </c>
      <c r="I913" s="0" t="n">
        <v>6</v>
      </c>
      <c r="J913" s="0" t="n">
        <v>7</v>
      </c>
    </row>
    <row r="914" customFormat="false" ht="15" hidden="false" customHeight="false" outlineLevel="0" collapsed="false">
      <c r="A914" s="0" t="n">
        <v>10222</v>
      </c>
      <c r="B914" s="0" t="s">
        <v>95</v>
      </c>
      <c r="C914" s="0" t="n">
        <v>914</v>
      </c>
      <c r="D914" s="0" t="n">
        <v>6261149024867</v>
      </c>
      <c r="E914" s="94" t="s">
        <v>364</v>
      </c>
      <c r="F914" s="0" t="n">
        <v>1</v>
      </c>
      <c r="G914" s="0" t="n">
        <v>10</v>
      </c>
      <c r="I914" s="0" t="n">
        <v>10</v>
      </c>
      <c r="J914" s="0" t="n">
        <v>8</v>
      </c>
    </row>
    <row r="915" customFormat="false" ht="15" hidden="false" customHeight="false" outlineLevel="0" collapsed="false">
      <c r="A915" s="0" t="n">
        <v>10222</v>
      </c>
      <c r="B915" s="0" t="s">
        <v>95</v>
      </c>
      <c r="C915" s="0" t="n">
        <v>915</v>
      </c>
      <c r="D915" s="0" t="n">
        <v>6264078411616</v>
      </c>
      <c r="E915" s="94" t="s">
        <v>425</v>
      </c>
      <c r="F915" s="0" t="n">
        <v>1</v>
      </c>
      <c r="G915" s="0" t="n">
        <v>10</v>
      </c>
      <c r="I915" s="0" t="n">
        <v>10</v>
      </c>
      <c r="J915" s="0" t="n">
        <v>9</v>
      </c>
    </row>
    <row r="916" customFormat="false" ht="15" hidden="false" customHeight="false" outlineLevel="0" collapsed="false">
      <c r="A916" s="0" t="n">
        <v>10223</v>
      </c>
      <c r="B916" s="0" t="s">
        <v>95</v>
      </c>
      <c r="C916" s="0" t="n">
        <v>916</v>
      </c>
      <c r="D916" s="0" t="n">
        <v>6260063298149</v>
      </c>
      <c r="E916" s="94" t="s">
        <v>419</v>
      </c>
      <c r="F916" s="0" t="n">
        <v>1</v>
      </c>
      <c r="G916" s="0" t="n">
        <v>15</v>
      </c>
      <c r="I916" s="0" t="n">
        <v>15</v>
      </c>
      <c r="J916" s="0" t="n">
        <v>7</v>
      </c>
    </row>
    <row r="917" customFormat="false" ht="15" hidden="false" customHeight="false" outlineLevel="0" collapsed="false">
      <c r="A917" s="0" t="n">
        <v>10223</v>
      </c>
      <c r="B917" s="0" t="s">
        <v>95</v>
      </c>
      <c r="C917" s="0" t="n">
        <v>917</v>
      </c>
      <c r="D917" s="0" t="n">
        <v>6260063298149</v>
      </c>
      <c r="E917" s="94" t="s">
        <v>419</v>
      </c>
      <c r="F917" s="0" t="n">
        <v>1</v>
      </c>
      <c r="G917" s="0" t="n">
        <v>15</v>
      </c>
      <c r="I917" s="0" t="n">
        <v>15</v>
      </c>
      <c r="J917" s="0" t="n">
        <v>8</v>
      </c>
    </row>
    <row r="918" customFormat="false" ht="15" hidden="false" customHeight="false" outlineLevel="0" collapsed="false">
      <c r="A918" s="0" t="n">
        <v>10223</v>
      </c>
      <c r="B918" s="0" t="s">
        <v>95</v>
      </c>
      <c r="C918" s="0" t="n">
        <v>918</v>
      </c>
      <c r="D918" s="0" t="n">
        <v>6262036200272</v>
      </c>
      <c r="E918" s="94" t="s">
        <v>272</v>
      </c>
      <c r="F918" s="0" t="n">
        <v>3</v>
      </c>
      <c r="G918" s="0" t="n">
        <v>10</v>
      </c>
      <c r="I918" s="0" t="n">
        <v>30</v>
      </c>
      <c r="J918" s="0" t="n">
        <v>9</v>
      </c>
    </row>
    <row r="919" customFormat="false" ht="15" hidden="false" customHeight="false" outlineLevel="0" collapsed="false">
      <c r="A919" s="0" t="n">
        <v>10223</v>
      </c>
      <c r="B919" s="0" t="s">
        <v>95</v>
      </c>
      <c r="C919" s="0" t="n">
        <v>919</v>
      </c>
      <c r="D919" s="0" t="n">
        <v>6264078411616</v>
      </c>
      <c r="E919" s="94" t="s">
        <v>425</v>
      </c>
      <c r="F919" s="0" t="n">
        <v>1</v>
      </c>
      <c r="G919" s="0" t="n">
        <v>10</v>
      </c>
      <c r="I919" s="0" t="n">
        <v>10</v>
      </c>
      <c r="J919" s="0" t="n">
        <v>10</v>
      </c>
    </row>
    <row r="920" customFormat="false" ht="15" hidden="false" customHeight="false" outlineLevel="0" collapsed="false">
      <c r="A920" s="0" t="n">
        <v>10224</v>
      </c>
      <c r="B920" s="0" t="s">
        <v>95</v>
      </c>
      <c r="C920" s="0" t="n">
        <v>920</v>
      </c>
      <c r="D920" s="0" t="n">
        <v>5100</v>
      </c>
      <c r="E920" s="94" t="s">
        <v>320</v>
      </c>
      <c r="F920" s="0" t="n">
        <v>4</v>
      </c>
      <c r="G920" s="0" t="n">
        <v>2</v>
      </c>
      <c r="I920" s="0" t="n">
        <v>8</v>
      </c>
      <c r="J920" s="0" t="n">
        <v>7</v>
      </c>
    </row>
    <row r="921" customFormat="false" ht="15" hidden="false" customHeight="false" outlineLevel="0" collapsed="false">
      <c r="A921" s="0" t="n">
        <v>10224</v>
      </c>
      <c r="B921" s="0" t="s">
        <v>95</v>
      </c>
      <c r="C921" s="0" t="n">
        <v>921</v>
      </c>
      <c r="D921" s="0" t="n">
        <v>6269988500269</v>
      </c>
      <c r="E921" s="94" t="s">
        <v>379</v>
      </c>
      <c r="F921" s="0" t="n">
        <v>1</v>
      </c>
      <c r="G921" s="0" t="n">
        <v>12</v>
      </c>
      <c r="I921" s="0" t="n">
        <v>12</v>
      </c>
      <c r="J921" s="0" t="n">
        <v>8</v>
      </c>
    </row>
    <row r="922" customFormat="false" ht="15" hidden="false" customHeight="false" outlineLevel="0" collapsed="false">
      <c r="A922" s="0" t="n">
        <v>10224</v>
      </c>
      <c r="B922" s="0" t="s">
        <v>95</v>
      </c>
      <c r="C922" s="0" t="n">
        <v>922</v>
      </c>
      <c r="D922" s="0" t="n">
        <v>6260501000440</v>
      </c>
      <c r="E922" s="94" t="s">
        <v>174</v>
      </c>
      <c r="F922" s="0" t="n">
        <v>1</v>
      </c>
      <c r="G922" s="0" t="n">
        <v>10</v>
      </c>
      <c r="I922" s="0" t="n">
        <v>10</v>
      </c>
      <c r="J922" s="0" t="n">
        <v>9</v>
      </c>
    </row>
    <row r="923" customFormat="false" ht="15" hidden="false" customHeight="false" outlineLevel="0" collapsed="false">
      <c r="A923" s="0" t="n">
        <v>10225</v>
      </c>
      <c r="B923" s="0" t="s">
        <v>95</v>
      </c>
      <c r="C923" s="0" t="n">
        <v>923</v>
      </c>
      <c r="D923" s="0" t="n">
        <v>6264078410992</v>
      </c>
      <c r="E923" s="94" t="s">
        <v>420</v>
      </c>
      <c r="F923" s="0" t="n">
        <v>2</v>
      </c>
      <c r="G923" s="0" t="n">
        <v>15</v>
      </c>
      <c r="I923" s="0" t="n">
        <v>30</v>
      </c>
      <c r="J923" s="0" t="n">
        <v>7</v>
      </c>
    </row>
    <row r="924" customFormat="false" ht="15" hidden="false" customHeight="false" outlineLevel="0" collapsed="false">
      <c r="A924" s="0" t="n">
        <v>10225</v>
      </c>
      <c r="B924" s="0" t="s">
        <v>95</v>
      </c>
      <c r="C924" s="0" t="n">
        <v>924</v>
      </c>
      <c r="D924" s="0" t="n">
        <v>6264078402324</v>
      </c>
      <c r="E924" s="94" t="s">
        <v>424</v>
      </c>
      <c r="F924" s="0" t="n">
        <v>2</v>
      </c>
      <c r="G924" s="0" t="n">
        <v>10</v>
      </c>
      <c r="I924" s="0" t="n">
        <v>20</v>
      </c>
      <c r="J924" s="0" t="n">
        <v>8</v>
      </c>
    </row>
    <row r="925" customFormat="false" ht="15" hidden="false" customHeight="false" outlineLevel="0" collapsed="false">
      <c r="A925" s="0" t="n">
        <v>10225</v>
      </c>
      <c r="B925" s="0" t="s">
        <v>95</v>
      </c>
      <c r="C925" s="0" t="n">
        <v>925</v>
      </c>
      <c r="D925" s="0" t="n">
        <v>6260063202139</v>
      </c>
      <c r="E925" s="94" t="s">
        <v>416</v>
      </c>
      <c r="F925" s="0" t="n">
        <v>2</v>
      </c>
      <c r="G925" s="0" t="n">
        <v>15</v>
      </c>
      <c r="I925" s="0" t="n">
        <v>30</v>
      </c>
      <c r="J925" s="0" t="n">
        <v>9</v>
      </c>
    </row>
    <row r="926" customFormat="false" ht="15" hidden="false" customHeight="false" outlineLevel="0" collapsed="false">
      <c r="A926" s="0" t="n">
        <v>10225</v>
      </c>
      <c r="B926" s="0" t="s">
        <v>95</v>
      </c>
      <c r="C926" s="0" t="n">
        <v>926</v>
      </c>
      <c r="D926" s="0" t="n">
        <v>6264078408005</v>
      </c>
      <c r="E926" s="94" t="s">
        <v>428</v>
      </c>
      <c r="F926" s="0" t="n">
        <v>1</v>
      </c>
      <c r="G926" s="0" t="n">
        <v>10</v>
      </c>
      <c r="I926" s="0" t="n">
        <v>10</v>
      </c>
      <c r="J926" s="0" t="n">
        <v>10</v>
      </c>
    </row>
    <row r="927" customFormat="false" ht="15" hidden="false" customHeight="false" outlineLevel="0" collapsed="false">
      <c r="A927" s="0" t="n">
        <v>10225</v>
      </c>
      <c r="B927" s="0" t="s">
        <v>95</v>
      </c>
      <c r="C927" s="0" t="n">
        <v>927</v>
      </c>
      <c r="D927" s="0" t="n">
        <v>6260022324025</v>
      </c>
      <c r="E927" s="94" t="s">
        <v>308</v>
      </c>
      <c r="F927" s="0" t="n">
        <v>1</v>
      </c>
      <c r="G927" s="0" t="n">
        <v>35</v>
      </c>
      <c r="I927" s="0" t="n">
        <v>35</v>
      </c>
      <c r="J927" s="0" t="n">
        <v>11</v>
      </c>
    </row>
    <row r="928" customFormat="false" ht="15" hidden="false" customHeight="false" outlineLevel="0" collapsed="false">
      <c r="A928" s="0" t="n">
        <v>10226</v>
      </c>
      <c r="B928" s="0" t="s">
        <v>95</v>
      </c>
      <c r="C928" s="0" t="n">
        <v>928</v>
      </c>
      <c r="D928" s="0" t="n">
        <v>6262690600074</v>
      </c>
      <c r="E928" s="94" t="s">
        <v>305</v>
      </c>
      <c r="F928" s="0" t="n">
        <v>1</v>
      </c>
      <c r="G928" s="0" t="n">
        <v>6</v>
      </c>
      <c r="I928" s="0" t="n">
        <v>6</v>
      </c>
      <c r="J928" s="0" t="n">
        <v>7</v>
      </c>
    </row>
    <row r="929" customFormat="false" ht="15" hidden="false" customHeight="false" outlineLevel="0" collapsed="false">
      <c r="A929" s="0" t="n">
        <v>10226</v>
      </c>
      <c r="B929" s="0" t="s">
        <v>95</v>
      </c>
      <c r="C929" s="0" t="n">
        <v>929</v>
      </c>
      <c r="D929" s="0" t="n">
        <v>6265663103565</v>
      </c>
      <c r="E929" s="94" t="s">
        <v>299</v>
      </c>
      <c r="F929" s="0" t="n">
        <v>1</v>
      </c>
      <c r="G929" s="0" t="n">
        <v>5</v>
      </c>
      <c r="I929" s="0" t="n">
        <v>5</v>
      </c>
      <c r="J929" s="0" t="n">
        <v>8</v>
      </c>
    </row>
    <row r="930" customFormat="false" ht="15" hidden="false" customHeight="false" outlineLevel="0" collapsed="false">
      <c r="A930" s="0" t="n">
        <v>10227</v>
      </c>
      <c r="B930" s="0" t="s">
        <v>95</v>
      </c>
      <c r="C930" s="0" t="n">
        <v>930</v>
      </c>
      <c r="D930" s="0" t="n">
        <v>6262003401961</v>
      </c>
      <c r="E930" s="94" t="s">
        <v>393</v>
      </c>
      <c r="F930" s="0" t="n">
        <v>1</v>
      </c>
      <c r="G930" s="0" t="n">
        <v>55</v>
      </c>
      <c r="I930" s="0" t="n">
        <v>55</v>
      </c>
      <c r="J930" s="0" t="n">
        <v>7</v>
      </c>
    </row>
    <row r="931" customFormat="false" ht="15" hidden="false" customHeight="false" outlineLevel="0" collapsed="false">
      <c r="A931" s="0" t="n">
        <v>10227</v>
      </c>
      <c r="B931" s="0" t="s">
        <v>95</v>
      </c>
      <c r="C931" s="0" t="n">
        <v>931</v>
      </c>
      <c r="D931" s="0" t="n">
        <v>6260522300031</v>
      </c>
      <c r="E931" s="94" t="s">
        <v>421</v>
      </c>
      <c r="F931" s="0" t="n">
        <v>7</v>
      </c>
      <c r="G931" s="0" t="n">
        <v>10</v>
      </c>
      <c r="I931" s="0" t="n">
        <v>70</v>
      </c>
      <c r="J931" s="0" t="n">
        <v>8</v>
      </c>
    </row>
    <row r="932" customFormat="false" ht="15" hidden="false" customHeight="false" outlineLevel="0" collapsed="false">
      <c r="A932" s="0" t="n">
        <v>10227</v>
      </c>
      <c r="B932" s="0" t="s">
        <v>95</v>
      </c>
      <c r="C932" s="0" t="n">
        <v>932</v>
      </c>
      <c r="D932" s="0" t="n">
        <v>6260063295841</v>
      </c>
      <c r="E932" s="94" t="s">
        <v>427</v>
      </c>
      <c r="F932" s="0" t="n">
        <v>1</v>
      </c>
      <c r="G932" s="0" t="n">
        <v>10</v>
      </c>
      <c r="I932" s="0" t="n">
        <v>10</v>
      </c>
      <c r="J932" s="0" t="n">
        <v>9</v>
      </c>
    </row>
    <row r="933" customFormat="false" ht="15" hidden="false" customHeight="false" outlineLevel="0" collapsed="false">
      <c r="A933" s="0" t="n">
        <v>10228</v>
      </c>
      <c r="B933" s="0" t="s">
        <v>95</v>
      </c>
      <c r="C933" s="0" t="n">
        <v>933</v>
      </c>
      <c r="D933" s="0" t="n">
        <v>6265826100134</v>
      </c>
      <c r="E933" s="94" t="s">
        <v>388</v>
      </c>
      <c r="F933" s="0" t="n">
        <v>1</v>
      </c>
      <c r="G933" s="0" t="n">
        <v>21</v>
      </c>
      <c r="I933" s="0" t="n">
        <v>21</v>
      </c>
      <c r="J933" s="0" t="n">
        <v>7</v>
      </c>
    </row>
    <row r="934" customFormat="false" ht="15" hidden="false" customHeight="false" outlineLevel="0" collapsed="false">
      <c r="A934" s="0" t="n">
        <v>10229</v>
      </c>
      <c r="B934" s="0" t="s">
        <v>95</v>
      </c>
      <c r="C934" s="0" t="n">
        <v>934</v>
      </c>
      <c r="D934" s="0" t="n">
        <v>6260308310278</v>
      </c>
      <c r="E934" s="94" t="s">
        <v>165</v>
      </c>
      <c r="F934" s="0" t="n">
        <v>1</v>
      </c>
      <c r="G934" s="0" t="n">
        <v>80</v>
      </c>
      <c r="I934" s="0" t="n">
        <v>80</v>
      </c>
      <c r="J934" s="0" t="n">
        <v>7</v>
      </c>
    </row>
    <row r="935" customFormat="false" ht="15" hidden="false" customHeight="false" outlineLevel="0" collapsed="false">
      <c r="A935" s="0" t="n">
        <v>10229</v>
      </c>
      <c r="B935" s="0" t="s">
        <v>95</v>
      </c>
      <c r="C935" s="0" t="n">
        <v>935</v>
      </c>
      <c r="D935" s="0" t="n">
        <v>6260806400020</v>
      </c>
      <c r="E935" s="94" t="s">
        <v>309</v>
      </c>
      <c r="F935" s="0" t="n">
        <v>1</v>
      </c>
      <c r="G935" s="0" t="n">
        <v>50</v>
      </c>
      <c r="I935" s="0" t="n">
        <v>50</v>
      </c>
      <c r="J935" s="0" t="n">
        <v>8</v>
      </c>
    </row>
    <row r="936" customFormat="false" ht="15" hidden="false" customHeight="false" outlineLevel="0" collapsed="false">
      <c r="A936" s="0" t="n">
        <v>10229</v>
      </c>
      <c r="B936" s="0" t="s">
        <v>95</v>
      </c>
      <c r="C936" s="0" t="n">
        <v>936</v>
      </c>
      <c r="D936" s="0" t="n">
        <v>6260806400068</v>
      </c>
      <c r="E936" s="94" t="s">
        <v>161</v>
      </c>
      <c r="F936" s="0" t="n">
        <v>1</v>
      </c>
      <c r="G936" s="0" t="n">
        <v>35</v>
      </c>
      <c r="I936" s="0" t="n">
        <v>35</v>
      </c>
      <c r="J936" s="0" t="n">
        <v>9</v>
      </c>
    </row>
    <row r="937" customFormat="false" ht="15" hidden="false" customHeight="false" outlineLevel="0" collapsed="false">
      <c r="A937" s="0" t="n">
        <v>10230</v>
      </c>
      <c r="B937" s="0" t="s">
        <v>95</v>
      </c>
      <c r="C937" s="0" t="n">
        <v>937</v>
      </c>
      <c r="D937" s="0" t="n">
        <v>6260308301467</v>
      </c>
      <c r="E937" s="94" t="s">
        <v>430</v>
      </c>
      <c r="F937" s="0" t="n">
        <v>1</v>
      </c>
      <c r="G937" s="0" t="n">
        <v>60</v>
      </c>
      <c r="I937" s="0" t="n">
        <v>60</v>
      </c>
      <c r="J937" s="0" t="n">
        <v>7</v>
      </c>
    </row>
    <row r="938" customFormat="false" ht="15" hidden="false" customHeight="false" outlineLevel="0" collapsed="false">
      <c r="A938" s="0" t="n">
        <v>10231</v>
      </c>
      <c r="B938" s="0" t="s">
        <v>95</v>
      </c>
      <c r="C938" s="0" t="n">
        <v>938</v>
      </c>
      <c r="D938" s="0" t="n">
        <v>6264078409156</v>
      </c>
      <c r="E938" s="94" t="s">
        <v>422</v>
      </c>
      <c r="F938" s="0" t="n">
        <v>1</v>
      </c>
      <c r="G938" s="0" t="n">
        <v>10</v>
      </c>
      <c r="I938" s="0" t="n">
        <v>10</v>
      </c>
      <c r="J938" s="0" t="n">
        <v>7</v>
      </c>
    </row>
    <row r="939" customFormat="false" ht="15" hidden="false" customHeight="false" outlineLevel="0" collapsed="false">
      <c r="A939" s="0" t="n">
        <v>10231</v>
      </c>
      <c r="B939" s="0" t="s">
        <v>95</v>
      </c>
      <c r="C939" s="0" t="n">
        <v>939</v>
      </c>
      <c r="D939" s="0" t="n">
        <v>6261149065679</v>
      </c>
      <c r="E939" s="94" t="s">
        <v>376</v>
      </c>
      <c r="F939" s="0" t="n">
        <v>1</v>
      </c>
      <c r="G939" s="0" t="n">
        <v>5</v>
      </c>
      <c r="I939" s="0" t="n">
        <v>5</v>
      </c>
      <c r="J939" s="0" t="n">
        <v>8</v>
      </c>
    </row>
    <row r="940" customFormat="false" ht="15" hidden="false" customHeight="false" outlineLevel="0" collapsed="false">
      <c r="A940" s="0" t="n">
        <v>10231</v>
      </c>
      <c r="B940" s="0" t="s">
        <v>95</v>
      </c>
      <c r="C940" s="0" t="n">
        <v>940</v>
      </c>
      <c r="D940" s="0" t="n">
        <v>5200</v>
      </c>
      <c r="E940" s="94" t="s">
        <v>323</v>
      </c>
      <c r="F940" s="0" t="n">
        <v>1</v>
      </c>
      <c r="G940" s="0" t="n">
        <v>1</v>
      </c>
      <c r="I940" s="0" t="n">
        <v>1</v>
      </c>
      <c r="J940" s="0" t="n">
        <v>9</v>
      </c>
    </row>
    <row r="941" customFormat="false" ht="15" hidden="false" customHeight="false" outlineLevel="0" collapsed="false">
      <c r="A941" s="0" t="n">
        <v>10232</v>
      </c>
      <c r="B941" s="0" t="s">
        <v>95</v>
      </c>
      <c r="C941" s="0" t="n">
        <v>941</v>
      </c>
      <c r="D941" s="0" t="n">
        <v>6261106001399</v>
      </c>
      <c r="E941" s="94" t="s">
        <v>207</v>
      </c>
      <c r="F941" s="0" t="n">
        <v>2</v>
      </c>
      <c r="G941" s="0" t="n">
        <v>80</v>
      </c>
      <c r="I941" s="0" t="n">
        <v>160</v>
      </c>
      <c r="J941" s="0" t="n">
        <v>7</v>
      </c>
    </row>
    <row r="942" customFormat="false" ht="15" hidden="false" customHeight="false" outlineLevel="0" collapsed="false">
      <c r="A942" s="0" t="n">
        <v>10233</v>
      </c>
      <c r="B942" s="0" t="s">
        <v>95</v>
      </c>
      <c r="C942" s="0" t="n">
        <v>942</v>
      </c>
      <c r="D942" s="0" t="n">
        <v>6269948100195</v>
      </c>
      <c r="E942" s="94" t="s">
        <v>435</v>
      </c>
      <c r="F942" s="0" t="n">
        <v>1</v>
      </c>
      <c r="G942" s="0" t="n">
        <v>12.5</v>
      </c>
      <c r="I942" s="0" t="n">
        <v>12.5</v>
      </c>
      <c r="J942" s="0" t="n">
        <v>7</v>
      </c>
    </row>
    <row r="943" customFormat="false" ht="15" hidden="false" customHeight="false" outlineLevel="0" collapsed="false">
      <c r="A943" s="0" t="n">
        <v>10233</v>
      </c>
      <c r="B943" s="0" t="s">
        <v>95</v>
      </c>
      <c r="C943" s="0" t="n">
        <v>943</v>
      </c>
      <c r="D943" s="0" t="n">
        <v>6265663104715</v>
      </c>
      <c r="E943" s="94" t="s">
        <v>441</v>
      </c>
      <c r="F943" s="0" t="n">
        <v>2</v>
      </c>
      <c r="G943" s="0" t="n">
        <v>12</v>
      </c>
      <c r="I943" s="0" t="n">
        <v>24</v>
      </c>
      <c r="J943" s="0" t="n">
        <v>8</v>
      </c>
    </row>
    <row r="944" customFormat="false" ht="15" hidden="false" customHeight="false" outlineLevel="0" collapsed="false">
      <c r="A944" s="0" t="n">
        <v>10233</v>
      </c>
      <c r="B944" s="0" t="s">
        <v>95</v>
      </c>
      <c r="C944" s="0" t="n">
        <v>944</v>
      </c>
      <c r="D944" s="0" t="n">
        <v>6261149065136</v>
      </c>
      <c r="E944" s="94" t="s">
        <v>373</v>
      </c>
      <c r="F944" s="0" t="n">
        <v>1</v>
      </c>
      <c r="G944" s="0" t="n">
        <v>5</v>
      </c>
      <c r="I944" s="0" t="n">
        <v>5</v>
      </c>
      <c r="J944" s="0" t="n">
        <v>9</v>
      </c>
    </row>
    <row r="945" customFormat="false" ht="15" hidden="false" customHeight="false" outlineLevel="0" collapsed="false">
      <c r="A945" s="0" t="n">
        <v>10233</v>
      </c>
      <c r="B945" s="0" t="s">
        <v>95</v>
      </c>
      <c r="C945" s="0" t="n">
        <v>945</v>
      </c>
      <c r="D945" s="0" t="n">
        <v>6261149065679</v>
      </c>
      <c r="E945" s="94" t="s">
        <v>376</v>
      </c>
      <c r="F945" s="0" t="n">
        <v>1</v>
      </c>
      <c r="G945" s="0" t="n">
        <v>5</v>
      </c>
      <c r="I945" s="0" t="n">
        <v>5</v>
      </c>
      <c r="J945" s="0" t="n">
        <v>10</v>
      </c>
    </row>
    <row r="946" customFormat="false" ht="15" hidden="false" customHeight="false" outlineLevel="0" collapsed="false">
      <c r="A946" s="0" t="n">
        <v>10234</v>
      </c>
      <c r="B946" s="0" t="s">
        <v>95</v>
      </c>
      <c r="C946" s="0" t="n">
        <v>946</v>
      </c>
      <c r="D946" s="0" t="n">
        <v>6260063214255</v>
      </c>
      <c r="E946" s="94" t="s">
        <v>423</v>
      </c>
      <c r="F946" s="0" t="n">
        <v>4</v>
      </c>
      <c r="G946" s="0" t="n">
        <v>10</v>
      </c>
      <c r="I946" s="0" t="n">
        <v>40</v>
      </c>
      <c r="J946" s="0" t="n">
        <v>7</v>
      </c>
    </row>
    <row r="947" customFormat="false" ht="15" hidden="false" customHeight="false" outlineLevel="0" collapsed="false">
      <c r="A947" s="0" t="n">
        <v>10234</v>
      </c>
      <c r="B947" s="0" t="s">
        <v>95</v>
      </c>
      <c r="C947" s="0" t="n">
        <v>947</v>
      </c>
      <c r="D947" s="0" t="n">
        <v>6261204000133</v>
      </c>
      <c r="E947" s="94" t="s">
        <v>406</v>
      </c>
      <c r="F947" s="0" t="n">
        <v>1</v>
      </c>
      <c r="G947" s="0" t="n">
        <v>16</v>
      </c>
      <c r="I947" s="0" t="n">
        <v>16</v>
      </c>
      <c r="J947" s="0" t="n">
        <v>8</v>
      </c>
    </row>
    <row r="948" customFormat="false" ht="15" hidden="false" customHeight="false" outlineLevel="0" collapsed="false">
      <c r="A948" s="0" t="n">
        <v>10234</v>
      </c>
      <c r="B948" s="0" t="s">
        <v>95</v>
      </c>
      <c r="C948" s="0" t="n">
        <v>948</v>
      </c>
      <c r="D948" s="0" t="n">
        <v>1300</v>
      </c>
      <c r="E948" s="94" t="s">
        <v>268</v>
      </c>
      <c r="F948" s="0" t="n">
        <v>10</v>
      </c>
      <c r="G948" s="0" t="n">
        <v>4.5</v>
      </c>
      <c r="I948" s="0" t="n">
        <v>45</v>
      </c>
      <c r="J948" s="0" t="n">
        <v>9</v>
      </c>
    </row>
    <row r="949" customFormat="false" ht="15" hidden="false" customHeight="false" outlineLevel="0" collapsed="false">
      <c r="A949" s="0" t="n">
        <v>10235</v>
      </c>
      <c r="B949" s="0" t="s">
        <v>95</v>
      </c>
      <c r="C949" s="0" t="n">
        <v>949</v>
      </c>
      <c r="D949" s="0" t="n">
        <v>6261845300173</v>
      </c>
      <c r="E949" s="94" t="s">
        <v>310</v>
      </c>
      <c r="F949" s="0" t="n">
        <v>1</v>
      </c>
      <c r="G949" s="0" t="n">
        <v>35</v>
      </c>
      <c r="I949" s="0" t="n">
        <v>35</v>
      </c>
      <c r="J949" s="0" t="n">
        <v>7</v>
      </c>
    </row>
    <row r="950" customFormat="false" ht="15" hidden="false" customHeight="false" outlineLevel="0" collapsed="false">
      <c r="A950" s="0" t="n">
        <v>10235</v>
      </c>
      <c r="B950" s="0" t="s">
        <v>95</v>
      </c>
      <c r="C950" s="0" t="n">
        <v>950</v>
      </c>
      <c r="D950" s="0" t="n">
        <v>6260055843036</v>
      </c>
      <c r="E950" s="94" t="s">
        <v>310</v>
      </c>
      <c r="F950" s="0" t="n">
        <v>2</v>
      </c>
      <c r="G950" s="0" t="n">
        <v>40</v>
      </c>
      <c r="I950" s="0" t="n">
        <v>80</v>
      </c>
      <c r="J950" s="0" t="n">
        <v>8</v>
      </c>
    </row>
    <row r="951" customFormat="false" ht="15" hidden="false" customHeight="false" outlineLevel="0" collapsed="false">
      <c r="A951" s="0" t="n">
        <v>10235</v>
      </c>
      <c r="B951" s="0" t="s">
        <v>95</v>
      </c>
      <c r="C951" s="0" t="n">
        <v>951</v>
      </c>
      <c r="D951" s="0" t="n">
        <v>6260806400020</v>
      </c>
      <c r="E951" s="94" t="s">
        <v>309</v>
      </c>
      <c r="F951" s="0" t="n">
        <v>1</v>
      </c>
      <c r="G951" s="0" t="n">
        <v>50</v>
      </c>
      <c r="I951" s="0" t="n">
        <v>50</v>
      </c>
      <c r="J951" s="0" t="n">
        <v>9</v>
      </c>
    </row>
    <row r="952" customFormat="false" ht="15" hidden="false" customHeight="false" outlineLevel="0" collapsed="false">
      <c r="A952" s="0" t="n">
        <v>10236</v>
      </c>
      <c r="B952" s="0" t="s">
        <v>95</v>
      </c>
      <c r="C952" s="0" t="n">
        <v>952</v>
      </c>
      <c r="D952" s="0" t="n">
        <v>1300</v>
      </c>
      <c r="E952" s="94" t="s">
        <v>268</v>
      </c>
      <c r="F952" s="0" t="n">
        <v>10</v>
      </c>
      <c r="G952" s="0" t="n">
        <v>4.5</v>
      </c>
      <c r="I952" s="0" t="n">
        <v>45</v>
      </c>
      <c r="J952" s="0" t="n">
        <v>7</v>
      </c>
    </row>
    <row r="953" customFormat="false" ht="15" hidden="false" customHeight="false" outlineLevel="0" collapsed="false">
      <c r="A953" s="0" t="n">
        <v>10237</v>
      </c>
      <c r="B953" s="0" t="s">
        <v>95</v>
      </c>
      <c r="C953" s="0" t="n">
        <v>953</v>
      </c>
      <c r="D953" s="0" t="n">
        <v>6264078410992</v>
      </c>
      <c r="E953" s="94" t="s">
        <v>420</v>
      </c>
      <c r="F953" s="0" t="n">
        <v>2</v>
      </c>
      <c r="G953" s="0" t="n">
        <v>15</v>
      </c>
      <c r="I953" s="0" t="n">
        <v>30</v>
      </c>
      <c r="J953" s="0" t="n">
        <v>7</v>
      </c>
    </row>
    <row r="954" customFormat="false" ht="15" hidden="false" customHeight="false" outlineLevel="0" collapsed="false">
      <c r="A954" s="0" t="n">
        <v>10237</v>
      </c>
      <c r="B954" s="0" t="s">
        <v>95</v>
      </c>
      <c r="C954" s="0" t="n">
        <v>954</v>
      </c>
      <c r="D954" s="0" t="n">
        <v>162300017650160</v>
      </c>
      <c r="E954" s="94" t="s">
        <v>365</v>
      </c>
      <c r="F954" s="0" t="n">
        <v>1</v>
      </c>
      <c r="G954" s="0" t="n">
        <v>4</v>
      </c>
      <c r="I954" s="0" t="n">
        <v>4</v>
      </c>
      <c r="J954" s="0" t="n">
        <v>8</v>
      </c>
    </row>
    <row r="955" customFormat="false" ht="15" hidden="false" customHeight="false" outlineLevel="0" collapsed="false">
      <c r="A955" s="0" t="n">
        <v>10237</v>
      </c>
      <c r="B955" s="0" t="s">
        <v>95</v>
      </c>
      <c r="C955" s="0" t="n">
        <v>955</v>
      </c>
      <c r="D955" s="0" t="n">
        <v>6260170900522</v>
      </c>
      <c r="E955" s="94" t="s">
        <v>260</v>
      </c>
      <c r="F955" s="0" t="n">
        <v>1</v>
      </c>
      <c r="G955" s="0" t="n">
        <v>6</v>
      </c>
      <c r="I955" s="0" t="n">
        <v>6</v>
      </c>
      <c r="J955" s="0" t="n">
        <v>9</v>
      </c>
    </row>
    <row r="956" customFormat="false" ht="15" hidden="false" customHeight="false" outlineLevel="0" collapsed="false">
      <c r="A956" s="0" t="n">
        <v>10237</v>
      </c>
      <c r="B956" s="0" t="s">
        <v>95</v>
      </c>
      <c r="C956" s="0" t="n">
        <v>956</v>
      </c>
      <c r="D956" s="0" t="n">
        <v>6260501000440</v>
      </c>
      <c r="E956" s="94" t="s">
        <v>174</v>
      </c>
      <c r="F956" s="0" t="n">
        <v>1</v>
      </c>
      <c r="G956" s="0" t="n">
        <v>10</v>
      </c>
      <c r="I956" s="0" t="n">
        <v>10</v>
      </c>
      <c r="J956" s="0" t="n">
        <v>10</v>
      </c>
    </row>
    <row r="957" customFormat="false" ht="15" hidden="false" customHeight="false" outlineLevel="0" collapsed="false">
      <c r="A957" s="0" t="n">
        <v>10237</v>
      </c>
      <c r="B957" s="0" t="s">
        <v>95</v>
      </c>
      <c r="C957" s="0" t="n">
        <v>957</v>
      </c>
      <c r="D957" s="0" t="n">
        <v>5100</v>
      </c>
      <c r="E957" s="94" t="s">
        <v>320</v>
      </c>
      <c r="F957" s="0" t="n">
        <v>2</v>
      </c>
      <c r="G957" s="0" t="n">
        <v>2</v>
      </c>
      <c r="I957" s="0" t="n">
        <v>4</v>
      </c>
      <c r="J957" s="0" t="n">
        <v>11</v>
      </c>
    </row>
    <row r="958" customFormat="false" ht="15" hidden="false" customHeight="false" outlineLevel="0" collapsed="false">
      <c r="A958" s="0" t="n">
        <v>10237</v>
      </c>
      <c r="B958" s="0" t="s">
        <v>95</v>
      </c>
      <c r="C958" s="0" t="n">
        <v>958</v>
      </c>
      <c r="D958" s="0" t="n">
        <v>5300</v>
      </c>
      <c r="E958" s="94" t="s">
        <v>331</v>
      </c>
      <c r="F958" s="0" t="n">
        <v>5</v>
      </c>
      <c r="G958" s="0" t="n">
        <v>2</v>
      </c>
      <c r="I958" s="0" t="n">
        <v>10</v>
      </c>
      <c r="J958" s="0" t="n">
        <v>12</v>
      </c>
    </row>
  </sheetData>
  <mergeCells count="3">
    <mergeCell ref="A1:J1"/>
    <mergeCell ref="N1:O1"/>
    <mergeCell ref="Q1:W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31"/>
  <sheetViews>
    <sheetView showFormulas="false" showGridLines="true" showRowColHeaders="fals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3" activeCellId="0" sqref="G3"/>
    </sheetView>
  </sheetViews>
  <sheetFormatPr defaultColWidth="8.6796875" defaultRowHeight="12.8" zeroHeight="false" outlineLevelRow="0" outlineLevelCol="0"/>
  <cols>
    <col collapsed="false" customWidth="true" hidden="false" outlineLevel="0" max="2" min="2" style="0" width="15.42"/>
    <col collapsed="false" customWidth="true" hidden="false" outlineLevel="0" max="3" min="3" style="0" width="11.85"/>
    <col collapsed="false" customWidth="true" hidden="false" outlineLevel="0" max="7" min="7" style="0" width="16.71"/>
  </cols>
  <sheetData>
    <row r="1" customFormat="false" ht="13.8" hidden="false" customHeight="false" outlineLevel="0" collapsed="false">
      <c r="A1" s="100" t="s">
        <v>456</v>
      </c>
      <c r="B1" s="100"/>
      <c r="C1" s="100"/>
      <c r="G1" s="101" t="s">
        <v>457</v>
      </c>
    </row>
    <row r="2" customFormat="false" ht="13.8" hidden="false" customHeight="false" outlineLevel="0" collapsed="false">
      <c r="A2" s="102" t="s">
        <v>458</v>
      </c>
      <c r="B2" s="102" t="s">
        <v>459</v>
      </c>
      <c r="C2" s="102"/>
      <c r="G2" s="103" t="s">
        <v>459</v>
      </c>
    </row>
    <row r="3" customFormat="false" ht="13.8" hidden="false" customHeight="false" outlineLevel="0" collapsed="false">
      <c r="A3" s="23" t="n">
        <v>1</v>
      </c>
      <c r="B3" s="0" t="s">
        <v>460</v>
      </c>
      <c r="G3" s="0" t="n">
        <v>2145</v>
      </c>
    </row>
    <row r="4" customFormat="false" ht="13.8" hidden="false" customHeight="false" outlineLevel="0" collapsed="false">
      <c r="A4" s="23" t="n">
        <v>2</v>
      </c>
      <c r="B4" s="0" t="s">
        <v>461</v>
      </c>
      <c r="G4" s="0" t="n">
        <v>6260543505620</v>
      </c>
      <c r="M4" s="0" t="n">
        <v>6260543505620</v>
      </c>
    </row>
    <row r="5" customFormat="false" ht="13.8" hidden="false" customHeight="false" outlineLevel="0" collapsed="false">
      <c r="A5" s="23" t="n">
        <v>3</v>
      </c>
      <c r="B5" s="0" t="s">
        <v>462</v>
      </c>
      <c r="G5" s="0" t="n">
        <v>6260575900769</v>
      </c>
      <c r="M5" s="0" t="n">
        <v>6260575900769</v>
      </c>
    </row>
    <row r="6" customFormat="false" ht="13.8" hidden="false" customHeight="false" outlineLevel="0" collapsed="false">
      <c r="A6" s="23" t="n">
        <v>4</v>
      </c>
      <c r="B6" s="0" t="s">
        <v>463</v>
      </c>
      <c r="G6" s="0" t="s">
        <v>462</v>
      </c>
      <c r="M6" s="0" t="s">
        <v>462</v>
      </c>
    </row>
    <row r="7" customFormat="false" ht="13.8" hidden="false" customHeight="false" outlineLevel="0" collapsed="false">
      <c r="A7" s="23" t="n">
        <v>5</v>
      </c>
      <c r="B7" s="0" t="n">
        <v>6260575900769</v>
      </c>
      <c r="G7" s="0" t="s">
        <v>460</v>
      </c>
      <c r="M7" s="0" t="s">
        <v>460</v>
      </c>
    </row>
    <row r="8" customFormat="false" ht="13.8" hidden="false" customHeight="false" outlineLevel="0" collapsed="false">
      <c r="A8" s="23" t="n">
        <v>6</v>
      </c>
      <c r="B8" s="0" t="n">
        <v>2145</v>
      </c>
      <c r="G8" s="0" t="s">
        <v>463</v>
      </c>
      <c r="M8" s="0" t="s">
        <v>463</v>
      </c>
    </row>
    <row r="9" customFormat="false" ht="13.8" hidden="false" customHeight="false" outlineLevel="0" collapsed="false">
      <c r="A9" s="23" t="n">
        <v>7</v>
      </c>
      <c r="B9" s="94" t="s">
        <v>143</v>
      </c>
      <c r="G9" s="0" t="s">
        <v>461</v>
      </c>
      <c r="M9" s="0" t="s">
        <v>461</v>
      </c>
    </row>
    <row r="10" customFormat="false" ht="13.8" hidden="false" customHeight="false" outlineLevel="0" collapsed="false">
      <c r="A10" s="23" t="n">
        <v>8</v>
      </c>
      <c r="B10" s="94" t="s">
        <v>144</v>
      </c>
      <c r="G10" s="94" t="s">
        <v>143</v>
      </c>
      <c r="M10" s="94" t="s">
        <v>143</v>
      </c>
    </row>
    <row r="11" customFormat="false" ht="13.8" hidden="false" customHeight="false" outlineLevel="0" collapsed="false">
      <c r="A11" s="23" t="n">
        <v>9</v>
      </c>
      <c r="B11" s="94" t="s">
        <v>142</v>
      </c>
      <c r="G11" s="94" t="s">
        <v>152</v>
      </c>
      <c r="M11" s="94" t="s">
        <v>152</v>
      </c>
    </row>
    <row r="12" customFormat="false" ht="13.8" hidden="false" customHeight="false" outlineLevel="0" collapsed="false">
      <c r="A12" s="23" t="n">
        <v>10</v>
      </c>
      <c r="B12" s="94" t="s">
        <v>141</v>
      </c>
      <c r="G12" s="94" t="s">
        <v>140</v>
      </c>
      <c r="M12" s="94" t="s">
        <v>140</v>
      </c>
    </row>
    <row r="13" customFormat="false" ht="13.8" hidden="false" customHeight="false" outlineLevel="0" collapsed="false">
      <c r="A13" s="23" t="n">
        <v>11</v>
      </c>
      <c r="B13" s="94" t="s">
        <v>140</v>
      </c>
      <c r="G13" s="94" t="s">
        <v>150</v>
      </c>
      <c r="M13" s="94" t="s">
        <v>150</v>
      </c>
    </row>
    <row r="14" customFormat="false" ht="13.8" hidden="false" customHeight="false" outlineLevel="0" collapsed="false">
      <c r="A14" s="23" t="n">
        <v>12</v>
      </c>
      <c r="B14" s="94" t="s">
        <v>146</v>
      </c>
      <c r="G14" s="94" t="s">
        <v>141</v>
      </c>
      <c r="M14" s="94" t="s">
        <v>141</v>
      </c>
    </row>
    <row r="15" customFormat="false" ht="13.8" hidden="false" customHeight="false" outlineLevel="0" collapsed="false">
      <c r="A15" s="23" t="n">
        <v>13</v>
      </c>
      <c r="B15" s="94" t="s">
        <v>149</v>
      </c>
      <c r="G15" s="94" t="s">
        <v>142</v>
      </c>
      <c r="M15" s="94" t="s">
        <v>142</v>
      </c>
    </row>
    <row r="16" customFormat="false" ht="13.8" hidden="false" customHeight="false" outlineLevel="0" collapsed="false">
      <c r="A16" s="23" t="n">
        <v>14</v>
      </c>
      <c r="B16" s="94" t="s">
        <v>150</v>
      </c>
      <c r="G16" s="94" t="s">
        <v>151</v>
      </c>
      <c r="M16" s="94" t="s">
        <v>151</v>
      </c>
    </row>
    <row r="17" customFormat="false" ht="13.8" hidden="false" customHeight="false" outlineLevel="0" collapsed="false">
      <c r="A17" s="23" t="n">
        <v>15</v>
      </c>
      <c r="B17" s="94" t="s">
        <v>151</v>
      </c>
      <c r="G17" s="94" t="s">
        <v>146</v>
      </c>
      <c r="M17" s="94" t="s">
        <v>146</v>
      </c>
    </row>
    <row r="18" customFormat="false" ht="13.8" hidden="false" customHeight="false" outlineLevel="0" collapsed="false">
      <c r="A18" s="23" t="n">
        <v>16</v>
      </c>
      <c r="B18" s="94" t="s">
        <v>152</v>
      </c>
      <c r="G18" s="94" t="s">
        <v>149</v>
      </c>
      <c r="M18" s="94" t="s">
        <v>149</v>
      </c>
    </row>
    <row r="19" customFormat="false" ht="13.8" hidden="false" customHeight="false" outlineLevel="0" collapsed="false">
      <c r="A19" s="23" t="n">
        <v>17</v>
      </c>
      <c r="B19" s="94" t="s">
        <v>153</v>
      </c>
      <c r="G19" s="94" t="s">
        <v>153</v>
      </c>
      <c r="M19" s="94" t="s">
        <v>153</v>
      </c>
    </row>
    <row r="20" customFormat="false" ht="13.8" hidden="false" customHeight="false" outlineLevel="0" collapsed="false">
      <c r="A20" s="23" t="n">
        <v>18</v>
      </c>
      <c r="B20" s="0" t="n">
        <v>6260543505620</v>
      </c>
      <c r="G20" s="94" t="s">
        <v>144</v>
      </c>
      <c r="M20" s="94" t="s">
        <v>144</v>
      </c>
    </row>
    <row r="21" customFormat="false" ht="13.8" hidden="false" customHeight="false" outlineLevel="0" collapsed="false">
      <c r="A21" s="23" t="n">
        <v>19</v>
      </c>
      <c r="B21" s="94" t="s">
        <v>154</v>
      </c>
    </row>
    <row r="22" customFormat="false" ht="13.8" hidden="false" customHeight="false" outlineLevel="0" collapsed="false">
      <c r="A22" s="23"/>
    </row>
    <row r="23" customFormat="false" ht="13.8" hidden="false" customHeight="false" outlineLevel="0" collapsed="false">
      <c r="A23" s="23"/>
    </row>
    <row r="24" customFormat="false" ht="13.8" hidden="false" customHeight="false" outlineLevel="0" collapsed="false">
      <c r="A24" s="23"/>
    </row>
    <row r="25" customFormat="false" ht="13.8" hidden="false" customHeight="false" outlineLevel="0" collapsed="false">
      <c r="A25" s="23"/>
    </row>
    <row r="26" customFormat="false" ht="13.8" hidden="false" customHeight="false" outlineLevel="0" collapsed="false">
      <c r="A26" s="23"/>
    </row>
    <row r="27" customFormat="false" ht="13.8" hidden="false" customHeight="false" outlineLevel="0" collapsed="false">
      <c r="A27" s="23"/>
    </row>
    <row r="28" customFormat="false" ht="13.8" hidden="false" customHeight="false" outlineLevel="0" collapsed="false">
      <c r="A28" s="23"/>
    </row>
    <row r="29" customFormat="false" ht="13.8" hidden="false" customHeight="false" outlineLevel="0" collapsed="false">
      <c r="A29" s="23"/>
    </row>
    <row r="30" customFormat="false" ht="13.8" hidden="false" customHeight="false" outlineLevel="0" collapsed="false">
      <c r="A30" s="23"/>
    </row>
    <row r="31" customFormat="false" ht="13.8" hidden="false" customHeight="false" outlineLevel="0" collapsed="false">
      <c r="A31" s="23"/>
    </row>
  </sheetData>
  <mergeCells count="1">
    <mergeCell ref="A1:C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39"/>
  <sheetViews>
    <sheetView showFormulas="false" showGridLines="true" showRowColHeaders="fals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3" activeCellId="0" sqref="G3"/>
    </sheetView>
  </sheetViews>
  <sheetFormatPr defaultColWidth="8.6796875" defaultRowHeight="12.8" zeroHeight="false" outlineLevelRow="0" outlineLevelCol="0"/>
  <cols>
    <col collapsed="false" customWidth="true" hidden="false" outlineLevel="0" max="2" min="2" style="0" width="18.86"/>
    <col collapsed="false" customWidth="true" hidden="false" outlineLevel="0" max="3" min="3" style="0" width="14.86"/>
    <col collapsed="false" customWidth="true" hidden="false" outlineLevel="0" max="7" min="7" style="0" width="18.86"/>
  </cols>
  <sheetData>
    <row r="1" customFormat="false" ht="13.8" hidden="false" customHeight="false" outlineLevel="0" collapsed="false">
      <c r="A1" s="104" t="s">
        <v>464</v>
      </c>
      <c r="B1" s="104"/>
      <c r="C1" s="104"/>
      <c r="G1" s="105" t="s">
        <v>465</v>
      </c>
    </row>
    <row r="2" customFormat="false" ht="13.8" hidden="false" customHeight="false" outlineLevel="0" collapsed="false">
      <c r="A2" s="106" t="s">
        <v>466</v>
      </c>
      <c r="B2" s="106" t="s">
        <v>467</v>
      </c>
      <c r="C2" s="106"/>
      <c r="G2" s="106" t="s">
        <v>467</v>
      </c>
    </row>
    <row r="3" customFormat="false" ht="13.8" hidden="false" customHeight="false" outlineLevel="0" collapsed="false">
      <c r="A3" s="23" t="n">
        <v>1</v>
      </c>
      <c r="B3" s="0" t="s">
        <v>468</v>
      </c>
      <c r="G3" s="0" t="s">
        <v>468</v>
      </c>
    </row>
    <row r="4" customFormat="false" ht="13.8" hidden="false" customHeight="false" outlineLevel="0" collapsed="false">
      <c r="A4" s="23" t="n">
        <v>2</v>
      </c>
      <c r="B4" s="0" t="s">
        <v>469</v>
      </c>
      <c r="G4" s="0" t="s">
        <v>469</v>
      </c>
    </row>
    <row r="5" customFormat="false" ht="13.8" hidden="false" customHeight="false" outlineLevel="0" collapsed="false">
      <c r="A5" s="23" t="n">
        <v>3</v>
      </c>
      <c r="B5" s="0" t="s">
        <v>470</v>
      </c>
      <c r="G5" s="0" t="s">
        <v>138</v>
      </c>
    </row>
    <row r="6" customFormat="false" ht="13.8" hidden="false" customHeight="false" outlineLevel="0" collapsed="false">
      <c r="A6" s="23" t="n">
        <v>4</v>
      </c>
      <c r="B6" s="0" t="s">
        <v>471</v>
      </c>
      <c r="G6" s="0" t="s">
        <v>470</v>
      </c>
    </row>
    <row r="7" customFormat="false" ht="13.8" hidden="false" customHeight="false" outlineLevel="0" collapsed="false">
      <c r="A7" s="23" t="n">
        <v>5</v>
      </c>
      <c r="B7" s="0" t="s">
        <v>138</v>
      </c>
      <c r="G7" s="0" t="s">
        <v>471</v>
      </c>
    </row>
    <row r="8" customFormat="false" ht="13.8" hidden="false" customHeight="false" outlineLevel="0" collapsed="false">
      <c r="A8" s="23" t="n">
        <v>6</v>
      </c>
      <c r="B8" s="94" t="s">
        <v>148</v>
      </c>
      <c r="G8" s="94" t="s">
        <v>148</v>
      </c>
    </row>
    <row r="9" customFormat="false" ht="13.8" hidden="false" customHeight="false" outlineLevel="0" collapsed="false">
      <c r="A9" s="23"/>
    </row>
    <row r="10" customFormat="false" ht="13.8" hidden="false" customHeight="false" outlineLevel="0" collapsed="false">
      <c r="A10" s="23"/>
    </row>
    <row r="11" customFormat="false" ht="13.8" hidden="false" customHeight="false" outlineLevel="0" collapsed="false">
      <c r="A11" s="23"/>
    </row>
    <row r="12" customFormat="false" ht="13.8" hidden="false" customHeight="false" outlineLevel="0" collapsed="false">
      <c r="A12" s="23"/>
    </row>
    <row r="13" customFormat="false" ht="13.8" hidden="false" customHeight="false" outlineLevel="0" collapsed="false">
      <c r="A13" s="23"/>
    </row>
    <row r="14" customFormat="false" ht="13.8" hidden="false" customHeight="false" outlineLevel="0" collapsed="false">
      <c r="A14" s="23"/>
    </row>
    <row r="15" customFormat="false" ht="13.8" hidden="false" customHeight="false" outlineLevel="0" collapsed="false">
      <c r="A15" s="23"/>
    </row>
    <row r="16" customFormat="false" ht="13.8" hidden="false" customHeight="false" outlineLevel="0" collapsed="false">
      <c r="A16" s="23"/>
    </row>
    <row r="17" customFormat="false" ht="13.8" hidden="false" customHeight="false" outlineLevel="0" collapsed="false">
      <c r="A17" s="23"/>
    </row>
    <row r="18" customFormat="false" ht="13.8" hidden="false" customHeight="false" outlineLevel="0" collapsed="false">
      <c r="A18" s="23"/>
    </row>
    <row r="19" customFormat="false" ht="13.8" hidden="false" customHeight="false" outlineLevel="0" collapsed="false">
      <c r="A19" s="23"/>
    </row>
    <row r="20" customFormat="false" ht="13.8" hidden="false" customHeight="false" outlineLevel="0" collapsed="false">
      <c r="A20" s="23"/>
    </row>
    <row r="21" customFormat="false" ht="13.8" hidden="false" customHeight="false" outlineLevel="0" collapsed="false">
      <c r="A21" s="23"/>
    </row>
    <row r="22" customFormat="false" ht="13.8" hidden="false" customHeight="false" outlineLevel="0" collapsed="false">
      <c r="A22" s="23"/>
    </row>
    <row r="23" customFormat="false" ht="13.8" hidden="false" customHeight="false" outlineLevel="0" collapsed="false">
      <c r="A23" s="23"/>
    </row>
    <row r="24" customFormat="false" ht="13.8" hidden="false" customHeight="false" outlineLevel="0" collapsed="false">
      <c r="A24" s="23"/>
    </row>
    <row r="25" customFormat="false" ht="13.8" hidden="false" customHeight="false" outlineLevel="0" collapsed="false">
      <c r="A25" s="23"/>
    </row>
    <row r="26" customFormat="false" ht="13.8" hidden="false" customHeight="false" outlineLevel="0" collapsed="false">
      <c r="A26" s="23"/>
    </row>
    <row r="27" customFormat="false" ht="13.8" hidden="false" customHeight="false" outlineLevel="0" collapsed="false">
      <c r="A27" s="23"/>
    </row>
    <row r="28" customFormat="false" ht="13.8" hidden="false" customHeight="false" outlineLevel="0" collapsed="false">
      <c r="A28" s="23"/>
    </row>
    <row r="29" customFormat="false" ht="13.8" hidden="false" customHeight="false" outlineLevel="0" collapsed="false">
      <c r="A29" s="23"/>
    </row>
    <row r="30" customFormat="false" ht="13.8" hidden="false" customHeight="false" outlineLevel="0" collapsed="false">
      <c r="A30" s="23"/>
    </row>
    <row r="31" customFormat="false" ht="13.8" hidden="false" customHeight="false" outlineLevel="0" collapsed="false">
      <c r="A31" s="23"/>
    </row>
    <row r="32" customFormat="false" ht="13.8" hidden="false" customHeight="false" outlineLevel="0" collapsed="false">
      <c r="A32" s="23"/>
    </row>
    <row r="33" customFormat="false" ht="13.8" hidden="false" customHeight="false" outlineLevel="0" collapsed="false">
      <c r="A33" s="23"/>
    </row>
    <row r="34" customFormat="false" ht="13.8" hidden="false" customHeight="false" outlineLevel="0" collapsed="false">
      <c r="A34" s="23"/>
    </row>
    <row r="35" customFormat="false" ht="13.8" hidden="false" customHeight="false" outlineLevel="0" collapsed="false">
      <c r="A35" s="23"/>
    </row>
    <row r="36" customFormat="false" ht="13.8" hidden="false" customHeight="false" outlineLevel="0" collapsed="false">
      <c r="A36" s="23"/>
    </row>
    <row r="37" customFormat="false" ht="13.8" hidden="false" customHeight="false" outlineLevel="0" collapsed="false">
      <c r="A37" s="23"/>
    </row>
    <row r="38" customFormat="false" ht="13.8" hidden="false" customHeight="false" outlineLevel="0" collapsed="false">
      <c r="A38" s="23"/>
    </row>
    <row r="39" customFormat="false" ht="13.8" hidden="false" customHeight="false" outlineLevel="0" collapsed="false">
      <c r="A39" s="23"/>
    </row>
  </sheetData>
  <mergeCells count="1">
    <mergeCell ref="A1:C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772"/>
  <sheetViews>
    <sheetView showFormulas="false" showGridLines="true" showRowColHeaders="fals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724" activeCellId="0" sqref="D724"/>
    </sheetView>
  </sheetViews>
  <sheetFormatPr defaultColWidth="8.6796875" defaultRowHeight="12.8" zeroHeight="false" outlineLevelRow="0" outlineLevelCol="0"/>
  <cols>
    <col collapsed="false" customWidth="true" hidden="false" outlineLevel="0" max="1" min="1" style="0" width="23.86"/>
    <col collapsed="false" customWidth="true" hidden="false" outlineLevel="0" max="2" min="2" style="0" width="18"/>
    <col collapsed="false" customWidth="true" hidden="false" outlineLevel="0" max="3" min="3" style="0" width="12"/>
    <col collapsed="false" customWidth="true" hidden="false" outlineLevel="0" max="4" min="4" style="0" width="16.43"/>
    <col collapsed="false" customWidth="true" hidden="false" outlineLevel="0" max="8" min="8" style="0" width="19.29"/>
    <col collapsed="false" customWidth="true" hidden="false" outlineLevel="0" max="9" min="9" style="0" width="12"/>
    <col collapsed="false" customWidth="true" hidden="false" outlineLevel="0" max="13" min="13" style="0" width="16.43"/>
    <col collapsed="false" customWidth="true" hidden="false" outlineLevel="0" max="16384" min="16383" style="0" width="11.53"/>
  </cols>
  <sheetData>
    <row r="1" customFormat="false" ht="13.8" hidden="false" customHeight="false" outlineLevel="0" collapsed="false">
      <c r="A1" s="107" t="s">
        <v>472</v>
      </c>
      <c r="B1" s="107"/>
      <c r="C1" s="107"/>
      <c r="D1" s="107"/>
      <c r="H1" s="108" t="s">
        <v>132</v>
      </c>
      <c r="I1" s="108"/>
      <c r="L1" s="108" t="s">
        <v>132</v>
      </c>
      <c r="M1" s="108"/>
    </row>
    <row r="2" customFormat="false" ht="13.8" hidden="false" customHeight="false" outlineLevel="0" collapsed="false">
      <c r="A2" s="109" t="s">
        <v>157</v>
      </c>
      <c r="B2" s="109" t="s">
        <v>116</v>
      </c>
      <c r="C2" s="109" t="s">
        <v>473</v>
      </c>
      <c r="D2" s="109" t="s">
        <v>474</v>
      </c>
      <c r="H2" s="109" t="s">
        <v>475</v>
      </c>
      <c r="I2" s="109" t="s">
        <v>476</v>
      </c>
      <c r="L2" s="109" t="s">
        <v>157</v>
      </c>
      <c r="M2" s="109" t="s">
        <v>116</v>
      </c>
    </row>
    <row r="3" customFormat="false" ht="18.65" hidden="false" customHeight="false" outlineLevel="0" collapsed="false">
      <c r="A3" s="110" t="s">
        <v>477</v>
      </c>
      <c r="B3" s="111" t="s">
        <v>478</v>
      </c>
      <c r="C3" s="112" t="n">
        <v>28</v>
      </c>
      <c r="D3" s="112" t="n">
        <v>29</v>
      </c>
      <c r="H3" s="0" t="s">
        <v>14</v>
      </c>
      <c r="I3" s="0" t="s">
        <v>22</v>
      </c>
      <c r="L3" s="110" t="s">
        <v>479</v>
      </c>
      <c r="M3" s="113" t="s">
        <v>219</v>
      </c>
    </row>
    <row r="4" customFormat="false" ht="18.65" hidden="false" customHeight="false" outlineLevel="0" collapsed="false">
      <c r="A4" s="110" t="s">
        <v>480</v>
      </c>
      <c r="B4" s="111" t="s">
        <v>481</v>
      </c>
      <c r="C4" s="112" t="n">
        <v>36</v>
      </c>
      <c r="D4" s="112" t="n">
        <v>38</v>
      </c>
      <c r="L4" s="110" t="s">
        <v>482</v>
      </c>
      <c r="M4" s="114" t="s">
        <v>483</v>
      </c>
    </row>
    <row r="5" customFormat="false" ht="17.35" hidden="false" customHeight="false" outlineLevel="0" collapsed="false">
      <c r="A5" s="110" t="s">
        <v>484</v>
      </c>
      <c r="B5" s="114" t="s">
        <v>231</v>
      </c>
      <c r="C5" s="112" t="n">
        <v>32</v>
      </c>
      <c r="D5" s="112" t="n">
        <v>32</v>
      </c>
      <c r="L5" s="110" t="s">
        <v>485</v>
      </c>
      <c r="M5" s="114" t="s">
        <v>486</v>
      </c>
    </row>
    <row r="6" customFormat="false" ht="17.35" hidden="false" customHeight="false" outlineLevel="0" collapsed="false">
      <c r="A6" s="110" t="s">
        <v>479</v>
      </c>
      <c r="B6" s="113" t="s">
        <v>219</v>
      </c>
      <c r="C6" s="112" t="n">
        <v>30</v>
      </c>
      <c r="D6" s="112" t="n">
        <v>30</v>
      </c>
      <c r="L6" s="110" t="s">
        <v>487</v>
      </c>
      <c r="M6" s="114" t="s">
        <v>486</v>
      </c>
    </row>
    <row r="7" customFormat="false" ht="17.35" hidden="false" customHeight="false" outlineLevel="0" collapsed="false">
      <c r="A7" s="110" t="s">
        <v>482</v>
      </c>
      <c r="B7" s="114" t="s">
        <v>483</v>
      </c>
      <c r="C7" s="112" t="n">
        <v>3.5</v>
      </c>
      <c r="D7" s="112" t="n">
        <v>3.5</v>
      </c>
      <c r="L7" s="110" t="s">
        <v>488</v>
      </c>
      <c r="M7" s="114" t="s">
        <v>489</v>
      </c>
    </row>
    <row r="8" customFormat="false" ht="18.65" hidden="false" customHeight="false" outlineLevel="0" collapsed="false">
      <c r="A8" s="110" t="s">
        <v>490</v>
      </c>
      <c r="B8" s="114" t="s">
        <v>491</v>
      </c>
      <c r="C8" s="112" t="n">
        <v>10</v>
      </c>
      <c r="D8" s="112" t="n">
        <v>10</v>
      </c>
      <c r="L8" s="110" t="s">
        <v>492</v>
      </c>
      <c r="M8" s="114" t="s">
        <v>493</v>
      </c>
    </row>
    <row r="9" customFormat="false" ht="17.35" hidden="false" customHeight="false" outlineLevel="0" collapsed="false">
      <c r="A9" s="110" t="s">
        <v>494</v>
      </c>
      <c r="B9" s="114" t="s">
        <v>495</v>
      </c>
      <c r="C9" s="112" t="n">
        <v>6</v>
      </c>
      <c r="D9" s="112" t="n">
        <v>6</v>
      </c>
      <c r="L9" s="110"/>
      <c r="M9" s="111"/>
    </row>
    <row r="10" customFormat="false" ht="17.35" hidden="false" customHeight="false" outlineLevel="0" collapsed="false">
      <c r="A10" s="110" t="s">
        <v>496</v>
      </c>
      <c r="B10" s="113" t="s">
        <v>215</v>
      </c>
      <c r="C10" s="112" t="n">
        <v>10</v>
      </c>
      <c r="D10" s="112" t="n">
        <v>10</v>
      </c>
      <c r="L10" s="110"/>
      <c r="M10" s="111"/>
    </row>
    <row r="11" customFormat="false" ht="17.35" hidden="false" customHeight="false" outlineLevel="0" collapsed="false">
      <c r="A11" s="110" t="s">
        <v>497</v>
      </c>
      <c r="B11" s="113" t="s">
        <v>215</v>
      </c>
      <c r="C11" s="112" t="n">
        <v>10</v>
      </c>
      <c r="D11" s="112" t="n">
        <v>10</v>
      </c>
      <c r="L11" s="110"/>
      <c r="M11" s="111"/>
    </row>
    <row r="12" customFormat="false" ht="17.35" hidden="false" customHeight="false" outlineLevel="0" collapsed="false">
      <c r="A12" s="110" t="s">
        <v>498</v>
      </c>
      <c r="B12" s="113" t="s">
        <v>213</v>
      </c>
      <c r="C12" s="112" t="n">
        <v>10</v>
      </c>
      <c r="D12" s="112" t="n">
        <v>10</v>
      </c>
    </row>
    <row r="13" customFormat="false" ht="17.35" hidden="false" customHeight="false" outlineLevel="0" collapsed="false">
      <c r="A13" s="110" t="s">
        <v>499</v>
      </c>
      <c r="B13" s="113" t="s">
        <v>213</v>
      </c>
      <c r="C13" s="112" t="n">
        <v>10</v>
      </c>
      <c r="D13" s="112" t="n">
        <v>10</v>
      </c>
    </row>
    <row r="14" customFormat="false" ht="17.35" hidden="false" customHeight="false" outlineLevel="0" collapsed="false">
      <c r="A14" s="110" t="s">
        <v>500</v>
      </c>
      <c r="B14" s="113" t="s">
        <v>501</v>
      </c>
      <c r="C14" s="112" t="n">
        <v>10</v>
      </c>
      <c r="D14" s="112" t="n">
        <v>10</v>
      </c>
    </row>
    <row r="15" customFormat="false" ht="17.35" hidden="false" customHeight="false" outlineLevel="0" collapsed="false">
      <c r="A15" s="110" t="s">
        <v>502</v>
      </c>
      <c r="B15" s="113" t="s">
        <v>501</v>
      </c>
      <c r="C15" s="112" t="n">
        <v>10</v>
      </c>
      <c r="D15" s="112" t="n">
        <v>10</v>
      </c>
    </row>
    <row r="16" customFormat="false" ht="17.35" hidden="false" customHeight="false" outlineLevel="0" collapsed="false">
      <c r="A16" s="110" t="s">
        <v>503</v>
      </c>
      <c r="B16" s="113" t="s">
        <v>504</v>
      </c>
      <c r="C16" s="112" t="n">
        <v>10</v>
      </c>
      <c r="D16" s="112" t="n">
        <v>10</v>
      </c>
    </row>
    <row r="17" customFormat="false" ht="17.35" hidden="false" customHeight="false" outlineLevel="0" collapsed="false">
      <c r="A17" s="110" t="s">
        <v>505</v>
      </c>
      <c r="B17" s="113" t="s">
        <v>504</v>
      </c>
      <c r="C17" s="112" t="n">
        <v>10</v>
      </c>
      <c r="D17" s="112" t="n">
        <v>10</v>
      </c>
    </row>
    <row r="18" customFormat="false" ht="17.35" hidden="false" customHeight="false" outlineLevel="0" collapsed="false">
      <c r="A18" s="110" t="s">
        <v>506</v>
      </c>
      <c r="B18" s="114" t="s">
        <v>507</v>
      </c>
      <c r="C18" s="112" t="n">
        <v>10</v>
      </c>
      <c r="D18" s="112" t="n">
        <v>10</v>
      </c>
    </row>
    <row r="19" customFormat="false" ht="17.35" hidden="false" customHeight="false" outlineLevel="0" collapsed="false">
      <c r="A19" s="110" t="s">
        <v>508</v>
      </c>
      <c r="B19" s="113" t="s">
        <v>254</v>
      </c>
      <c r="C19" s="112" t="n">
        <v>8</v>
      </c>
      <c r="D19" s="112" t="n">
        <v>8</v>
      </c>
    </row>
    <row r="20" customFormat="false" ht="17.35" hidden="false" customHeight="false" outlineLevel="0" collapsed="false">
      <c r="A20" s="110" t="s">
        <v>509</v>
      </c>
      <c r="B20" s="114" t="s">
        <v>510</v>
      </c>
      <c r="C20" s="112" t="n">
        <v>10</v>
      </c>
      <c r="D20" s="112" t="n">
        <v>10</v>
      </c>
    </row>
    <row r="21" customFormat="false" ht="17.35" hidden="false" customHeight="false" outlineLevel="0" collapsed="false">
      <c r="A21" s="110" t="s">
        <v>509</v>
      </c>
      <c r="B21" s="113" t="s">
        <v>511</v>
      </c>
      <c r="C21" s="112" t="n">
        <v>10</v>
      </c>
      <c r="D21" s="112" t="n">
        <v>10</v>
      </c>
    </row>
    <row r="22" customFormat="false" ht="15.65" hidden="false" customHeight="false" outlineLevel="0" collapsed="false">
      <c r="A22" s="110" t="s">
        <v>512</v>
      </c>
      <c r="B22" s="114" t="s">
        <v>513</v>
      </c>
      <c r="C22" s="112" t="n">
        <v>0.5</v>
      </c>
      <c r="D22" s="112" t="n">
        <v>0.5</v>
      </c>
    </row>
    <row r="23" customFormat="false" ht="18.65" hidden="false" customHeight="false" outlineLevel="0" collapsed="false">
      <c r="A23" s="110" t="s">
        <v>514</v>
      </c>
      <c r="B23" s="114" t="s">
        <v>515</v>
      </c>
      <c r="C23" s="112" t="n">
        <v>10</v>
      </c>
      <c r="D23" s="112" t="n">
        <v>10</v>
      </c>
    </row>
    <row r="24" customFormat="false" ht="17.35" hidden="false" customHeight="false" outlineLevel="0" collapsed="false">
      <c r="A24" s="110" t="s">
        <v>516</v>
      </c>
      <c r="B24" s="114" t="s">
        <v>517</v>
      </c>
      <c r="C24" s="112" t="n">
        <v>10</v>
      </c>
      <c r="D24" s="112" t="n">
        <v>10</v>
      </c>
    </row>
    <row r="25" customFormat="false" ht="18.65" hidden="false" customHeight="false" outlineLevel="0" collapsed="false">
      <c r="A25" s="110" t="s">
        <v>518</v>
      </c>
      <c r="B25" s="114" t="s">
        <v>519</v>
      </c>
      <c r="C25" s="112" t="n">
        <v>10</v>
      </c>
      <c r="D25" s="112" t="n">
        <v>10</v>
      </c>
    </row>
    <row r="26" customFormat="false" ht="18.65" hidden="false" customHeight="false" outlineLevel="0" collapsed="false">
      <c r="A26" s="110" t="s">
        <v>520</v>
      </c>
      <c r="B26" s="114" t="s">
        <v>521</v>
      </c>
      <c r="C26" s="112" t="n">
        <v>10</v>
      </c>
      <c r="D26" s="112" t="n">
        <v>10</v>
      </c>
    </row>
    <row r="27" customFormat="false" ht="17.35" hidden="false" customHeight="false" outlineLevel="0" collapsed="false">
      <c r="A27" s="110" t="s">
        <v>522</v>
      </c>
      <c r="B27" s="114" t="s">
        <v>523</v>
      </c>
      <c r="C27" s="112" t="n">
        <v>10</v>
      </c>
      <c r="D27" s="112" t="n">
        <v>10</v>
      </c>
    </row>
    <row r="28" customFormat="false" ht="17.35" hidden="false" customHeight="false" outlineLevel="0" collapsed="false">
      <c r="A28" s="110" t="s">
        <v>524</v>
      </c>
      <c r="B28" s="114" t="s">
        <v>525</v>
      </c>
      <c r="C28" s="112" t="n">
        <v>1</v>
      </c>
      <c r="D28" s="112" t="n">
        <v>1</v>
      </c>
    </row>
    <row r="29" customFormat="false" ht="18.65" hidden="false" customHeight="false" outlineLevel="0" collapsed="false">
      <c r="A29" s="110" t="s">
        <v>526</v>
      </c>
      <c r="B29" s="114" t="s">
        <v>527</v>
      </c>
      <c r="C29" s="112" t="n">
        <v>10</v>
      </c>
      <c r="D29" s="112" t="n">
        <v>10</v>
      </c>
    </row>
    <row r="30" customFormat="false" ht="18.65" hidden="false" customHeight="false" outlineLevel="0" collapsed="false">
      <c r="A30" s="110" t="s">
        <v>528</v>
      </c>
      <c r="B30" s="114" t="s">
        <v>529</v>
      </c>
      <c r="C30" s="112" t="n">
        <v>10</v>
      </c>
      <c r="D30" s="112" t="n">
        <v>10</v>
      </c>
    </row>
    <row r="31" customFormat="false" ht="18.65" hidden="false" customHeight="false" outlineLevel="0" collapsed="false">
      <c r="A31" s="110" t="s">
        <v>530</v>
      </c>
      <c r="B31" s="114" t="s">
        <v>531</v>
      </c>
      <c r="C31" s="112" t="n">
        <v>10</v>
      </c>
      <c r="D31" s="112" t="n">
        <v>10</v>
      </c>
    </row>
    <row r="32" customFormat="false" ht="17.35" hidden="false" customHeight="false" outlineLevel="0" collapsed="false">
      <c r="A32" s="110" t="s">
        <v>532</v>
      </c>
      <c r="B32" s="114" t="s">
        <v>533</v>
      </c>
      <c r="C32" s="112" t="n">
        <v>10</v>
      </c>
      <c r="D32" s="112" t="n">
        <v>10</v>
      </c>
    </row>
    <row r="33" customFormat="false" ht="17.35" hidden="false" customHeight="false" outlineLevel="0" collapsed="false">
      <c r="A33" s="110" t="s">
        <v>534</v>
      </c>
      <c r="B33" s="114" t="s">
        <v>535</v>
      </c>
      <c r="C33" s="112" t="n">
        <v>10</v>
      </c>
      <c r="D33" s="112" t="n">
        <v>10</v>
      </c>
    </row>
    <row r="34" customFormat="false" ht="17.35" hidden="false" customHeight="false" outlineLevel="0" collapsed="false">
      <c r="A34" s="110" t="s">
        <v>536</v>
      </c>
      <c r="B34" s="113" t="s">
        <v>396</v>
      </c>
      <c r="C34" s="112" t="n">
        <v>30</v>
      </c>
      <c r="D34" s="112" t="n">
        <v>32</v>
      </c>
    </row>
    <row r="35" customFormat="false" ht="17.35" hidden="false" customHeight="false" outlineLevel="0" collapsed="false">
      <c r="A35" s="110" t="s">
        <v>537</v>
      </c>
      <c r="B35" s="114" t="s">
        <v>538</v>
      </c>
      <c r="C35" s="112" t="n">
        <v>150</v>
      </c>
      <c r="D35" s="112" t="n">
        <v>150</v>
      </c>
    </row>
    <row r="36" customFormat="false" ht="18.65" hidden="false" customHeight="false" outlineLevel="0" collapsed="false">
      <c r="A36" s="110" t="s">
        <v>539</v>
      </c>
      <c r="B36" s="113" t="s">
        <v>540</v>
      </c>
      <c r="C36" s="112" t="n">
        <v>5.2</v>
      </c>
      <c r="D36" s="112" t="n">
        <v>8</v>
      </c>
    </row>
    <row r="37" customFormat="false" ht="17.35" hidden="false" customHeight="false" outlineLevel="0" collapsed="false">
      <c r="A37" s="115" t="s">
        <v>541</v>
      </c>
      <c r="B37" s="113" t="s">
        <v>362</v>
      </c>
      <c r="C37" s="112" t="n">
        <v>4.5</v>
      </c>
      <c r="D37" s="112" t="n">
        <v>5</v>
      </c>
    </row>
    <row r="38" customFormat="false" ht="17.35" hidden="false" customHeight="false" outlineLevel="0" collapsed="false">
      <c r="A38" s="110" t="s">
        <v>542</v>
      </c>
      <c r="B38" s="114" t="s">
        <v>543</v>
      </c>
      <c r="C38" s="112" t="n">
        <v>620</v>
      </c>
      <c r="D38" s="112" t="n">
        <v>3.5</v>
      </c>
    </row>
    <row r="39" customFormat="false" ht="17.35" hidden="false" customHeight="false" outlineLevel="0" collapsed="false">
      <c r="A39" s="110" t="s">
        <v>544</v>
      </c>
      <c r="B39" s="114" t="s">
        <v>545</v>
      </c>
      <c r="C39" s="112" t="n">
        <v>8</v>
      </c>
      <c r="D39" s="112" t="n">
        <v>10</v>
      </c>
    </row>
    <row r="40" customFormat="false" ht="17.35" hidden="false" customHeight="false" outlineLevel="0" collapsed="false">
      <c r="A40" s="110" t="s">
        <v>546</v>
      </c>
      <c r="B40" s="114" t="s">
        <v>428</v>
      </c>
      <c r="C40" s="112" t="n">
        <v>8</v>
      </c>
      <c r="D40" s="112" t="n">
        <v>10</v>
      </c>
    </row>
    <row r="41" customFormat="false" ht="17.35" hidden="false" customHeight="false" outlineLevel="0" collapsed="false">
      <c r="A41" s="110" t="s">
        <v>547</v>
      </c>
      <c r="B41" s="114" t="s">
        <v>548</v>
      </c>
      <c r="C41" s="112" t="n">
        <v>1.59</v>
      </c>
      <c r="D41" s="112" t="n">
        <v>10</v>
      </c>
    </row>
    <row r="42" customFormat="false" ht="17.35" hidden="false" customHeight="false" outlineLevel="0" collapsed="false">
      <c r="A42" s="110" t="s">
        <v>549</v>
      </c>
      <c r="B42" s="114" t="s">
        <v>550</v>
      </c>
      <c r="C42" s="112" t="n">
        <v>1.98</v>
      </c>
      <c r="D42" s="112" t="n">
        <v>10</v>
      </c>
    </row>
    <row r="43" customFormat="false" ht="17.35" hidden="false" customHeight="false" outlineLevel="0" collapsed="false">
      <c r="A43" s="110" t="s">
        <v>551</v>
      </c>
      <c r="B43" s="114" t="s">
        <v>552</v>
      </c>
      <c r="C43" s="112" t="n">
        <v>1.3</v>
      </c>
      <c r="D43" s="112" t="n">
        <v>10</v>
      </c>
    </row>
    <row r="44" customFormat="false" ht="17.35" hidden="false" customHeight="false" outlineLevel="0" collapsed="false">
      <c r="A44" s="110" t="s">
        <v>553</v>
      </c>
      <c r="B44" s="114" t="s">
        <v>554</v>
      </c>
      <c r="C44" s="112" t="n">
        <v>1.3</v>
      </c>
      <c r="D44" s="112" t="n">
        <v>10</v>
      </c>
    </row>
    <row r="45" customFormat="false" ht="17.35" hidden="false" customHeight="false" outlineLevel="0" collapsed="false">
      <c r="A45" s="110" t="s">
        <v>555</v>
      </c>
      <c r="B45" s="114" t="s">
        <v>418</v>
      </c>
      <c r="C45" s="112" t="n">
        <v>1.7</v>
      </c>
      <c r="D45" s="112" t="n">
        <v>10</v>
      </c>
    </row>
    <row r="46" customFormat="false" ht="17.35" hidden="false" customHeight="false" outlineLevel="0" collapsed="false">
      <c r="A46" s="110" t="s">
        <v>556</v>
      </c>
      <c r="B46" s="114" t="s">
        <v>557</v>
      </c>
      <c r="C46" s="112" t="n">
        <v>1.66</v>
      </c>
      <c r="D46" s="112" t="n">
        <v>10</v>
      </c>
    </row>
    <row r="47" customFormat="false" ht="17.35" hidden="false" customHeight="false" outlineLevel="0" collapsed="false">
      <c r="A47" s="110" t="s">
        <v>558</v>
      </c>
      <c r="B47" s="114" t="s">
        <v>559</v>
      </c>
      <c r="C47" s="112" t="n">
        <v>1.9</v>
      </c>
      <c r="D47" s="112" t="n">
        <v>10</v>
      </c>
    </row>
    <row r="48" customFormat="false" ht="17.35" hidden="false" customHeight="false" outlineLevel="0" collapsed="false">
      <c r="A48" s="110" t="s">
        <v>560</v>
      </c>
      <c r="B48" s="114" t="s">
        <v>561</v>
      </c>
      <c r="C48" s="112" t="n">
        <v>1.28</v>
      </c>
      <c r="D48" s="112" t="n">
        <v>7</v>
      </c>
    </row>
    <row r="49" customFormat="false" ht="17.35" hidden="false" customHeight="false" outlineLevel="0" collapsed="false">
      <c r="A49" s="110" t="s">
        <v>562</v>
      </c>
      <c r="B49" s="114" t="s">
        <v>563</v>
      </c>
      <c r="C49" s="112" t="n">
        <v>1.62</v>
      </c>
      <c r="D49" s="112" t="n">
        <v>8</v>
      </c>
    </row>
    <row r="50" customFormat="false" ht="17.35" hidden="false" customHeight="false" outlineLevel="0" collapsed="false">
      <c r="A50" s="110" t="s">
        <v>564</v>
      </c>
      <c r="B50" s="113" t="s">
        <v>406</v>
      </c>
      <c r="C50" s="112" t="n">
        <v>16</v>
      </c>
      <c r="D50" s="112" t="n">
        <v>16</v>
      </c>
    </row>
    <row r="51" customFormat="false" ht="17.35" hidden="false" customHeight="false" outlineLevel="0" collapsed="false">
      <c r="A51" s="110" t="s">
        <v>565</v>
      </c>
      <c r="B51" s="113" t="s">
        <v>390</v>
      </c>
      <c r="C51" s="112" t="n">
        <v>17</v>
      </c>
      <c r="D51" s="112" t="n">
        <v>18</v>
      </c>
    </row>
    <row r="52" customFormat="false" ht="17.35" hidden="false" customHeight="false" outlineLevel="0" collapsed="false">
      <c r="A52" s="110" t="s">
        <v>566</v>
      </c>
      <c r="B52" s="113" t="s">
        <v>394</v>
      </c>
      <c r="C52" s="112" t="n">
        <v>18</v>
      </c>
      <c r="D52" s="112" t="n">
        <v>19</v>
      </c>
    </row>
    <row r="53" customFormat="false" ht="17.35" hidden="false" customHeight="false" outlineLevel="0" collapsed="false">
      <c r="A53" s="110" t="s">
        <v>567</v>
      </c>
      <c r="B53" s="113" t="s">
        <v>395</v>
      </c>
      <c r="C53" s="112" t="n">
        <v>17</v>
      </c>
      <c r="D53" s="112" t="n">
        <v>18</v>
      </c>
    </row>
    <row r="54" customFormat="false" ht="17.35" hidden="false" customHeight="false" outlineLevel="0" collapsed="false">
      <c r="A54" s="110" t="s">
        <v>568</v>
      </c>
      <c r="B54" s="113" t="s">
        <v>569</v>
      </c>
      <c r="C54" s="112" t="n">
        <v>17</v>
      </c>
      <c r="D54" s="112" t="n">
        <v>17</v>
      </c>
    </row>
    <row r="55" customFormat="false" ht="17.35" hidden="false" customHeight="false" outlineLevel="0" collapsed="false">
      <c r="A55" s="110" t="s">
        <v>570</v>
      </c>
      <c r="B55" s="113" t="s">
        <v>391</v>
      </c>
      <c r="C55" s="112" t="n">
        <v>17</v>
      </c>
      <c r="D55" s="112" t="n">
        <v>18</v>
      </c>
    </row>
    <row r="56" customFormat="false" ht="17.35" hidden="false" customHeight="false" outlineLevel="0" collapsed="false">
      <c r="A56" s="110" t="s">
        <v>571</v>
      </c>
      <c r="B56" s="113" t="s">
        <v>572</v>
      </c>
      <c r="C56" s="112" t="n">
        <v>20</v>
      </c>
      <c r="D56" s="112" t="n">
        <v>20</v>
      </c>
    </row>
    <row r="57" customFormat="false" ht="17.35" hidden="false" customHeight="false" outlineLevel="0" collapsed="false">
      <c r="A57" s="110" t="s">
        <v>573</v>
      </c>
      <c r="B57" s="113" t="s">
        <v>574</v>
      </c>
      <c r="C57" s="112" t="n">
        <v>20</v>
      </c>
      <c r="D57" s="112" t="n">
        <v>20</v>
      </c>
    </row>
    <row r="58" customFormat="false" ht="17.35" hidden="false" customHeight="false" outlineLevel="0" collapsed="false">
      <c r="A58" s="110" t="s">
        <v>575</v>
      </c>
      <c r="B58" s="114" t="s">
        <v>576</v>
      </c>
      <c r="C58" s="112" t="n">
        <v>100</v>
      </c>
      <c r="D58" s="112" t="n">
        <v>100</v>
      </c>
    </row>
    <row r="59" customFormat="false" ht="17.35" hidden="false" customHeight="false" outlineLevel="0" collapsed="false">
      <c r="A59" s="110" t="s">
        <v>577</v>
      </c>
      <c r="B59" s="113" t="s">
        <v>578</v>
      </c>
      <c r="C59" s="112" t="n">
        <v>10</v>
      </c>
      <c r="D59" s="112" t="n">
        <v>10</v>
      </c>
    </row>
    <row r="60" customFormat="false" ht="17.35" hidden="false" customHeight="false" outlineLevel="0" collapsed="false">
      <c r="A60" s="110" t="s">
        <v>579</v>
      </c>
      <c r="B60" s="113" t="s">
        <v>580</v>
      </c>
      <c r="C60" s="112" t="n">
        <v>10</v>
      </c>
      <c r="D60" s="112" t="n">
        <v>10</v>
      </c>
    </row>
    <row r="61" customFormat="false" ht="17.35" hidden="false" customHeight="false" outlineLevel="0" collapsed="false">
      <c r="A61" s="110" t="s">
        <v>581</v>
      </c>
      <c r="B61" s="113" t="s">
        <v>262</v>
      </c>
      <c r="C61" s="112" t="n">
        <v>13</v>
      </c>
      <c r="D61" s="112" t="n">
        <v>13</v>
      </c>
    </row>
    <row r="62" customFormat="false" ht="17.35" hidden="false" customHeight="false" outlineLevel="0" collapsed="false">
      <c r="A62" s="110" t="s">
        <v>582</v>
      </c>
      <c r="B62" s="114" t="s">
        <v>265</v>
      </c>
      <c r="C62" s="112" t="n">
        <v>8</v>
      </c>
      <c r="D62" s="112" t="n">
        <v>8</v>
      </c>
    </row>
    <row r="63" customFormat="false" ht="18.65" hidden="false" customHeight="false" outlineLevel="0" collapsed="false">
      <c r="A63" s="110" t="s">
        <v>583</v>
      </c>
      <c r="B63" s="113" t="s">
        <v>584</v>
      </c>
      <c r="C63" s="112" t="n">
        <v>5</v>
      </c>
      <c r="D63" s="112" t="n">
        <v>5</v>
      </c>
    </row>
    <row r="64" customFormat="false" ht="17.35" hidden="false" customHeight="false" outlineLevel="0" collapsed="false">
      <c r="A64" s="110" t="s">
        <v>585</v>
      </c>
      <c r="B64" s="114" t="s">
        <v>586</v>
      </c>
      <c r="C64" s="112" t="n">
        <v>5</v>
      </c>
      <c r="D64" s="112" t="n">
        <v>5</v>
      </c>
    </row>
    <row r="65" customFormat="false" ht="17.35" hidden="false" customHeight="false" outlineLevel="0" collapsed="false">
      <c r="A65" s="115" t="s">
        <v>587</v>
      </c>
      <c r="B65" s="113" t="s">
        <v>588</v>
      </c>
      <c r="C65" s="112" t="n">
        <v>15</v>
      </c>
      <c r="D65" s="112" t="n">
        <v>15</v>
      </c>
    </row>
    <row r="66" customFormat="false" ht="17.35" hidden="false" customHeight="false" outlineLevel="0" collapsed="false">
      <c r="A66" s="115" t="s">
        <v>589</v>
      </c>
      <c r="B66" s="113" t="s">
        <v>590</v>
      </c>
      <c r="C66" s="112" t="n">
        <v>10</v>
      </c>
      <c r="D66" s="112" t="n">
        <v>10</v>
      </c>
    </row>
    <row r="67" customFormat="false" ht="17.35" hidden="false" customHeight="false" outlineLevel="0" collapsed="false">
      <c r="A67" s="110" t="s">
        <v>591</v>
      </c>
      <c r="B67" s="114" t="s">
        <v>592</v>
      </c>
      <c r="C67" s="112" t="n">
        <v>7</v>
      </c>
      <c r="D67" s="112" t="n">
        <v>7</v>
      </c>
    </row>
    <row r="68" customFormat="false" ht="17.35" hidden="false" customHeight="false" outlineLevel="0" collapsed="false">
      <c r="A68" s="110" t="s">
        <v>593</v>
      </c>
      <c r="B68" s="114" t="s">
        <v>594</v>
      </c>
      <c r="C68" s="112" t="n">
        <v>15</v>
      </c>
      <c r="D68" s="112" t="n">
        <v>15</v>
      </c>
    </row>
    <row r="69" customFormat="false" ht="17.35" hidden="false" customHeight="false" outlineLevel="0" collapsed="false">
      <c r="A69" s="110" t="s">
        <v>595</v>
      </c>
      <c r="B69" s="114" t="s">
        <v>596</v>
      </c>
      <c r="C69" s="112" t="n">
        <v>15</v>
      </c>
      <c r="D69" s="112" t="n">
        <v>15</v>
      </c>
    </row>
    <row r="70" customFormat="false" ht="17.35" hidden="false" customHeight="false" outlineLevel="0" collapsed="false">
      <c r="A70" s="110" t="s">
        <v>597</v>
      </c>
      <c r="B70" s="113" t="s">
        <v>598</v>
      </c>
      <c r="C70" s="112" t="n">
        <v>15</v>
      </c>
      <c r="D70" s="112" t="n">
        <v>15</v>
      </c>
    </row>
    <row r="71" customFormat="false" ht="17.35" hidden="false" customHeight="false" outlineLevel="0" collapsed="false">
      <c r="A71" s="110" t="s">
        <v>599</v>
      </c>
      <c r="B71" s="114" t="s">
        <v>600</v>
      </c>
      <c r="C71" s="112" t="n">
        <v>15</v>
      </c>
      <c r="D71" s="112" t="n">
        <v>15</v>
      </c>
    </row>
    <row r="72" customFormat="false" ht="17.35" hidden="false" customHeight="false" outlineLevel="0" collapsed="false">
      <c r="A72" s="110" t="s">
        <v>601</v>
      </c>
      <c r="B72" s="114" t="s">
        <v>602</v>
      </c>
      <c r="C72" s="112" t="n">
        <v>15</v>
      </c>
      <c r="D72" s="112" t="n">
        <v>15</v>
      </c>
    </row>
    <row r="73" customFormat="false" ht="17.35" hidden="false" customHeight="false" outlineLevel="0" collapsed="false">
      <c r="A73" s="110" t="s">
        <v>603</v>
      </c>
      <c r="B73" s="113" t="s">
        <v>604</v>
      </c>
      <c r="C73" s="112" t="n">
        <v>15</v>
      </c>
      <c r="D73" s="112" t="n">
        <v>15</v>
      </c>
    </row>
    <row r="74" customFormat="false" ht="17.35" hidden="false" customHeight="false" outlineLevel="0" collapsed="false">
      <c r="A74" s="110" t="s">
        <v>605</v>
      </c>
      <c r="B74" s="113" t="s">
        <v>606</v>
      </c>
      <c r="C74" s="112" t="n">
        <v>15</v>
      </c>
      <c r="D74" s="112" t="n">
        <v>15</v>
      </c>
    </row>
    <row r="75" customFormat="false" ht="17.35" hidden="false" customHeight="false" outlineLevel="0" collapsed="false">
      <c r="A75" s="110" t="s">
        <v>607</v>
      </c>
      <c r="B75" s="113" t="s">
        <v>608</v>
      </c>
      <c r="C75" s="112" t="n">
        <v>15</v>
      </c>
      <c r="D75" s="112" t="n">
        <v>15</v>
      </c>
    </row>
    <row r="76" customFormat="false" ht="29.85" hidden="false" customHeight="false" outlineLevel="0" collapsed="false">
      <c r="A76" s="110" t="s">
        <v>609</v>
      </c>
      <c r="B76" s="116" t="s">
        <v>610</v>
      </c>
      <c r="C76" s="112" t="n">
        <v>15</v>
      </c>
      <c r="D76" s="112" t="n">
        <v>15</v>
      </c>
    </row>
    <row r="77" customFormat="false" ht="17.35" hidden="false" customHeight="false" outlineLevel="0" collapsed="false">
      <c r="A77" s="110" t="s">
        <v>611</v>
      </c>
      <c r="B77" s="114" t="s">
        <v>612</v>
      </c>
      <c r="C77" s="112" t="n">
        <v>15</v>
      </c>
      <c r="D77" s="112" t="n">
        <v>15</v>
      </c>
    </row>
    <row r="78" customFormat="false" ht="17.35" hidden="false" customHeight="false" outlineLevel="0" collapsed="false">
      <c r="A78" s="110" t="s">
        <v>613</v>
      </c>
      <c r="B78" s="113" t="s">
        <v>614</v>
      </c>
      <c r="C78" s="112" t="n">
        <v>15</v>
      </c>
      <c r="D78" s="112" t="n">
        <v>15</v>
      </c>
    </row>
    <row r="79" customFormat="false" ht="17.35" hidden="false" customHeight="false" outlineLevel="0" collapsed="false">
      <c r="A79" s="110" t="s">
        <v>615</v>
      </c>
      <c r="B79" s="114" t="s">
        <v>616</v>
      </c>
      <c r="C79" s="112" t="n">
        <v>15</v>
      </c>
      <c r="D79" s="112" t="n">
        <v>15</v>
      </c>
    </row>
    <row r="80" customFormat="false" ht="17.35" hidden="false" customHeight="false" outlineLevel="0" collapsed="false">
      <c r="A80" s="110" t="s">
        <v>617</v>
      </c>
      <c r="B80" s="113" t="s">
        <v>618</v>
      </c>
      <c r="C80" s="112" t="n">
        <v>15</v>
      </c>
      <c r="D80" s="112" t="n">
        <v>15</v>
      </c>
    </row>
    <row r="81" customFormat="false" ht="17.35" hidden="false" customHeight="false" outlineLevel="0" collapsed="false">
      <c r="A81" s="110" t="s">
        <v>619</v>
      </c>
      <c r="B81" s="113" t="s">
        <v>620</v>
      </c>
      <c r="C81" s="112" t="n">
        <v>15</v>
      </c>
      <c r="D81" s="112" t="n">
        <v>15</v>
      </c>
    </row>
    <row r="82" customFormat="false" ht="17.35" hidden="false" customHeight="false" outlineLevel="0" collapsed="false">
      <c r="A82" s="110" t="s">
        <v>621</v>
      </c>
      <c r="B82" s="113" t="s">
        <v>622</v>
      </c>
      <c r="C82" s="112" t="n">
        <v>15</v>
      </c>
      <c r="D82" s="112" t="n">
        <v>15</v>
      </c>
    </row>
    <row r="83" customFormat="false" ht="17.35" hidden="false" customHeight="false" outlineLevel="0" collapsed="false">
      <c r="A83" s="110" t="s">
        <v>623</v>
      </c>
      <c r="B83" s="114" t="s">
        <v>624</v>
      </c>
      <c r="C83" s="112" t="n">
        <v>15</v>
      </c>
      <c r="D83" s="112" t="n">
        <v>15</v>
      </c>
    </row>
    <row r="84" customFormat="false" ht="17.35" hidden="false" customHeight="false" outlineLevel="0" collapsed="false">
      <c r="A84" s="110" t="s">
        <v>625</v>
      </c>
      <c r="B84" s="114" t="s">
        <v>299</v>
      </c>
      <c r="C84" s="112" t="n">
        <v>15</v>
      </c>
      <c r="D84" s="112" t="n">
        <v>15</v>
      </c>
    </row>
    <row r="85" customFormat="false" ht="17.35" hidden="false" customHeight="false" outlineLevel="0" collapsed="false">
      <c r="A85" s="110" t="s">
        <v>626</v>
      </c>
      <c r="B85" s="114" t="s">
        <v>299</v>
      </c>
      <c r="C85" s="112" t="n">
        <v>4</v>
      </c>
      <c r="D85" s="112" t="n">
        <v>5</v>
      </c>
    </row>
    <row r="86" customFormat="false" ht="17.35" hidden="false" customHeight="false" outlineLevel="0" collapsed="false">
      <c r="A86" s="110" t="s">
        <v>627</v>
      </c>
      <c r="B86" s="114" t="s">
        <v>628</v>
      </c>
      <c r="C86" s="112" t="n">
        <v>15</v>
      </c>
      <c r="D86" s="112" t="n">
        <v>15</v>
      </c>
    </row>
    <row r="87" customFormat="false" ht="17.35" hidden="false" customHeight="false" outlineLevel="0" collapsed="false">
      <c r="A87" s="110" t="s">
        <v>629</v>
      </c>
      <c r="B87" s="114" t="s">
        <v>630</v>
      </c>
      <c r="C87" s="112" t="n">
        <v>80</v>
      </c>
      <c r="D87" s="112" t="n">
        <v>80</v>
      </c>
    </row>
    <row r="88" customFormat="false" ht="17.35" hidden="false" customHeight="false" outlineLevel="0" collapsed="false">
      <c r="A88" s="110" t="s">
        <v>631</v>
      </c>
      <c r="B88" s="113" t="s">
        <v>632</v>
      </c>
      <c r="C88" s="112" t="n">
        <v>1.56</v>
      </c>
      <c r="D88" s="112" t="n">
        <v>2.67</v>
      </c>
    </row>
    <row r="89" customFormat="false" ht="18.65" hidden="false" customHeight="false" outlineLevel="0" collapsed="false">
      <c r="A89" s="110" t="s">
        <v>633</v>
      </c>
      <c r="B89" s="113" t="s">
        <v>634</v>
      </c>
      <c r="C89" s="112" t="n">
        <v>1.81</v>
      </c>
      <c r="D89" s="112" t="n">
        <v>3.55</v>
      </c>
    </row>
    <row r="90" customFormat="false" ht="17.35" hidden="false" customHeight="false" outlineLevel="0" collapsed="false">
      <c r="A90" s="110" t="s">
        <v>635</v>
      </c>
      <c r="B90" s="113" t="s">
        <v>636</v>
      </c>
      <c r="C90" s="112" t="n">
        <v>1.96</v>
      </c>
      <c r="D90" s="112" t="n">
        <v>20</v>
      </c>
    </row>
    <row r="91" customFormat="false" ht="17.35" hidden="false" customHeight="false" outlineLevel="0" collapsed="false">
      <c r="A91" s="110" t="s">
        <v>637</v>
      </c>
      <c r="B91" s="113" t="s">
        <v>638</v>
      </c>
      <c r="C91" s="112" t="n">
        <v>30</v>
      </c>
      <c r="D91" s="112" t="n">
        <v>30</v>
      </c>
    </row>
    <row r="92" customFormat="false" ht="18.65" hidden="false" customHeight="false" outlineLevel="0" collapsed="false">
      <c r="A92" s="110" t="s">
        <v>639</v>
      </c>
      <c r="B92" s="113" t="s">
        <v>640</v>
      </c>
      <c r="C92" s="112" t="n">
        <v>25</v>
      </c>
      <c r="D92" s="112" t="n">
        <v>25</v>
      </c>
    </row>
    <row r="93" customFormat="false" ht="17.35" hidden="false" customHeight="false" outlineLevel="0" collapsed="false">
      <c r="A93" s="110" t="s">
        <v>641</v>
      </c>
      <c r="B93" s="113" t="s">
        <v>642</v>
      </c>
      <c r="C93" s="112" t="n">
        <v>25</v>
      </c>
      <c r="D93" s="112" t="n">
        <v>25</v>
      </c>
    </row>
    <row r="94" customFormat="false" ht="17.35" hidden="false" customHeight="false" outlineLevel="0" collapsed="false">
      <c r="A94" s="110" t="s">
        <v>643</v>
      </c>
      <c r="B94" s="113" t="s">
        <v>644</v>
      </c>
      <c r="C94" s="112" t="n">
        <v>25</v>
      </c>
      <c r="D94" s="112" t="n">
        <v>25</v>
      </c>
    </row>
    <row r="95" customFormat="false" ht="17.35" hidden="false" customHeight="false" outlineLevel="0" collapsed="false">
      <c r="A95" s="110" t="s">
        <v>645</v>
      </c>
      <c r="B95" s="113" t="s">
        <v>251</v>
      </c>
      <c r="C95" s="112" t="n">
        <v>5</v>
      </c>
      <c r="D95" s="112" t="n">
        <v>5</v>
      </c>
    </row>
    <row r="96" customFormat="false" ht="17.35" hidden="false" customHeight="false" outlineLevel="0" collapsed="false">
      <c r="A96" s="110" t="s">
        <v>646</v>
      </c>
      <c r="B96" s="113" t="s">
        <v>647</v>
      </c>
      <c r="C96" s="112" t="n">
        <v>37</v>
      </c>
      <c r="D96" s="112" t="n">
        <v>37</v>
      </c>
    </row>
    <row r="97" customFormat="false" ht="18.65" hidden="false" customHeight="false" outlineLevel="0" collapsed="false">
      <c r="A97" s="110" t="s">
        <v>648</v>
      </c>
      <c r="B97" s="114" t="s">
        <v>649</v>
      </c>
      <c r="C97" s="112" t="n">
        <v>120</v>
      </c>
      <c r="D97" s="112" t="n">
        <v>120</v>
      </c>
    </row>
    <row r="98" customFormat="false" ht="17.35" hidden="false" customHeight="false" outlineLevel="0" collapsed="false">
      <c r="A98" s="110" t="s">
        <v>650</v>
      </c>
      <c r="B98" s="113" t="s">
        <v>651</v>
      </c>
      <c r="C98" s="112" t="n">
        <v>120</v>
      </c>
      <c r="D98" s="112" t="n">
        <v>120</v>
      </c>
    </row>
    <row r="99" customFormat="false" ht="17.35" hidden="false" customHeight="false" outlineLevel="0" collapsed="false">
      <c r="A99" s="110" t="s">
        <v>652</v>
      </c>
      <c r="B99" s="114" t="s">
        <v>651</v>
      </c>
      <c r="C99" s="112" t="n">
        <v>120</v>
      </c>
      <c r="D99" s="112" t="n">
        <v>120</v>
      </c>
    </row>
    <row r="100" customFormat="false" ht="17.35" hidden="false" customHeight="false" outlineLevel="0" collapsed="false">
      <c r="A100" s="110" t="s">
        <v>653</v>
      </c>
      <c r="B100" s="114" t="s">
        <v>268</v>
      </c>
      <c r="C100" s="112" t="n">
        <v>4.5</v>
      </c>
      <c r="D100" s="112" t="n">
        <v>4.5</v>
      </c>
    </row>
    <row r="101" customFormat="false" ht="17.35" hidden="false" customHeight="false" outlineLevel="0" collapsed="false">
      <c r="A101" s="110" t="s">
        <v>654</v>
      </c>
      <c r="B101" s="114" t="s">
        <v>655</v>
      </c>
      <c r="C101" s="112" t="n">
        <v>150</v>
      </c>
      <c r="D101" s="112" t="n">
        <v>150</v>
      </c>
    </row>
    <row r="102" customFormat="false" ht="17.35" hidden="false" customHeight="false" outlineLevel="0" collapsed="false">
      <c r="A102" s="110" t="s">
        <v>656</v>
      </c>
      <c r="B102" s="114" t="s">
        <v>657</v>
      </c>
      <c r="C102" s="112" t="n">
        <v>5</v>
      </c>
      <c r="D102" s="112" t="n">
        <v>5</v>
      </c>
    </row>
    <row r="103" customFormat="false" ht="17.35" hidden="false" customHeight="false" outlineLevel="0" collapsed="false">
      <c r="A103" s="110" t="s">
        <v>658</v>
      </c>
      <c r="B103" s="114" t="s">
        <v>659</v>
      </c>
      <c r="C103" s="112" t="n">
        <v>5</v>
      </c>
      <c r="D103" s="112" t="n">
        <v>5</v>
      </c>
    </row>
    <row r="104" customFormat="false" ht="17.35" hidden="false" customHeight="false" outlineLevel="0" collapsed="false">
      <c r="A104" s="110" t="s">
        <v>660</v>
      </c>
      <c r="B104" s="113" t="s">
        <v>407</v>
      </c>
      <c r="C104" s="112" t="n">
        <v>35</v>
      </c>
      <c r="D104" s="112" t="n">
        <v>40</v>
      </c>
    </row>
    <row r="105" customFormat="false" ht="18.65" hidden="false" customHeight="false" outlineLevel="0" collapsed="false">
      <c r="A105" s="110" t="s">
        <v>661</v>
      </c>
      <c r="B105" s="113" t="s">
        <v>662</v>
      </c>
      <c r="C105" s="112" t="n">
        <v>15</v>
      </c>
      <c r="D105" s="112" t="n">
        <v>15</v>
      </c>
    </row>
    <row r="106" customFormat="false" ht="17.35" hidden="false" customHeight="false" outlineLevel="0" collapsed="false">
      <c r="A106" s="110" t="s">
        <v>663</v>
      </c>
      <c r="B106" s="114" t="s">
        <v>664</v>
      </c>
      <c r="C106" s="112" t="n">
        <v>25</v>
      </c>
      <c r="D106" s="112" t="n">
        <v>25</v>
      </c>
    </row>
    <row r="107" customFormat="false" ht="17.35" hidden="false" customHeight="false" outlineLevel="0" collapsed="false">
      <c r="A107" s="110" t="s">
        <v>665</v>
      </c>
      <c r="B107" s="114" t="s">
        <v>666</v>
      </c>
      <c r="C107" s="112" t="n">
        <v>15</v>
      </c>
      <c r="D107" s="112" t="n">
        <v>15</v>
      </c>
    </row>
    <row r="108" customFormat="false" ht="17.35" hidden="false" customHeight="false" outlineLevel="0" collapsed="false">
      <c r="A108" s="110" t="s">
        <v>667</v>
      </c>
      <c r="B108" s="113" t="s">
        <v>668</v>
      </c>
      <c r="C108" s="112" t="n">
        <v>180</v>
      </c>
      <c r="D108" s="112" t="n">
        <v>180</v>
      </c>
    </row>
    <row r="109" customFormat="false" ht="17.35" hidden="false" customHeight="false" outlineLevel="0" collapsed="false">
      <c r="A109" s="110" t="s">
        <v>669</v>
      </c>
      <c r="B109" s="114" t="s">
        <v>670</v>
      </c>
      <c r="C109" s="112" t="n">
        <v>1.22</v>
      </c>
      <c r="D109" s="112" t="n">
        <v>3.16</v>
      </c>
    </row>
    <row r="110" customFormat="false" ht="18.65" hidden="false" customHeight="false" outlineLevel="0" collapsed="false">
      <c r="A110" s="110" t="s">
        <v>671</v>
      </c>
      <c r="B110" s="114" t="s">
        <v>672</v>
      </c>
      <c r="C110" s="112" t="n">
        <v>20</v>
      </c>
      <c r="D110" s="112" t="n">
        <v>20</v>
      </c>
    </row>
    <row r="111" customFormat="false" ht="17.35" hidden="false" customHeight="false" outlineLevel="0" collapsed="false">
      <c r="A111" s="110" t="s">
        <v>673</v>
      </c>
      <c r="B111" s="113" t="s">
        <v>674</v>
      </c>
      <c r="C111" s="112" t="n">
        <v>7</v>
      </c>
      <c r="D111" s="112" t="n">
        <v>7</v>
      </c>
    </row>
    <row r="112" customFormat="false" ht="17.35" hidden="false" customHeight="false" outlineLevel="0" collapsed="false">
      <c r="A112" s="110" t="s">
        <v>675</v>
      </c>
      <c r="B112" s="114" t="s">
        <v>342</v>
      </c>
      <c r="C112" s="112" t="n">
        <v>15</v>
      </c>
      <c r="D112" s="112" t="n">
        <v>15</v>
      </c>
    </row>
    <row r="113" customFormat="false" ht="17.35" hidden="false" customHeight="false" outlineLevel="0" collapsed="false">
      <c r="A113" s="110" t="s">
        <v>676</v>
      </c>
      <c r="B113" s="114" t="s">
        <v>293</v>
      </c>
      <c r="C113" s="112" t="n">
        <v>20</v>
      </c>
      <c r="D113" s="112" t="n">
        <v>20</v>
      </c>
    </row>
    <row r="114" customFormat="false" ht="17.35" hidden="false" customHeight="false" outlineLevel="0" collapsed="false">
      <c r="A114" s="110" t="s">
        <v>677</v>
      </c>
      <c r="B114" s="114" t="s">
        <v>678</v>
      </c>
      <c r="C114" s="112" t="n">
        <v>20</v>
      </c>
      <c r="D114" s="112" t="n">
        <v>20</v>
      </c>
    </row>
    <row r="115" customFormat="false" ht="17.35" hidden="false" customHeight="false" outlineLevel="0" collapsed="false">
      <c r="A115" s="110" t="s">
        <v>679</v>
      </c>
      <c r="B115" s="114" t="s">
        <v>680</v>
      </c>
      <c r="C115" s="112" t="n">
        <v>20</v>
      </c>
      <c r="D115" s="112" t="n">
        <v>20</v>
      </c>
    </row>
    <row r="116" customFormat="false" ht="17.35" hidden="false" customHeight="false" outlineLevel="0" collapsed="false">
      <c r="A116" s="110" t="s">
        <v>681</v>
      </c>
      <c r="B116" s="113" t="s">
        <v>682</v>
      </c>
      <c r="C116" s="112" t="n">
        <v>15</v>
      </c>
      <c r="D116" s="112" t="n">
        <v>15</v>
      </c>
    </row>
    <row r="117" customFormat="false" ht="17.35" hidden="false" customHeight="false" outlineLevel="0" collapsed="false">
      <c r="A117" s="115" t="s">
        <v>683</v>
      </c>
      <c r="B117" s="113" t="s">
        <v>684</v>
      </c>
      <c r="C117" s="112" t="n">
        <v>20</v>
      </c>
      <c r="D117" s="112" t="n">
        <v>20</v>
      </c>
    </row>
    <row r="118" customFormat="false" ht="17.35" hidden="false" customHeight="false" outlineLevel="0" collapsed="false">
      <c r="A118" s="110" t="s">
        <v>685</v>
      </c>
      <c r="B118" s="114" t="s">
        <v>446</v>
      </c>
      <c r="C118" s="112" t="n">
        <v>40</v>
      </c>
      <c r="D118" s="112" t="n">
        <v>45</v>
      </c>
    </row>
    <row r="119" customFormat="false" ht="17.35" hidden="false" customHeight="false" outlineLevel="0" collapsed="false">
      <c r="A119" s="110" t="s">
        <v>686</v>
      </c>
      <c r="B119" s="114" t="s">
        <v>687</v>
      </c>
      <c r="C119" s="112" t="n">
        <v>20</v>
      </c>
      <c r="D119" s="112" t="n">
        <v>20</v>
      </c>
    </row>
    <row r="120" customFormat="false" ht="17.35" hidden="false" customHeight="false" outlineLevel="0" collapsed="false">
      <c r="A120" s="110" t="s">
        <v>688</v>
      </c>
      <c r="B120" s="114" t="s">
        <v>230</v>
      </c>
      <c r="C120" s="112" t="n">
        <v>20</v>
      </c>
      <c r="D120" s="112" t="n">
        <v>20</v>
      </c>
    </row>
    <row r="121" customFormat="false" ht="17.35" hidden="false" customHeight="false" outlineLevel="0" collapsed="false">
      <c r="A121" s="110" t="s">
        <v>689</v>
      </c>
      <c r="B121" s="114" t="s">
        <v>229</v>
      </c>
      <c r="C121" s="112" t="n">
        <v>13.5</v>
      </c>
      <c r="D121" s="112" t="n">
        <v>16</v>
      </c>
    </row>
    <row r="122" customFormat="false" ht="17.35" hidden="false" customHeight="false" outlineLevel="0" collapsed="false">
      <c r="A122" s="110" t="s">
        <v>690</v>
      </c>
      <c r="B122" s="114" t="s">
        <v>691</v>
      </c>
      <c r="C122" s="112" t="n">
        <v>20</v>
      </c>
      <c r="D122" s="112" t="n">
        <v>20</v>
      </c>
    </row>
    <row r="123" customFormat="false" ht="17.35" hidden="false" customHeight="false" outlineLevel="0" collapsed="false">
      <c r="A123" s="110" t="s">
        <v>692</v>
      </c>
      <c r="B123" s="113" t="s">
        <v>693</v>
      </c>
      <c r="C123" s="112" t="n">
        <v>20</v>
      </c>
      <c r="D123" s="112" t="n">
        <v>20</v>
      </c>
    </row>
    <row r="124" customFormat="false" ht="17.35" hidden="false" customHeight="false" outlineLevel="0" collapsed="false">
      <c r="A124" s="110" t="s">
        <v>694</v>
      </c>
      <c r="B124" s="114" t="s">
        <v>695</v>
      </c>
      <c r="C124" s="112" t="n">
        <v>20</v>
      </c>
      <c r="D124" s="112" t="n">
        <v>20</v>
      </c>
    </row>
    <row r="125" customFormat="false" ht="17.35" hidden="false" customHeight="false" outlineLevel="0" collapsed="false">
      <c r="A125" s="110" t="s">
        <v>696</v>
      </c>
      <c r="B125" s="114" t="s">
        <v>695</v>
      </c>
      <c r="C125" s="112" t="n">
        <v>20</v>
      </c>
      <c r="D125" s="112" t="n">
        <v>20</v>
      </c>
    </row>
    <row r="126" customFormat="false" ht="17.35" hidden="false" customHeight="false" outlineLevel="0" collapsed="false">
      <c r="A126" s="110" t="s">
        <v>697</v>
      </c>
      <c r="B126" s="117" t="s">
        <v>698</v>
      </c>
      <c r="C126" s="112" t="n">
        <v>20</v>
      </c>
      <c r="D126" s="112" t="n">
        <v>20</v>
      </c>
    </row>
    <row r="127" customFormat="false" ht="17.35" hidden="false" customHeight="false" outlineLevel="0" collapsed="false">
      <c r="A127" s="110" t="s">
        <v>699</v>
      </c>
      <c r="B127" s="113" t="s">
        <v>700</v>
      </c>
      <c r="C127" s="112" t="n">
        <v>20</v>
      </c>
      <c r="D127" s="112" t="n">
        <v>20</v>
      </c>
    </row>
    <row r="128" customFormat="false" ht="17.35" hidden="false" customHeight="false" outlineLevel="0" collapsed="false">
      <c r="A128" s="110" t="s">
        <v>701</v>
      </c>
      <c r="B128" s="114" t="s">
        <v>702</v>
      </c>
      <c r="C128" s="112" t="n">
        <v>20</v>
      </c>
      <c r="D128" s="112" t="n">
        <v>20</v>
      </c>
    </row>
    <row r="129" customFormat="false" ht="17.35" hidden="false" customHeight="false" outlineLevel="0" collapsed="false">
      <c r="A129" s="110" t="s">
        <v>703</v>
      </c>
      <c r="B129" s="114" t="s">
        <v>704</v>
      </c>
      <c r="C129" s="112" t="n">
        <v>10</v>
      </c>
      <c r="D129" s="112" t="n">
        <v>10</v>
      </c>
    </row>
    <row r="130" customFormat="false" ht="17.35" hidden="false" customHeight="false" outlineLevel="0" collapsed="false">
      <c r="A130" s="110" t="s">
        <v>705</v>
      </c>
      <c r="B130" s="113" t="s">
        <v>706</v>
      </c>
      <c r="C130" s="112" t="n">
        <v>15</v>
      </c>
      <c r="D130" s="112" t="n">
        <v>15</v>
      </c>
    </row>
    <row r="131" customFormat="false" ht="17.35" hidden="false" customHeight="false" outlineLevel="0" collapsed="false">
      <c r="A131" s="110" t="s">
        <v>707</v>
      </c>
      <c r="B131" s="114" t="s">
        <v>706</v>
      </c>
      <c r="C131" s="112" t="n">
        <v>15</v>
      </c>
      <c r="D131" s="112" t="n">
        <v>15</v>
      </c>
    </row>
    <row r="132" customFormat="false" ht="17.35" hidden="false" customHeight="false" outlineLevel="0" collapsed="false">
      <c r="A132" s="110" t="s">
        <v>708</v>
      </c>
      <c r="B132" s="114" t="s">
        <v>709</v>
      </c>
      <c r="C132" s="112" t="n">
        <v>15</v>
      </c>
      <c r="D132" s="112" t="n">
        <v>15</v>
      </c>
    </row>
    <row r="133" customFormat="false" ht="17.35" hidden="false" customHeight="false" outlineLevel="0" collapsed="false">
      <c r="A133" s="110" t="s">
        <v>710</v>
      </c>
      <c r="B133" s="114" t="s">
        <v>709</v>
      </c>
      <c r="C133" s="112" t="n">
        <v>15</v>
      </c>
      <c r="D133" s="112" t="n">
        <v>15</v>
      </c>
    </row>
    <row r="134" customFormat="false" ht="17.35" hidden="false" customHeight="false" outlineLevel="0" collapsed="false">
      <c r="A134" s="110" t="s">
        <v>697</v>
      </c>
      <c r="B134" s="113" t="s">
        <v>711</v>
      </c>
      <c r="C134" s="112" t="n">
        <v>10</v>
      </c>
      <c r="D134" s="112" t="n">
        <v>10</v>
      </c>
    </row>
    <row r="135" customFormat="false" ht="17.35" hidden="false" customHeight="false" outlineLevel="0" collapsed="false">
      <c r="A135" s="110" t="s">
        <v>712</v>
      </c>
      <c r="B135" s="114" t="s">
        <v>713</v>
      </c>
      <c r="C135" s="112" t="n">
        <v>18</v>
      </c>
      <c r="D135" s="112" t="n">
        <v>18</v>
      </c>
    </row>
    <row r="136" customFormat="false" ht="17.35" hidden="false" customHeight="false" outlineLevel="0" collapsed="false">
      <c r="A136" s="110" t="s">
        <v>714</v>
      </c>
      <c r="B136" s="113" t="s">
        <v>715</v>
      </c>
      <c r="C136" s="112" t="n">
        <v>90</v>
      </c>
      <c r="D136" s="112" t="n">
        <v>90</v>
      </c>
    </row>
    <row r="137" customFormat="false" ht="17.35" hidden="false" customHeight="false" outlineLevel="0" collapsed="false">
      <c r="A137" s="110" t="s">
        <v>716</v>
      </c>
      <c r="B137" s="114" t="s">
        <v>717</v>
      </c>
      <c r="C137" s="112" t="n">
        <v>19</v>
      </c>
      <c r="D137" s="112" t="n">
        <v>19</v>
      </c>
    </row>
    <row r="138" customFormat="false" ht="17.35" hidden="false" customHeight="false" outlineLevel="0" collapsed="false">
      <c r="A138" s="110" t="s">
        <v>718</v>
      </c>
      <c r="B138" s="113" t="s">
        <v>719</v>
      </c>
      <c r="C138" s="112" t="n">
        <v>40</v>
      </c>
      <c r="D138" s="112" t="n">
        <v>40</v>
      </c>
    </row>
    <row r="139" customFormat="false" ht="17.35" hidden="false" customHeight="false" outlineLevel="0" collapsed="false">
      <c r="A139" s="110" t="s">
        <v>720</v>
      </c>
      <c r="B139" s="114" t="s">
        <v>721</v>
      </c>
      <c r="C139" s="112" t="n">
        <v>150</v>
      </c>
      <c r="D139" s="112" t="n">
        <v>150</v>
      </c>
    </row>
    <row r="140" customFormat="false" ht="17.35" hidden="false" customHeight="false" outlineLevel="0" collapsed="false">
      <c r="A140" s="110" t="s">
        <v>722</v>
      </c>
      <c r="B140" s="114" t="s">
        <v>723</v>
      </c>
      <c r="C140" s="112" t="n">
        <v>30</v>
      </c>
      <c r="D140" s="112" t="n">
        <v>30</v>
      </c>
    </row>
    <row r="141" customFormat="false" ht="17.35" hidden="false" customHeight="false" outlineLevel="0" collapsed="false">
      <c r="A141" s="110" t="s">
        <v>724</v>
      </c>
      <c r="B141" s="113" t="s">
        <v>194</v>
      </c>
      <c r="C141" s="112" t="n">
        <v>25</v>
      </c>
      <c r="D141" s="112" t="n">
        <v>25</v>
      </c>
    </row>
    <row r="142" customFormat="false" ht="18.65" hidden="false" customHeight="false" outlineLevel="0" collapsed="false">
      <c r="A142" s="110" t="s">
        <v>725</v>
      </c>
      <c r="B142" s="113" t="s">
        <v>726</v>
      </c>
      <c r="C142" s="112" t="n">
        <v>6.5</v>
      </c>
      <c r="D142" s="112" t="n">
        <v>6.5</v>
      </c>
    </row>
    <row r="143" customFormat="false" ht="17.35" hidden="false" customHeight="false" outlineLevel="0" collapsed="false">
      <c r="A143" s="110" t="s">
        <v>727</v>
      </c>
      <c r="B143" s="113" t="s">
        <v>728</v>
      </c>
      <c r="C143" s="112" t="n">
        <v>6.5</v>
      </c>
      <c r="D143" s="112" t="n">
        <v>6.5</v>
      </c>
    </row>
    <row r="144" customFormat="false" ht="17.35" hidden="false" customHeight="false" outlineLevel="0" collapsed="false">
      <c r="A144" s="110" t="s">
        <v>729</v>
      </c>
      <c r="B144" s="113" t="s">
        <v>730</v>
      </c>
      <c r="C144" s="112" t="n">
        <v>6.5</v>
      </c>
      <c r="D144" s="112" t="n">
        <v>6.5</v>
      </c>
    </row>
    <row r="145" customFormat="false" ht="17.35" hidden="false" customHeight="false" outlineLevel="0" collapsed="false">
      <c r="A145" s="110" t="s">
        <v>731</v>
      </c>
      <c r="B145" s="114" t="s">
        <v>732</v>
      </c>
      <c r="C145" s="112" t="n">
        <v>1.96</v>
      </c>
      <c r="D145" s="112" t="n">
        <v>3.04</v>
      </c>
    </row>
    <row r="146" customFormat="false" ht="17.35" hidden="false" customHeight="false" outlineLevel="0" collapsed="false">
      <c r="A146" s="110" t="s">
        <v>733</v>
      </c>
      <c r="B146" s="114" t="s">
        <v>734</v>
      </c>
      <c r="C146" s="112" t="n">
        <v>1.66</v>
      </c>
      <c r="D146" s="112" t="n">
        <v>2.75</v>
      </c>
    </row>
    <row r="147" customFormat="false" ht="17.35" hidden="false" customHeight="false" outlineLevel="0" collapsed="false">
      <c r="A147" s="110" t="s">
        <v>735</v>
      </c>
      <c r="B147" s="114" t="s">
        <v>736</v>
      </c>
      <c r="C147" s="112" t="n">
        <v>20</v>
      </c>
      <c r="D147" s="112" t="n">
        <v>20</v>
      </c>
    </row>
    <row r="148" customFormat="false" ht="17.35" hidden="false" customHeight="false" outlineLevel="0" collapsed="false">
      <c r="A148" s="110" t="s">
        <v>737</v>
      </c>
      <c r="B148" s="114" t="s">
        <v>738</v>
      </c>
      <c r="C148" s="112" t="n">
        <v>20</v>
      </c>
      <c r="D148" s="112" t="n">
        <v>20</v>
      </c>
    </row>
    <row r="149" customFormat="false" ht="17.35" hidden="false" customHeight="false" outlineLevel="0" collapsed="false">
      <c r="A149" s="110" t="s">
        <v>739</v>
      </c>
      <c r="B149" s="114" t="s">
        <v>740</v>
      </c>
      <c r="C149" s="112" t="n">
        <v>20</v>
      </c>
      <c r="D149" s="112" t="n">
        <v>20</v>
      </c>
    </row>
    <row r="150" customFormat="false" ht="17.35" hidden="false" customHeight="false" outlineLevel="0" collapsed="false">
      <c r="A150" s="110" t="s">
        <v>741</v>
      </c>
      <c r="B150" s="114" t="s">
        <v>742</v>
      </c>
      <c r="C150" s="112" t="n">
        <v>20</v>
      </c>
      <c r="D150" s="112" t="n">
        <v>20</v>
      </c>
    </row>
    <row r="151" customFormat="false" ht="17.35" hidden="false" customHeight="false" outlineLevel="0" collapsed="false">
      <c r="A151" s="110" t="s">
        <v>743</v>
      </c>
      <c r="B151" s="114" t="s">
        <v>744</v>
      </c>
      <c r="C151" s="112" t="n">
        <v>40</v>
      </c>
      <c r="D151" s="112" t="n">
        <v>40</v>
      </c>
    </row>
    <row r="152" customFormat="false" ht="17.35" hidden="false" customHeight="false" outlineLevel="0" collapsed="false">
      <c r="A152" s="110" t="s">
        <v>745</v>
      </c>
      <c r="B152" s="114" t="s">
        <v>746</v>
      </c>
      <c r="C152" s="112" t="n">
        <v>40</v>
      </c>
      <c r="D152" s="112" t="n">
        <v>40</v>
      </c>
    </row>
    <row r="153" customFormat="false" ht="18.65" hidden="false" customHeight="false" outlineLevel="0" collapsed="false">
      <c r="A153" s="110" t="s">
        <v>747</v>
      </c>
      <c r="B153" s="114" t="s">
        <v>748</v>
      </c>
      <c r="C153" s="112" t="n">
        <v>35</v>
      </c>
      <c r="D153" s="112" t="n">
        <v>35</v>
      </c>
    </row>
    <row r="154" customFormat="false" ht="17.35" hidden="false" customHeight="false" outlineLevel="0" collapsed="false">
      <c r="A154" s="110" t="s">
        <v>749</v>
      </c>
      <c r="B154" s="113" t="s">
        <v>750</v>
      </c>
      <c r="C154" s="112" t="n">
        <v>20</v>
      </c>
      <c r="D154" s="112" t="n">
        <v>20</v>
      </c>
    </row>
    <row r="155" customFormat="false" ht="17.35" hidden="false" customHeight="false" outlineLevel="0" collapsed="false">
      <c r="A155" s="110" t="s">
        <v>751</v>
      </c>
      <c r="B155" s="114" t="s">
        <v>237</v>
      </c>
      <c r="C155" s="112" t="n">
        <v>35</v>
      </c>
      <c r="D155" s="112" t="n">
        <v>35</v>
      </c>
    </row>
    <row r="156" customFormat="false" ht="15.65" hidden="false" customHeight="false" outlineLevel="0" collapsed="false">
      <c r="A156" s="110" t="s">
        <v>752</v>
      </c>
      <c r="B156" s="114" t="s">
        <v>753</v>
      </c>
      <c r="C156" s="112" t="n">
        <v>35</v>
      </c>
      <c r="D156" s="112" t="n">
        <v>35</v>
      </c>
    </row>
    <row r="157" customFormat="false" ht="15.65" hidden="false" customHeight="false" outlineLevel="0" collapsed="false">
      <c r="A157" s="110" t="s">
        <v>754</v>
      </c>
      <c r="B157" s="113" t="s">
        <v>755</v>
      </c>
      <c r="C157" s="112" t="n">
        <v>35</v>
      </c>
      <c r="D157" s="112" t="n">
        <v>35</v>
      </c>
    </row>
    <row r="158" customFormat="false" ht="18.65" hidden="false" customHeight="false" outlineLevel="0" collapsed="false">
      <c r="A158" s="110" t="s">
        <v>756</v>
      </c>
      <c r="B158" s="113" t="s">
        <v>757</v>
      </c>
      <c r="C158" s="112" t="n">
        <v>30</v>
      </c>
      <c r="D158" s="112" t="n">
        <v>30</v>
      </c>
    </row>
    <row r="159" customFormat="false" ht="17.35" hidden="false" customHeight="false" outlineLevel="0" collapsed="false">
      <c r="A159" s="110" t="s">
        <v>758</v>
      </c>
      <c r="B159" s="114" t="s">
        <v>759</v>
      </c>
      <c r="C159" s="112" t="n">
        <v>30</v>
      </c>
      <c r="D159" s="112" t="n">
        <v>30</v>
      </c>
    </row>
    <row r="160" customFormat="false" ht="17.35" hidden="false" customHeight="false" outlineLevel="0" collapsed="false">
      <c r="A160" s="110" t="s">
        <v>760</v>
      </c>
      <c r="B160" s="113" t="s">
        <v>761</v>
      </c>
      <c r="C160" s="112" t="n">
        <v>30</v>
      </c>
      <c r="D160" s="112" t="n">
        <v>30</v>
      </c>
    </row>
    <row r="161" customFormat="false" ht="17.35" hidden="false" customHeight="false" outlineLevel="0" collapsed="false">
      <c r="A161" s="110" t="s">
        <v>762</v>
      </c>
      <c r="B161" s="113" t="s">
        <v>763</v>
      </c>
      <c r="C161" s="112" t="n">
        <v>30</v>
      </c>
      <c r="D161" s="112" t="n">
        <v>30</v>
      </c>
    </row>
    <row r="162" customFormat="false" ht="17.35" hidden="false" customHeight="false" outlineLevel="0" collapsed="false">
      <c r="A162" s="110" t="s">
        <v>764</v>
      </c>
      <c r="B162" s="113" t="s">
        <v>765</v>
      </c>
      <c r="C162" s="112" t="n">
        <v>30</v>
      </c>
      <c r="D162" s="112" t="n">
        <v>30</v>
      </c>
    </row>
    <row r="163" customFormat="false" ht="17.35" hidden="false" customHeight="false" outlineLevel="0" collapsed="false">
      <c r="A163" s="110" t="s">
        <v>766</v>
      </c>
      <c r="B163" s="113" t="s">
        <v>767</v>
      </c>
      <c r="C163" s="112" t="n">
        <v>30</v>
      </c>
      <c r="D163" s="112" t="n">
        <v>30</v>
      </c>
    </row>
    <row r="164" customFormat="false" ht="17.35" hidden="false" customHeight="false" outlineLevel="0" collapsed="false">
      <c r="A164" s="110" t="s">
        <v>768</v>
      </c>
      <c r="B164" s="114" t="s">
        <v>292</v>
      </c>
      <c r="C164" s="112" t="n">
        <v>20</v>
      </c>
      <c r="D164" s="112" t="n">
        <v>20</v>
      </c>
    </row>
    <row r="165" customFormat="false" ht="18.65" hidden="false" customHeight="false" outlineLevel="0" collapsed="false">
      <c r="A165" s="110" t="s">
        <v>769</v>
      </c>
      <c r="B165" s="113" t="s">
        <v>770</v>
      </c>
      <c r="C165" s="112" t="n">
        <v>20</v>
      </c>
      <c r="D165" s="112" t="n">
        <v>20</v>
      </c>
    </row>
    <row r="166" customFormat="false" ht="17.35" hidden="false" customHeight="false" outlineLevel="0" collapsed="false">
      <c r="A166" s="110" t="s">
        <v>771</v>
      </c>
      <c r="B166" s="113" t="s">
        <v>772</v>
      </c>
      <c r="C166" s="112" t="n">
        <v>30</v>
      </c>
      <c r="D166" s="112" t="n">
        <v>30</v>
      </c>
    </row>
    <row r="167" customFormat="false" ht="17.35" hidden="false" customHeight="false" outlineLevel="0" collapsed="false">
      <c r="A167" s="110" t="s">
        <v>773</v>
      </c>
      <c r="B167" s="114" t="s">
        <v>287</v>
      </c>
      <c r="C167" s="112" t="n">
        <v>80</v>
      </c>
      <c r="D167" s="112" t="n">
        <v>80</v>
      </c>
    </row>
    <row r="168" customFormat="false" ht="17.35" hidden="false" customHeight="false" outlineLevel="0" collapsed="false">
      <c r="A168" s="110" t="s">
        <v>774</v>
      </c>
      <c r="B168" s="113" t="s">
        <v>225</v>
      </c>
      <c r="C168" s="112" t="n">
        <v>30</v>
      </c>
      <c r="D168" s="112" t="n">
        <v>30</v>
      </c>
    </row>
    <row r="169" customFormat="false" ht="17.35" hidden="false" customHeight="false" outlineLevel="0" collapsed="false">
      <c r="A169" s="110" t="s">
        <v>775</v>
      </c>
      <c r="B169" s="113" t="s">
        <v>776</v>
      </c>
      <c r="C169" s="112" t="n">
        <v>30</v>
      </c>
      <c r="D169" s="112" t="n">
        <v>30</v>
      </c>
    </row>
    <row r="170" customFormat="false" ht="17.35" hidden="false" customHeight="false" outlineLevel="0" collapsed="false">
      <c r="A170" s="110" t="s">
        <v>777</v>
      </c>
      <c r="B170" s="113" t="s">
        <v>224</v>
      </c>
      <c r="C170" s="112" t="n">
        <v>30</v>
      </c>
      <c r="D170" s="112" t="n">
        <v>30</v>
      </c>
    </row>
    <row r="171" customFormat="false" ht="17.35" hidden="false" customHeight="false" outlineLevel="0" collapsed="false">
      <c r="A171" s="110" t="s">
        <v>778</v>
      </c>
      <c r="B171" s="113" t="s">
        <v>779</v>
      </c>
      <c r="C171" s="112" t="n">
        <v>50</v>
      </c>
      <c r="D171" s="112" t="n">
        <v>50</v>
      </c>
    </row>
    <row r="172" customFormat="false" ht="18.65" hidden="false" customHeight="false" outlineLevel="0" collapsed="false">
      <c r="A172" s="110" t="s">
        <v>780</v>
      </c>
      <c r="B172" s="114" t="s">
        <v>781</v>
      </c>
      <c r="C172" s="112" t="n">
        <v>15</v>
      </c>
      <c r="D172" s="112" t="n">
        <v>15</v>
      </c>
    </row>
    <row r="173" customFormat="false" ht="15.65" hidden="false" customHeight="false" outlineLevel="0" collapsed="false">
      <c r="A173" s="110" t="s">
        <v>782</v>
      </c>
      <c r="B173" s="114" t="s">
        <v>783</v>
      </c>
      <c r="C173" s="112" t="n">
        <v>350</v>
      </c>
      <c r="D173" s="112" t="n">
        <v>350</v>
      </c>
    </row>
    <row r="174" customFormat="false" ht="17.35" hidden="false" customHeight="false" outlineLevel="0" collapsed="false">
      <c r="A174" s="110" t="s">
        <v>784</v>
      </c>
      <c r="B174" s="113" t="s">
        <v>785</v>
      </c>
      <c r="C174" s="112" t="n">
        <v>130</v>
      </c>
      <c r="D174" s="112" t="n">
        <v>130</v>
      </c>
    </row>
    <row r="175" customFormat="false" ht="17.35" hidden="false" customHeight="false" outlineLevel="0" collapsed="false">
      <c r="A175" s="110" t="s">
        <v>786</v>
      </c>
      <c r="B175" s="113" t="s">
        <v>787</v>
      </c>
      <c r="C175" s="112" t="n">
        <v>130</v>
      </c>
      <c r="D175" s="112" t="n">
        <v>130</v>
      </c>
    </row>
    <row r="176" customFormat="false" ht="17.35" hidden="false" customHeight="false" outlineLevel="0" collapsed="false">
      <c r="A176" s="110" t="s">
        <v>788</v>
      </c>
      <c r="B176" s="113" t="s">
        <v>789</v>
      </c>
      <c r="C176" s="112" t="n">
        <v>130</v>
      </c>
      <c r="D176" s="112" t="n">
        <v>130</v>
      </c>
    </row>
    <row r="177" customFormat="false" ht="17.35" hidden="false" customHeight="false" outlineLevel="0" collapsed="false">
      <c r="A177" s="110" t="s">
        <v>790</v>
      </c>
      <c r="B177" s="113" t="s">
        <v>791</v>
      </c>
      <c r="C177" s="112" t="n">
        <v>70</v>
      </c>
      <c r="D177" s="112" t="n">
        <v>70</v>
      </c>
    </row>
    <row r="178" customFormat="false" ht="17.35" hidden="false" customHeight="false" outlineLevel="0" collapsed="false">
      <c r="A178" s="110" t="s">
        <v>792</v>
      </c>
      <c r="B178" s="114" t="s">
        <v>793</v>
      </c>
      <c r="C178" s="112" t="n">
        <v>1.24</v>
      </c>
      <c r="D178" s="112" t="n">
        <v>3.22</v>
      </c>
    </row>
    <row r="179" customFormat="false" ht="17.35" hidden="false" customHeight="false" outlineLevel="0" collapsed="false">
      <c r="A179" s="110" t="s">
        <v>794</v>
      </c>
      <c r="B179" s="114" t="s">
        <v>258</v>
      </c>
      <c r="C179" s="112" t="n">
        <v>300</v>
      </c>
      <c r="D179" s="112" t="n">
        <v>300</v>
      </c>
    </row>
    <row r="180" customFormat="false" ht="18.65" hidden="false" customHeight="false" outlineLevel="0" collapsed="false">
      <c r="A180" s="110" t="s">
        <v>795</v>
      </c>
      <c r="B180" s="114" t="s">
        <v>796</v>
      </c>
      <c r="C180" s="112" t="n">
        <v>180</v>
      </c>
      <c r="D180" s="112" t="n">
        <v>180</v>
      </c>
    </row>
    <row r="181" customFormat="false" ht="17.35" hidden="false" customHeight="false" outlineLevel="0" collapsed="false">
      <c r="A181" s="110" t="s">
        <v>797</v>
      </c>
      <c r="B181" s="114" t="s">
        <v>798</v>
      </c>
      <c r="C181" s="112" t="n">
        <v>1.03</v>
      </c>
      <c r="D181" s="112" t="n">
        <v>2.34</v>
      </c>
    </row>
    <row r="182" customFormat="false" ht="17.35" hidden="false" customHeight="false" outlineLevel="0" collapsed="false">
      <c r="A182" s="110" t="s">
        <v>799</v>
      </c>
      <c r="B182" s="114" t="s">
        <v>800</v>
      </c>
      <c r="C182" s="112" t="n">
        <v>10</v>
      </c>
      <c r="D182" s="112" t="n">
        <v>10</v>
      </c>
    </row>
    <row r="183" customFormat="false" ht="18.65" hidden="false" customHeight="false" outlineLevel="0" collapsed="false">
      <c r="A183" s="110" t="s">
        <v>801</v>
      </c>
      <c r="B183" s="113" t="s">
        <v>802</v>
      </c>
      <c r="C183" s="112" t="n">
        <v>15</v>
      </c>
      <c r="D183" s="112" t="n">
        <v>15</v>
      </c>
    </row>
    <row r="184" customFormat="false" ht="17.35" hidden="false" customHeight="false" outlineLevel="0" collapsed="false">
      <c r="A184" s="110" t="s">
        <v>803</v>
      </c>
      <c r="B184" s="113" t="s">
        <v>804</v>
      </c>
      <c r="C184" s="112" t="n">
        <v>15</v>
      </c>
      <c r="D184" s="112" t="n">
        <v>15</v>
      </c>
    </row>
    <row r="185" customFormat="false" ht="17.35" hidden="false" customHeight="false" outlineLevel="0" collapsed="false">
      <c r="A185" s="110" t="s">
        <v>805</v>
      </c>
      <c r="B185" s="113" t="s">
        <v>806</v>
      </c>
      <c r="C185" s="112" t="n">
        <v>35</v>
      </c>
      <c r="D185" s="112" t="n">
        <v>35</v>
      </c>
    </row>
    <row r="186" customFormat="false" ht="17.35" hidden="false" customHeight="false" outlineLevel="0" collapsed="false">
      <c r="A186" s="110" t="s">
        <v>807</v>
      </c>
      <c r="B186" s="113" t="s">
        <v>808</v>
      </c>
      <c r="C186" s="112" t="n">
        <v>35</v>
      </c>
      <c r="D186" s="112" t="n">
        <v>35</v>
      </c>
    </row>
    <row r="187" customFormat="false" ht="17.35" hidden="false" customHeight="false" outlineLevel="0" collapsed="false">
      <c r="A187" s="110" t="s">
        <v>809</v>
      </c>
      <c r="B187" s="114" t="s">
        <v>810</v>
      </c>
      <c r="C187" s="112" t="n">
        <v>5</v>
      </c>
      <c r="D187" s="112" t="n">
        <v>5</v>
      </c>
    </row>
    <row r="188" customFormat="false" ht="17.35" hidden="false" customHeight="false" outlineLevel="0" collapsed="false">
      <c r="A188" s="110" t="s">
        <v>811</v>
      </c>
      <c r="B188" s="114" t="s">
        <v>812</v>
      </c>
      <c r="C188" s="112" t="n">
        <v>35</v>
      </c>
      <c r="D188" s="112" t="n">
        <v>35</v>
      </c>
    </row>
    <row r="189" customFormat="false" ht="17.35" hidden="false" customHeight="false" outlineLevel="0" collapsed="false">
      <c r="A189" s="110" t="s">
        <v>813</v>
      </c>
      <c r="B189" s="114" t="s">
        <v>814</v>
      </c>
      <c r="C189" s="112" t="n">
        <v>15</v>
      </c>
      <c r="D189" s="112" t="n">
        <v>15</v>
      </c>
    </row>
    <row r="190" customFormat="false" ht="17.35" hidden="false" customHeight="false" outlineLevel="0" collapsed="false">
      <c r="A190" s="110" t="s">
        <v>815</v>
      </c>
      <c r="B190" s="114" t="s">
        <v>816</v>
      </c>
      <c r="C190" s="112" t="n">
        <v>1.93</v>
      </c>
      <c r="D190" s="112" t="n">
        <v>2.48</v>
      </c>
    </row>
    <row r="191" customFormat="false" ht="17.35" hidden="false" customHeight="false" outlineLevel="0" collapsed="false">
      <c r="A191" s="110" t="s">
        <v>817</v>
      </c>
      <c r="B191" s="114" t="s">
        <v>818</v>
      </c>
      <c r="C191" s="112" t="n">
        <v>15</v>
      </c>
      <c r="D191" s="112" t="n">
        <v>15</v>
      </c>
    </row>
    <row r="192" customFormat="false" ht="17.35" hidden="false" customHeight="false" outlineLevel="0" collapsed="false">
      <c r="A192" s="110" t="s">
        <v>819</v>
      </c>
      <c r="B192" s="114" t="s">
        <v>820</v>
      </c>
      <c r="C192" s="112" t="n">
        <v>1.36</v>
      </c>
      <c r="D192" s="112" t="n">
        <v>3.72</v>
      </c>
    </row>
    <row r="193" customFormat="false" ht="15.65" hidden="false" customHeight="false" outlineLevel="0" collapsed="false">
      <c r="A193" s="110" t="s">
        <v>821</v>
      </c>
      <c r="B193" s="114" t="s">
        <v>822</v>
      </c>
      <c r="C193" s="112" t="n">
        <v>11</v>
      </c>
      <c r="D193" s="112" t="n">
        <v>11</v>
      </c>
    </row>
    <row r="194" customFormat="false" ht="15.65" hidden="false" customHeight="false" outlineLevel="0" collapsed="false">
      <c r="A194" s="110" t="s">
        <v>823</v>
      </c>
      <c r="B194" s="114" t="s">
        <v>824</v>
      </c>
      <c r="C194" s="112" t="n">
        <v>2.5</v>
      </c>
      <c r="D194" s="112" t="n">
        <v>2.5</v>
      </c>
    </row>
    <row r="195" customFormat="false" ht="15.65" hidden="false" customHeight="false" outlineLevel="0" collapsed="false">
      <c r="A195" s="110" t="s">
        <v>825</v>
      </c>
      <c r="B195" s="114" t="s">
        <v>826</v>
      </c>
      <c r="C195" s="112" t="n">
        <v>21</v>
      </c>
      <c r="D195" s="112" t="n">
        <v>21</v>
      </c>
    </row>
    <row r="196" customFormat="false" ht="15.65" hidden="false" customHeight="false" outlineLevel="0" collapsed="false">
      <c r="A196" s="110" t="s">
        <v>827</v>
      </c>
      <c r="B196" s="114" t="s">
        <v>828</v>
      </c>
      <c r="C196" s="112" t="n">
        <v>5.5</v>
      </c>
      <c r="D196" s="112" t="n">
        <v>5.5</v>
      </c>
    </row>
    <row r="197" customFormat="false" ht="17.35" hidden="false" customHeight="false" outlineLevel="0" collapsed="false">
      <c r="A197" s="110" t="s">
        <v>829</v>
      </c>
      <c r="B197" s="113" t="s">
        <v>175</v>
      </c>
      <c r="C197" s="112" t="n">
        <v>30</v>
      </c>
      <c r="D197" s="112" t="n">
        <v>30</v>
      </c>
    </row>
    <row r="198" customFormat="false" ht="17.35" hidden="false" customHeight="false" outlineLevel="0" collapsed="false">
      <c r="A198" s="110" t="s">
        <v>830</v>
      </c>
      <c r="B198" s="113" t="s">
        <v>831</v>
      </c>
      <c r="C198" s="112" t="n">
        <v>50</v>
      </c>
      <c r="D198" s="112" t="n">
        <v>50</v>
      </c>
    </row>
    <row r="199" customFormat="false" ht="17.35" hidden="false" customHeight="false" outlineLevel="0" collapsed="false">
      <c r="A199" s="110" t="s">
        <v>832</v>
      </c>
      <c r="B199" s="113" t="s">
        <v>833</v>
      </c>
      <c r="C199" s="112" t="n">
        <v>12</v>
      </c>
      <c r="D199" s="112" t="n">
        <v>12</v>
      </c>
    </row>
    <row r="200" customFormat="false" ht="17.35" hidden="false" customHeight="false" outlineLevel="0" collapsed="false">
      <c r="A200" s="110" t="s">
        <v>834</v>
      </c>
      <c r="B200" s="113" t="s">
        <v>178</v>
      </c>
      <c r="C200" s="112" t="n">
        <v>12</v>
      </c>
      <c r="D200" s="112" t="n">
        <v>12</v>
      </c>
    </row>
    <row r="201" customFormat="false" ht="17.35" hidden="false" customHeight="false" outlineLevel="0" collapsed="false">
      <c r="A201" s="110" t="s">
        <v>835</v>
      </c>
      <c r="B201" s="113" t="s">
        <v>176</v>
      </c>
      <c r="C201" s="112" t="n">
        <v>30</v>
      </c>
      <c r="D201" s="112" t="n">
        <v>30</v>
      </c>
    </row>
    <row r="202" customFormat="false" ht="17.35" hidden="false" customHeight="false" outlineLevel="0" collapsed="false">
      <c r="A202" s="110" t="s">
        <v>836</v>
      </c>
      <c r="B202" s="114" t="s">
        <v>285</v>
      </c>
      <c r="C202" s="112" t="n">
        <v>50</v>
      </c>
      <c r="D202" s="112" t="n">
        <v>50</v>
      </c>
    </row>
    <row r="203" customFormat="false" ht="17.35" hidden="false" customHeight="false" outlineLevel="0" collapsed="false">
      <c r="A203" s="110" t="s">
        <v>837</v>
      </c>
      <c r="B203" s="114" t="s">
        <v>838</v>
      </c>
      <c r="C203" s="112" t="n">
        <v>10</v>
      </c>
      <c r="D203" s="112" t="n">
        <v>10</v>
      </c>
    </row>
    <row r="204" customFormat="false" ht="17.35" hidden="false" customHeight="false" outlineLevel="0" collapsed="false">
      <c r="A204" s="110" t="s">
        <v>839</v>
      </c>
      <c r="B204" s="114" t="s">
        <v>368</v>
      </c>
      <c r="C204" s="112" t="n">
        <v>3.1</v>
      </c>
      <c r="D204" s="112" t="n">
        <v>4</v>
      </c>
    </row>
    <row r="205" customFormat="false" ht="17.35" hidden="false" customHeight="false" outlineLevel="0" collapsed="false">
      <c r="A205" s="110" t="s">
        <v>840</v>
      </c>
      <c r="B205" s="113" t="s">
        <v>841</v>
      </c>
      <c r="C205" s="112" t="n">
        <v>30</v>
      </c>
      <c r="D205" s="112" t="n">
        <v>30</v>
      </c>
    </row>
    <row r="206" customFormat="false" ht="17.35" hidden="false" customHeight="false" outlineLevel="0" collapsed="false">
      <c r="A206" s="110" t="s">
        <v>842</v>
      </c>
      <c r="B206" s="113" t="s">
        <v>184</v>
      </c>
      <c r="C206" s="112" t="n">
        <v>80</v>
      </c>
      <c r="D206" s="112" t="n">
        <v>80</v>
      </c>
    </row>
    <row r="207" customFormat="false" ht="17.35" hidden="false" customHeight="false" outlineLevel="0" collapsed="false">
      <c r="A207" s="110" t="s">
        <v>843</v>
      </c>
      <c r="B207" s="113" t="s">
        <v>844</v>
      </c>
      <c r="C207" s="112" t="n">
        <v>100</v>
      </c>
      <c r="D207" s="112" t="n">
        <v>100</v>
      </c>
    </row>
    <row r="208" customFormat="false" ht="17.35" hidden="false" customHeight="false" outlineLevel="0" collapsed="false">
      <c r="A208" s="110" t="s">
        <v>845</v>
      </c>
      <c r="B208" s="113" t="s">
        <v>846</v>
      </c>
      <c r="C208" s="112" t="n">
        <v>100</v>
      </c>
      <c r="D208" s="112" t="n">
        <v>100</v>
      </c>
    </row>
    <row r="209" customFormat="false" ht="17.35" hidden="false" customHeight="false" outlineLevel="0" collapsed="false">
      <c r="A209" s="110" t="s">
        <v>847</v>
      </c>
      <c r="B209" s="113" t="s">
        <v>183</v>
      </c>
      <c r="C209" s="112" t="n">
        <v>100</v>
      </c>
      <c r="D209" s="112" t="n">
        <v>100</v>
      </c>
    </row>
    <row r="210" customFormat="false" ht="17.35" hidden="false" customHeight="false" outlineLevel="0" collapsed="false">
      <c r="A210" s="110" t="s">
        <v>848</v>
      </c>
      <c r="B210" s="113" t="s">
        <v>849</v>
      </c>
      <c r="C210" s="112" t="n">
        <v>17</v>
      </c>
      <c r="D210" s="112" t="n">
        <v>17</v>
      </c>
    </row>
    <row r="211" customFormat="false" ht="17.35" hidden="false" customHeight="false" outlineLevel="0" collapsed="false">
      <c r="A211" s="110" t="s">
        <v>850</v>
      </c>
      <c r="B211" s="114" t="s">
        <v>185</v>
      </c>
      <c r="C211" s="112" t="n">
        <v>80</v>
      </c>
      <c r="D211" s="112" t="n">
        <v>80</v>
      </c>
    </row>
    <row r="212" customFormat="false" ht="17.35" hidden="false" customHeight="false" outlineLevel="0" collapsed="false">
      <c r="A212" s="110" t="s">
        <v>851</v>
      </c>
      <c r="B212" s="114" t="s">
        <v>288</v>
      </c>
      <c r="C212" s="112" t="n">
        <v>1.22</v>
      </c>
      <c r="D212" s="112" t="n">
        <v>3.58</v>
      </c>
    </row>
    <row r="213" customFormat="false" ht="17.35" hidden="false" customHeight="false" outlineLevel="0" collapsed="false">
      <c r="A213" s="110" t="s">
        <v>852</v>
      </c>
      <c r="B213" s="114" t="s">
        <v>853</v>
      </c>
      <c r="C213" s="112" t="n">
        <v>10</v>
      </c>
      <c r="D213" s="112" t="n">
        <v>10</v>
      </c>
    </row>
    <row r="214" customFormat="false" ht="17.35" hidden="false" customHeight="false" outlineLevel="0" collapsed="false">
      <c r="A214" s="110" t="s">
        <v>854</v>
      </c>
      <c r="B214" s="114" t="s">
        <v>855</v>
      </c>
      <c r="C214" s="112" t="n">
        <v>8</v>
      </c>
      <c r="D214" s="112" t="n">
        <v>8</v>
      </c>
    </row>
    <row r="215" customFormat="false" ht="17.35" hidden="false" customHeight="false" outlineLevel="0" collapsed="false">
      <c r="A215" s="110" t="s">
        <v>856</v>
      </c>
      <c r="B215" s="114" t="s">
        <v>857</v>
      </c>
      <c r="C215" s="112" t="n">
        <v>1</v>
      </c>
      <c r="D215" s="112" t="n">
        <v>1</v>
      </c>
    </row>
    <row r="216" customFormat="false" ht="17.35" hidden="false" customHeight="false" outlineLevel="0" collapsed="false">
      <c r="A216" s="110" t="s">
        <v>858</v>
      </c>
      <c r="B216" s="114" t="s">
        <v>859</v>
      </c>
      <c r="C216" s="112" t="n">
        <v>150</v>
      </c>
      <c r="D216" s="112" t="n">
        <v>150</v>
      </c>
    </row>
    <row r="217" customFormat="false" ht="17.35" hidden="false" customHeight="false" outlineLevel="0" collapsed="false">
      <c r="A217" s="110" t="s">
        <v>860</v>
      </c>
      <c r="B217" s="114" t="s">
        <v>861</v>
      </c>
      <c r="C217" s="112" t="n">
        <v>60</v>
      </c>
      <c r="D217" s="112" t="n">
        <v>60</v>
      </c>
    </row>
    <row r="218" customFormat="false" ht="17.35" hidden="false" customHeight="false" outlineLevel="0" collapsed="false">
      <c r="A218" s="110" t="s">
        <v>862</v>
      </c>
      <c r="B218" s="113" t="s">
        <v>863</v>
      </c>
      <c r="C218" s="112" t="n">
        <v>8</v>
      </c>
      <c r="D218" s="112" t="n">
        <v>8</v>
      </c>
    </row>
    <row r="219" customFormat="false" ht="17.35" hidden="false" customHeight="false" outlineLevel="0" collapsed="false">
      <c r="A219" s="110" t="s">
        <v>864</v>
      </c>
      <c r="B219" s="114" t="s">
        <v>865</v>
      </c>
      <c r="C219" s="112" t="n">
        <v>8</v>
      </c>
      <c r="D219" s="112" t="n">
        <v>8</v>
      </c>
    </row>
    <row r="220" customFormat="false" ht="17.35" hidden="false" customHeight="false" outlineLevel="0" collapsed="false">
      <c r="A220" s="110" t="s">
        <v>866</v>
      </c>
      <c r="B220" s="113" t="s">
        <v>867</v>
      </c>
      <c r="C220" s="112" t="n">
        <v>8</v>
      </c>
      <c r="D220" s="112" t="n">
        <v>8</v>
      </c>
    </row>
    <row r="221" customFormat="false" ht="17.35" hidden="false" customHeight="false" outlineLevel="0" collapsed="false">
      <c r="A221" s="110" t="s">
        <v>868</v>
      </c>
      <c r="B221" s="113" t="s">
        <v>869</v>
      </c>
      <c r="C221" s="112" t="n">
        <v>8</v>
      </c>
      <c r="D221" s="112" t="n">
        <v>8</v>
      </c>
    </row>
    <row r="222" customFormat="false" ht="17.35" hidden="false" customHeight="false" outlineLevel="0" collapsed="false">
      <c r="A222" s="110" t="s">
        <v>870</v>
      </c>
      <c r="B222" s="114" t="s">
        <v>871</v>
      </c>
      <c r="C222" s="112" t="n">
        <v>5</v>
      </c>
      <c r="D222" s="112" t="n">
        <v>5</v>
      </c>
    </row>
    <row r="223" customFormat="false" ht="17.35" hidden="false" customHeight="false" outlineLevel="0" collapsed="false">
      <c r="A223" s="115" t="s">
        <v>872</v>
      </c>
      <c r="B223" s="118" t="s">
        <v>873</v>
      </c>
      <c r="C223" s="112" t="n">
        <v>10</v>
      </c>
      <c r="D223" s="112" t="n">
        <v>10</v>
      </c>
    </row>
    <row r="224" customFormat="false" ht="17.35" hidden="false" customHeight="false" outlineLevel="0" collapsed="false">
      <c r="A224" s="110" t="s">
        <v>874</v>
      </c>
      <c r="B224" s="114" t="s">
        <v>338</v>
      </c>
      <c r="C224" s="112" t="n">
        <v>1</v>
      </c>
      <c r="D224" s="112" t="n">
        <v>1</v>
      </c>
    </row>
    <row r="225" customFormat="false" ht="17.35" hidden="false" customHeight="false" outlineLevel="0" collapsed="false">
      <c r="A225" s="110" t="s">
        <v>875</v>
      </c>
      <c r="B225" s="114" t="s">
        <v>876</v>
      </c>
      <c r="C225" s="112" t="n">
        <v>4</v>
      </c>
      <c r="D225" s="112" t="n">
        <v>4</v>
      </c>
    </row>
    <row r="226" customFormat="false" ht="17.35" hidden="false" customHeight="false" outlineLevel="0" collapsed="false">
      <c r="A226" s="110" t="s">
        <v>877</v>
      </c>
      <c r="B226" s="114" t="s">
        <v>878</v>
      </c>
      <c r="C226" s="112" t="n">
        <v>4</v>
      </c>
      <c r="D226" s="112" t="n">
        <v>4</v>
      </c>
    </row>
    <row r="227" customFormat="false" ht="17.35" hidden="false" customHeight="false" outlineLevel="0" collapsed="false">
      <c r="A227" s="110" t="s">
        <v>879</v>
      </c>
      <c r="B227" s="114" t="s">
        <v>880</v>
      </c>
      <c r="C227" s="112" t="n">
        <v>18</v>
      </c>
      <c r="D227" s="112" t="n">
        <v>18</v>
      </c>
    </row>
    <row r="228" customFormat="false" ht="17.35" hidden="false" customHeight="false" outlineLevel="0" collapsed="false">
      <c r="A228" s="110" t="s">
        <v>881</v>
      </c>
      <c r="B228" s="114" t="s">
        <v>350</v>
      </c>
      <c r="C228" s="112" t="n">
        <v>15</v>
      </c>
      <c r="D228" s="112" t="n">
        <v>18</v>
      </c>
    </row>
    <row r="229" customFormat="false" ht="17.35" hidden="false" customHeight="false" outlineLevel="0" collapsed="false">
      <c r="A229" s="110" t="s">
        <v>882</v>
      </c>
      <c r="B229" s="114" t="s">
        <v>883</v>
      </c>
      <c r="C229" s="112" t="n">
        <v>12</v>
      </c>
      <c r="D229" s="112" t="n">
        <v>12</v>
      </c>
    </row>
    <row r="230" customFormat="false" ht="17.35" hidden="false" customHeight="false" outlineLevel="0" collapsed="false">
      <c r="A230" s="110" t="s">
        <v>884</v>
      </c>
      <c r="B230" s="114" t="s">
        <v>885</v>
      </c>
      <c r="C230" s="112" t="n">
        <v>12</v>
      </c>
      <c r="D230" s="112" t="n">
        <v>12</v>
      </c>
    </row>
    <row r="231" customFormat="false" ht="17.35" hidden="false" customHeight="false" outlineLevel="0" collapsed="false">
      <c r="A231" s="110" t="s">
        <v>886</v>
      </c>
      <c r="B231" s="114" t="s">
        <v>887</v>
      </c>
      <c r="C231" s="112" t="n">
        <v>15</v>
      </c>
      <c r="D231" s="112" t="n">
        <v>15</v>
      </c>
    </row>
    <row r="232" customFormat="false" ht="17.35" hidden="false" customHeight="false" outlineLevel="0" collapsed="false">
      <c r="A232" s="110" t="s">
        <v>888</v>
      </c>
      <c r="B232" s="114" t="s">
        <v>889</v>
      </c>
      <c r="C232" s="112" t="n">
        <v>15</v>
      </c>
      <c r="D232" s="112" t="n">
        <v>15</v>
      </c>
    </row>
    <row r="233" customFormat="false" ht="17.35" hidden="false" customHeight="false" outlineLevel="0" collapsed="false">
      <c r="A233" s="110" t="s">
        <v>890</v>
      </c>
      <c r="B233" s="114" t="s">
        <v>891</v>
      </c>
      <c r="C233" s="112" t="n">
        <v>7</v>
      </c>
      <c r="D233" s="112" t="n">
        <v>7</v>
      </c>
    </row>
    <row r="234" customFormat="false" ht="17.35" hidden="false" customHeight="false" outlineLevel="0" collapsed="false">
      <c r="A234" s="110" t="s">
        <v>854</v>
      </c>
      <c r="B234" s="114" t="s">
        <v>892</v>
      </c>
      <c r="C234" s="112" t="n">
        <v>1.87</v>
      </c>
      <c r="D234" s="112" t="n">
        <v>2.85</v>
      </c>
    </row>
    <row r="235" customFormat="false" ht="17.35" hidden="false" customHeight="false" outlineLevel="0" collapsed="false">
      <c r="A235" s="110" t="s">
        <v>893</v>
      </c>
      <c r="B235" s="114" t="s">
        <v>892</v>
      </c>
      <c r="C235" s="112" t="n">
        <v>1.06</v>
      </c>
      <c r="D235" s="112" t="n">
        <v>3.43</v>
      </c>
    </row>
    <row r="236" customFormat="false" ht="17.35" hidden="false" customHeight="false" outlineLevel="0" collapsed="false">
      <c r="A236" s="110" t="s">
        <v>894</v>
      </c>
      <c r="B236" s="114" t="s">
        <v>895</v>
      </c>
      <c r="C236" s="112" t="n">
        <v>10</v>
      </c>
      <c r="D236" s="112" t="n">
        <v>10</v>
      </c>
    </row>
    <row r="237" customFormat="false" ht="17.35" hidden="false" customHeight="false" outlineLevel="0" collapsed="false">
      <c r="A237" s="110" t="s">
        <v>896</v>
      </c>
      <c r="B237" s="113" t="s">
        <v>897</v>
      </c>
      <c r="C237" s="112" t="n">
        <v>10</v>
      </c>
      <c r="D237" s="112" t="n">
        <v>10</v>
      </c>
    </row>
    <row r="238" customFormat="false" ht="17.35" hidden="false" customHeight="false" outlineLevel="0" collapsed="false">
      <c r="A238" s="110" t="s">
        <v>898</v>
      </c>
      <c r="B238" s="114" t="s">
        <v>256</v>
      </c>
      <c r="C238" s="112" t="n">
        <v>3</v>
      </c>
      <c r="D238" s="112" t="n">
        <v>3</v>
      </c>
    </row>
    <row r="239" customFormat="false" ht="18.65" hidden="false" customHeight="false" outlineLevel="0" collapsed="false">
      <c r="A239" s="110" t="s">
        <v>899</v>
      </c>
      <c r="B239" s="113" t="s">
        <v>900</v>
      </c>
      <c r="C239" s="112" t="n">
        <v>90</v>
      </c>
      <c r="D239" s="112" t="n">
        <v>90</v>
      </c>
    </row>
    <row r="240" customFormat="false" ht="17.35" hidden="false" customHeight="false" outlineLevel="0" collapsed="false">
      <c r="A240" s="110" t="s">
        <v>901</v>
      </c>
      <c r="B240" s="113" t="s">
        <v>902</v>
      </c>
      <c r="C240" s="112" t="n">
        <v>42.5</v>
      </c>
      <c r="D240" s="112" t="n">
        <v>42.5</v>
      </c>
    </row>
    <row r="241" customFormat="false" ht="17.35" hidden="false" customHeight="false" outlineLevel="0" collapsed="false">
      <c r="A241" s="110" t="s">
        <v>903</v>
      </c>
      <c r="B241" s="113" t="s">
        <v>904</v>
      </c>
      <c r="C241" s="112" t="n">
        <v>42.5</v>
      </c>
      <c r="D241" s="112" t="n">
        <v>42.5</v>
      </c>
    </row>
    <row r="242" customFormat="false" ht="17.35" hidden="false" customHeight="false" outlineLevel="0" collapsed="false">
      <c r="A242" s="110" t="s">
        <v>905</v>
      </c>
      <c r="B242" s="114" t="s">
        <v>906</v>
      </c>
      <c r="C242" s="112" t="n">
        <v>40</v>
      </c>
      <c r="D242" s="112" t="n">
        <v>40</v>
      </c>
    </row>
    <row r="243" customFormat="false" ht="17.35" hidden="false" customHeight="false" outlineLevel="0" collapsed="false">
      <c r="A243" s="110" t="s">
        <v>907</v>
      </c>
      <c r="B243" s="114" t="s">
        <v>908</v>
      </c>
      <c r="C243" s="112" t="n">
        <v>40</v>
      </c>
      <c r="D243" s="112" t="n">
        <v>40</v>
      </c>
    </row>
    <row r="244" customFormat="false" ht="17.35" hidden="false" customHeight="false" outlineLevel="0" collapsed="false">
      <c r="A244" s="110" t="s">
        <v>909</v>
      </c>
      <c r="B244" s="114" t="s">
        <v>910</v>
      </c>
      <c r="C244" s="112" t="n">
        <v>45</v>
      </c>
      <c r="D244" s="112" t="n">
        <v>45</v>
      </c>
    </row>
    <row r="245" customFormat="false" ht="17.35" hidden="false" customHeight="false" outlineLevel="0" collapsed="false">
      <c r="A245" s="110" t="s">
        <v>911</v>
      </c>
      <c r="B245" s="113" t="s">
        <v>208</v>
      </c>
      <c r="C245" s="112" t="n">
        <v>80</v>
      </c>
      <c r="D245" s="112" t="n">
        <v>80</v>
      </c>
    </row>
    <row r="246" customFormat="false" ht="17.35" hidden="false" customHeight="false" outlineLevel="0" collapsed="false">
      <c r="A246" s="110" t="s">
        <v>912</v>
      </c>
      <c r="B246" s="114" t="s">
        <v>913</v>
      </c>
      <c r="C246" s="112" t="n">
        <v>10</v>
      </c>
      <c r="D246" s="112" t="n">
        <v>10</v>
      </c>
    </row>
    <row r="247" customFormat="false" ht="17.35" hidden="false" customHeight="false" outlineLevel="0" collapsed="false">
      <c r="A247" s="110" t="s">
        <v>914</v>
      </c>
      <c r="B247" s="114" t="s">
        <v>915</v>
      </c>
      <c r="C247" s="112" t="n">
        <v>10</v>
      </c>
      <c r="D247" s="112" t="n">
        <v>10</v>
      </c>
    </row>
    <row r="248" customFormat="false" ht="17.35" hidden="false" customHeight="false" outlineLevel="0" collapsed="false">
      <c r="A248" s="110" t="s">
        <v>916</v>
      </c>
      <c r="B248" s="114" t="s">
        <v>917</v>
      </c>
      <c r="C248" s="112" t="n">
        <v>10</v>
      </c>
      <c r="D248" s="112" t="n">
        <v>10</v>
      </c>
    </row>
    <row r="249" customFormat="false" ht="29.85" hidden="false" customHeight="false" outlineLevel="0" collapsed="false">
      <c r="A249" s="110" t="s">
        <v>918</v>
      </c>
      <c r="B249" s="119" t="s">
        <v>919</v>
      </c>
      <c r="C249" s="112" t="n">
        <v>12</v>
      </c>
      <c r="D249" s="112" t="n">
        <v>12</v>
      </c>
    </row>
    <row r="250" customFormat="false" ht="17.35" hidden="false" customHeight="false" outlineLevel="0" collapsed="false">
      <c r="A250" s="110" t="s">
        <v>920</v>
      </c>
      <c r="B250" s="114" t="s">
        <v>172</v>
      </c>
      <c r="C250" s="112" t="n">
        <v>10</v>
      </c>
      <c r="D250" s="112" t="n">
        <v>10</v>
      </c>
    </row>
    <row r="251" customFormat="false" ht="17.35" hidden="false" customHeight="false" outlineLevel="0" collapsed="false">
      <c r="A251" s="110" t="s">
        <v>921</v>
      </c>
      <c r="B251" s="114" t="s">
        <v>174</v>
      </c>
      <c r="C251" s="112" t="n">
        <v>10</v>
      </c>
      <c r="D251" s="112" t="n">
        <v>10</v>
      </c>
    </row>
    <row r="252" customFormat="false" ht="17.35" hidden="false" customHeight="false" outlineLevel="0" collapsed="false">
      <c r="A252" s="110" t="s">
        <v>922</v>
      </c>
      <c r="B252" s="113" t="s">
        <v>192</v>
      </c>
      <c r="C252" s="112" t="n">
        <v>27</v>
      </c>
      <c r="D252" s="112" t="n">
        <v>27</v>
      </c>
    </row>
    <row r="253" customFormat="false" ht="17.35" hidden="false" customHeight="false" outlineLevel="0" collapsed="false">
      <c r="A253" s="110" t="s">
        <v>923</v>
      </c>
      <c r="B253" s="114" t="s">
        <v>924</v>
      </c>
      <c r="C253" s="112" t="n">
        <v>1.29</v>
      </c>
      <c r="D253" s="112" t="n">
        <v>3.48</v>
      </c>
    </row>
    <row r="254" customFormat="false" ht="17.35" hidden="false" customHeight="false" outlineLevel="0" collapsed="false">
      <c r="A254" s="110" t="s">
        <v>925</v>
      </c>
      <c r="B254" s="114" t="s">
        <v>926</v>
      </c>
      <c r="C254" s="112" t="n">
        <v>1.39</v>
      </c>
      <c r="D254" s="112" t="n">
        <v>2.71</v>
      </c>
    </row>
    <row r="255" customFormat="false" ht="17.35" hidden="false" customHeight="false" outlineLevel="0" collapsed="false">
      <c r="A255" s="110" t="s">
        <v>927</v>
      </c>
      <c r="B255" s="114" t="s">
        <v>211</v>
      </c>
      <c r="C255" s="112" t="n">
        <v>20</v>
      </c>
      <c r="D255" s="112" t="n">
        <v>20</v>
      </c>
    </row>
    <row r="256" customFormat="false" ht="18.65" hidden="false" customHeight="false" outlineLevel="0" collapsed="false">
      <c r="A256" s="110" t="s">
        <v>928</v>
      </c>
      <c r="B256" s="113" t="s">
        <v>929</v>
      </c>
      <c r="C256" s="112" t="n">
        <v>18</v>
      </c>
      <c r="D256" s="112" t="n">
        <v>18</v>
      </c>
    </row>
    <row r="257" customFormat="false" ht="17.35" hidden="false" customHeight="false" outlineLevel="0" collapsed="false">
      <c r="A257" s="110" t="s">
        <v>930</v>
      </c>
      <c r="B257" s="114" t="s">
        <v>290</v>
      </c>
      <c r="C257" s="112" t="n">
        <v>150</v>
      </c>
      <c r="D257" s="112" t="n">
        <v>150</v>
      </c>
    </row>
    <row r="258" customFormat="false" ht="17.35" hidden="false" customHeight="false" outlineLevel="0" collapsed="false">
      <c r="A258" s="110" t="s">
        <v>931</v>
      </c>
      <c r="B258" s="114" t="s">
        <v>932</v>
      </c>
      <c r="C258" s="112" t="n">
        <v>2</v>
      </c>
      <c r="D258" s="112" t="n">
        <v>2</v>
      </c>
    </row>
    <row r="259" customFormat="false" ht="17.35" hidden="false" customHeight="false" outlineLevel="0" collapsed="false">
      <c r="A259" s="110" t="s">
        <v>933</v>
      </c>
      <c r="B259" s="114" t="s">
        <v>934</v>
      </c>
      <c r="C259" s="112" t="n">
        <v>2</v>
      </c>
      <c r="D259" s="112" t="n">
        <v>2</v>
      </c>
    </row>
    <row r="260" customFormat="false" ht="17.35" hidden="false" customHeight="false" outlineLevel="0" collapsed="false">
      <c r="A260" s="110" t="s">
        <v>935</v>
      </c>
      <c r="B260" s="113" t="s">
        <v>936</v>
      </c>
      <c r="C260" s="112" t="n">
        <v>2</v>
      </c>
      <c r="D260" s="112" t="n">
        <v>2</v>
      </c>
    </row>
    <row r="261" customFormat="false" ht="17.35" hidden="false" customHeight="false" outlineLevel="0" collapsed="false">
      <c r="A261" s="110" t="s">
        <v>937</v>
      </c>
      <c r="B261" s="114" t="s">
        <v>938</v>
      </c>
      <c r="C261" s="112" t="n">
        <v>2</v>
      </c>
      <c r="D261" s="112" t="n">
        <v>2</v>
      </c>
    </row>
    <row r="262" customFormat="false" ht="17.35" hidden="false" customHeight="false" outlineLevel="0" collapsed="false">
      <c r="A262" s="110" t="s">
        <v>939</v>
      </c>
      <c r="B262" s="114" t="s">
        <v>940</v>
      </c>
      <c r="C262" s="112" t="n">
        <v>1.62</v>
      </c>
      <c r="D262" s="112" t="n">
        <v>3.58</v>
      </c>
    </row>
    <row r="263" customFormat="false" ht="17.35" hidden="false" customHeight="false" outlineLevel="0" collapsed="false">
      <c r="A263" s="110" t="s">
        <v>941</v>
      </c>
      <c r="B263" s="114" t="s">
        <v>942</v>
      </c>
      <c r="C263" s="112" t="n">
        <v>2</v>
      </c>
      <c r="D263" s="112" t="n">
        <v>2</v>
      </c>
    </row>
    <row r="264" customFormat="false" ht="17.35" hidden="false" customHeight="false" outlineLevel="0" collapsed="false">
      <c r="A264" s="110" t="s">
        <v>943</v>
      </c>
      <c r="B264" s="114" t="s">
        <v>944</v>
      </c>
      <c r="C264" s="112" t="n">
        <v>2</v>
      </c>
      <c r="D264" s="112" t="n">
        <v>2</v>
      </c>
    </row>
    <row r="265" customFormat="false" ht="17.35" hidden="false" customHeight="false" outlineLevel="0" collapsed="false">
      <c r="A265" s="110" t="s">
        <v>945</v>
      </c>
      <c r="B265" s="114" t="s">
        <v>946</v>
      </c>
      <c r="C265" s="112" t="n">
        <v>2</v>
      </c>
      <c r="D265" s="112" t="n">
        <v>2</v>
      </c>
    </row>
    <row r="266" customFormat="false" ht="17.35" hidden="false" customHeight="false" outlineLevel="0" collapsed="false">
      <c r="A266" s="110" t="s">
        <v>947</v>
      </c>
      <c r="B266" s="114" t="s">
        <v>948</v>
      </c>
      <c r="C266" s="112" t="n">
        <v>150</v>
      </c>
      <c r="D266" s="112" t="n">
        <v>150</v>
      </c>
    </row>
    <row r="267" customFormat="false" ht="18.65" hidden="false" customHeight="false" outlineLevel="0" collapsed="false">
      <c r="A267" s="110" t="s">
        <v>949</v>
      </c>
      <c r="B267" s="113" t="s">
        <v>950</v>
      </c>
      <c r="C267" s="112" t="n">
        <v>15</v>
      </c>
      <c r="D267" s="112" t="n">
        <v>15</v>
      </c>
    </row>
    <row r="268" customFormat="false" ht="18.65" hidden="false" customHeight="false" outlineLevel="0" collapsed="false">
      <c r="A268" s="110" t="s">
        <v>951</v>
      </c>
      <c r="B268" s="113" t="s">
        <v>952</v>
      </c>
      <c r="C268" s="112" t="n">
        <v>15</v>
      </c>
      <c r="D268" s="112" t="n">
        <v>15</v>
      </c>
    </row>
    <row r="269" customFormat="false" ht="17.35" hidden="false" customHeight="false" outlineLevel="0" collapsed="false">
      <c r="A269" s="110" t="s">
        <v>953</v>
      </c>
      <c r="B269" s="114" t="s">
        <v>954</v>
      </c>
      <c r="C269" s="112" t="n">
        <v>1.5</v>
      </c>
      <c r="D269" s="112" t="n">
        <v>1.5</v>
      </c>
    </row>
    <row r="270" customFormat="false" ht="17.35" hidden="false" customHeight="false" outlineLevel="0" collapsed="false">
      <c r="A270" s="110" t="s">
        <v>955</v>
      </c>
      <c r="B270" s="113" t="s">
        <v>180</v>
      </c>
      <c r="C270" s="112" t="n">
        <v>20</v>
      </c>
      <c r="D270" s="112" t="n">
        <v>20</v>
      </c>
    </row>
    <row r="271" customFormat="false" ht="17.35" hidden="false" customHeight="false" outlineLevel="0" collapsed="false">
      <c r="A271" s="110" t="s">
        <v>956</v>
      </c>
      <c r="B271" s="113" t="s">
        <v>957</v>
      </c>
      <c r="C271" s="112" t="n">
        <v>30</v>
      </c>
      <c r="D271" s="112" t="n">
        <v>30</v>
      </c>
    </row>
    <row r="272" customFormat="false" ht="17.35" hidden="false" customHeight="false" outlineLevel="0" collapsed="false">
      <c r="A272" s="110" t="s">
        <v>958</v>
      </c>
      <c r="B272" s="113" t="s">
        <v>182</v>
      </c>
      <c r="C272" s="112" t="n">
        <v>20</v>
      </c>
      <c r="D272" s="112" t="n">
        <v>20</v>
      </c>
    </row>
    <row r="273" customFormat="false" ht="17.35" hidden="false" customHeight="false" outlineLevel="0" collapsed="false">
      <c r="A273" s="110" t="s">
        <v>959</v>
      </c>
      <c r="B273" s="113" t="s">
        <v>960</v>
      </c>
      <c r="C273" s="112" t="n">
        <v>45</v>
      </c>
      <c r="D273" s="112" t="n">
        <v>45</v>
      </c>
    </row>
    <row r="274" customFormat="false" ht="15.65" hidden="false" customHeight="false" outlineLevel="0" collapsed="false">
      <c r="A274" s="110" t="s">
        <v>961</v>
      </c>
      <c r="B274" s="113" t="s">
        <v>962</v>
      </c>
      <c r="C274" s="112" t="n">
        <v>45</v>
      </c>
      <c r="D274" s="112" t="n">
        <v>45</v>
      </c>
    </row>
    <row r="275" customFormat="false" ht="18.65" hidden="false" customHeight="false" outlineLevel="0" collapsed="false">
      <c r="A275" s="110" t="s">
        <v>963</v>
      </c>
      <c r="B275" s="113" t="s">
        <v>964</v>
      </c>
      <c r="C275" s="112" t="n">
        <v>10</v>
      </c>
      <c r="D275" s="112" t="n">
        <v>10</v>
      </c>
    </row>
    <row r="276" customFormat="false" ht="18.65" hidden="false" customHeight="false" outlineLevel="0" collapsed="false">
      <c r="A276" s="110" t="s">
        <v>965</v>
      </c>
      <c r="B276" s="113" t="s">
        <v>966</v>
      </c>
      <c r="C276" s="112" t="n">
        <v>10</v>
      </c>
      <c r="D276" s="112" t="n">
        <v>10</v>
      </c>
    </row>
    <row r="277" customFormat="false" ht="18.65" hidden="false" customHeight="false" outlineLevel="0" collapsed="false">
      <c r="A277" s="110" t="s">
        <v>967</v>
      </c>
      <c r="B277" s="113" t="s">
        <v>968</v>
      </c>
      <c r="C277" s="112" t="n">
        <v>25</v>
      </c>
      <c r="D277" s="112" t="n">
        <v>25</v>
      </c>
    </row>
    <row r="278" customFormat="false" ht="18.65" hidden="false" customHeight="false" outlineLevel="0" collapsed="false">
      <c r="A278" s="110" t="s">
        <v>969</v>
      </c>
      <c r="B278" s="113" t="s">
        <v>970</v>
      </c>
      <c r="C278" s="112" t="n">
        <v>25</v>
      </c>
      <c r="D278" s="112" t="n">
        <v>25</v>
      </c>
    </row>
    <row r="279" customFormat="false" ht="17.35" hidden="false" customHeight="false" outlineLevel="0" collapsed="false">
      <c r="A279" s="110" t="s">
        <v>971</v>
      </c>
      <c r="B279" s="113" t="s">
        <v>402</v>
      </c>
      <c r="C279" s="112" t="n">
        <v>35</v>
      </c>
      <c r="D279" s="112" t="n">
        <v>40</v>
      </c>
    </row>
    <row r="280" customFormat="false" ht="17.35" hidden="false" customHeight="false" outlineLevel="0" collapsed="false">
      <c r="A280" s="110" t="s">
        <v>972</v>
      </c>
      <c r="B280" s="114" t="s">
        <v>301</v>
      </c>
      <c r="C280" s="112" t="n">
        <v>15</v>
      </c>
      <c r="D280" s="112" t="n">
        <v>15</v>
      </c>
    </row>
    <row r="281" customFormat="false" ht="17.35" hidden="false" customHeight="false" outlineLevel="0" collapsed="false">
      <c r="A281" s="110" t="s">
        <v>973</v>
      </c>
      <c r="B281" s="113" t="s">
        <v>404</v>
      </c>
      <c r="C281" s="112" t="n">
        <v>30</v>
      </c>
      <c r="D281" s="112" t="n">
        <v>35</v>
      </c>
    </row>
    <row r="282" customFormat="false" ht="17.35" hidden="false" customHeight="false" outlineLevel="0" collapsed="false">
      <c r="A282" s="110" t="s">
        <v>974</v>
      </c>
      <c r="B282" s="113" t="s">
        <v>975</v>
      </c>
      <c r="C282" s="112" t="n">
        <v>25</v>
      </c>
      <c r="D282" s="112" t="n">
        <v>25</v>
      </c>
    </row>
    <row r="283" customFormat="false" ht="17.35" hidden="false" customHeight="false" outlineLevel="0" collapsed="false">
      <c r="A283" s="115" t="s">
        <v>976</v>
      </c>
      <c r="B283" s="113" t="s">
        <v>409</v>
      </c>
      <c r="C283" s="112" t="n">
        <v>17</v>
      </c>
      <c r="D283" s="112" t="n">
        <v>17</v>
      </c>
    </row>
    <row r="284" customFormat="false" ht="17.35" hidden="false" customHeight="false" outlineLevel="0" collapsed="false">
      <c r="A284" s="110" t="s">
        <v>977</v>
      </c>
      <c r="B284" s="113" t="s">
        <v>978</v>
      </c>
      <c r="C284" s="112" t="n">
        <v>17</v>
      </c>
      <c r="D284" s="112" t="n">
        <v>17</v>
      </c>
    </row>
    <row r="285" customFormat="false" ht="17.35" hidden="false" customHeight="false" outlineLevel="0" collapsed="false">
      <c r="A285" s="110" t="s">
        <v>979</v>
      </c>
      <c r="B285" s="113" t="s">
        <v>410</v>
      </c>
      <c r="C285" s="112" t="n">
        <v>17</v>
      </c>
      <c r="D285" s="112" t="n">
        <v>17</v>
      </c>
    </row>
    <row r="286" customFormat="false" ht="17.35" hidden="false" customHeight="false" outlineLevel="0" collapsed="false">
      <c r="A286" s="110" t="s">
        <v>980</v>
      </c>
      <c r="B286" s="113" t="s">
        <v>981</v>
      </c>
      <c r="C286" s="112" t="n">
        <v>20</v>
      </c>
      <c r="D286" s="112" t="n">
        <v>20</v>
      </c>
    </row>
    <row r="287" customFormat="false" ht="17.35" hidden="false" customHeight="false" outlineLevel="0" collapsed="false">
      <c r="A287" s="110" t="s">
        <v>982</v>
      </c>
      <c r="B287" s="113" t="s">
        <v>389</v>
      </c>
      <c r="C287" s="112" t="n">
        <v>20</v>
      </c>
      <c r="D287" s="112" t="n">
        <v>20</v>
      </c>
    </row>
    <row r="288" customFormat="false" ht="17.35" hidden="false" customHeight="false" outlineLevel="0" collapsed="false">
      <c r="A288" s="110" t="s">
        <v>983</v>
      </c>
      <c r="B288" s="114" t="s">
        <v>280</v>
      </c>
      <c r="C288" s="112" t="n">
        <v>1.31</v>
      </c>
      <c r="D288" s="112" t="n">
        <v>3.52</v>
      </c>
    </row>
    <row r="289" customFormat="false" ht="17.35" hidden="false" customHeight="false" outlineLevel="0" collapsed="false">
      <c r="A289" s="110" t="s">
        <v>984</v>
      </c>
      <c r="B289" s="114" t="s">
        <v>985</v>
      </c>
      <c r="C289" s="112" t="n">
        <v>1.18</v>
      </c>
      <c r="D289" s="112" t="n">
        <v>2.96</v>
      </c>
    </row>
    <row r="290" customFormat="false" ht="17.35" hidden="false" customHeight="false" outlineLevel="0" collapsed="false">
      <c r="A290" s="110" t="s">
        <v>986</v>
      </c>
      <c r="B290" s="114" t="s">
        <v>289</v>
      </c>
      <c r="C290" s="112" t="n">
        <v>90</v>
      </c>
      <c r="D290" s="112" t="n">
        <v>90</v>
      </c>
    </row>
    <row r="291" customFormat="false" ht="18.65" hidden="false" customHeight="false" outlineLevel="0" collapsed="false">
      <c r="A291" s="110" t="s">
        <v>987</v>
      </c>
      <c r="B291" s="113" t="s">
        <v>988</v>
      </c>
      <c r="C291" s="112" t="n">
        <v>8</v>
      </c>
      <c r="D291" s="112" t="n">
        <v>8</v>
      </c>
    </row>
    <row r="292" customFormat="false" ht="17.35" hidden="false" customHeight="false" outlineLevel="0" collapsed="false">
      <c r="A292" s="110" t="s">
        <v>989</v>
      </c>
      <c r="B292" s="114" t="s">
        <v>281</v>
      </c>
      <c r="C292" s="112" t="n">
        <v>70</v>
      </c>
      <c r="D292" s="112" t="n">
        <v>70</v>
      </c>
    </row>
    <row r="293" customFormat="false" ht="17.35" hidden="false" customHeight="false" outlineLevel="0" collapsed="false">
      <c r="A293" s="110" t="s">
        <v>990</v>
      </c>
      <c r="B293" s="113" t="s">
        <v>991</v>
      </c>
      <c r="C293" s="112" t="n">
        <v>25</v>
      </c>
      <c r="D293" s="112" t="n">
        <v>25</v>
      </c>
    </row>
    <row r="294" customFormat="false" ht="17.35" hidden="false" customHeight="false" outlineLevel="0" collapsed="false">
      <c r="A294" s="110" t="s">
        <v>992</v>
      </c>
      <c r="B294" s="114" t="s">
        <v>275</v>
      </c>
      <c r="C294" s="112" t="n">
        <v>5</v>
      </c>
      <c r="D294" s="112" t="n">
        <v>5</v>
      </c>
    </row>
    <row r="295" customFormat="false" ht="17.35" hidden="false" customHeight="false" outlineLevel="0" collapsed="false">
      <c r="A295" s="110" t="s">
        <v>993</v>
      </c>
      <c r="B295" s="114" t="s">
        <v>994</v>
      </c>
      <c r="C295" s="112" t="n">
        <v>35</v>
      </c>
      <c r="D295" s="112" t="n">
        <v>35</v>
      </c>
    </row>
    <row r="296" customFormat="false" ht="17.35" hidden="false" customHeight="false" outlineLevel="0" collapsed="false">
      <c r="A296" s="110" t="s">
        <v>995</v>
      </c>
      <c r="B296" s="114" t="s">
        <v>996</v>
      </c>
      <c r="C296" s="112" t="n">
        <v>10</v>
      </c>
      <c r="D296" s="112" t="n">
        <v>10</v>
      </c>
    </row>
    <row r="297" customFormat="false" ht="17.35" hidden="false" customHeight="false" outlineLevel="0" collapsed="false">
      <c r="A297" s="110" t="s">
        <v>997</v>
      </c>
      <c r="B297" s="114" t="s">
        <v>998</v>
      </c>
      <c r="C297" s="112" t="n">
        <v>30</v>
      </c>
      <c r="D297" s="112" t="n">
        <v>30</v>
      </c>
    </row>
    <row r="298" customFormat="false" ht="17.35" hidden="false" customHeight="false" outlineLevel="0" collapsed="false">
      <c r="A298" s="110" t="s">
        <v>999</v>
      </c>
      <c r="B298" s="114" t="s">
        <v>1000</v>
      </c>
      <c r="C298" s="112" t="n">
        <v>30</v>
      </c>
      <c r="D298" s="112" t="n">
        <v>30</v>
      </c>
    </row>
    <row r="299" customFormat="false" ht="17.35" hidden="false" customHeight="false" outlineLevel="0" collapsed="false">
      <c r="A299" s="110" t="s">
        <v>1001</v>
      </c>
      <c r="B299" s="114" t="s">
        <v>310</v>
      </c>
      <c r="C299" s="112" t="n">
        <v>35</v>
      </c>
      <c r="D299" s="112" t="n">
        <v>40</v>
      </c>
    </row>
    <row r="300" customFormat="false" ht="17.35" hidden="false" customHeight="false" outlineLevel="0" collapsed="false">
      <c r="A300" s="110" t="s">
        <v>1002</v>
      </c>
      <c r="B300" s="114" t="s">
        <v>382</v>
      </c>
      <c r="C300" s="112" t="n">
        <v>15</v>
      </c>
      <c r="D300" s="112" t="n">
        <v>15</v>
      </c>
    </row>
    <row r="301" customFormat="false" ht="17.35" hidden="false" customHeight="false" outlineLevel="0" collapsed="false">
      <c r="A301" s="110" t="s">
        <v>111</v>
      </c>
      <c r="B301" s="114" t="s">
        <v>308</v>
      </c>
      <c r="C301" s="112" t="n">
        <v>30</v>
      </c>
      <c r="D301" s="112" t="n">
        <v>35</v>
      </c>
    </row>
    <row r="302" customFormat="false" ht="18.65" hidden="false" customHeight="false" outlineLevel="0" collapsed="false">
      <c r="A302" s="110" t="s">
        <v>1003</v>
      </c>
      <c r="B302" s="113" t="s">
        <v>1004</v>
      </c>
      <c r="C302" s="112" t="n">
        <v>20</v>
      </c>
      <c r="D302" s="112" t="n">
        <v>20</v>
      </c>
    </row>
    <row r="303" customFormat="false" ht="18.65" hidden="false" customHeight="false" outlineLevel="0" collapsed="false">
      <c r="A303" s="110" t="s">
        <v>1005</v>
      </c>
      <c r="B303" s="113" t="s">
        <v>1006</v>
      </c>
      <c r="C303" s="112" t="n">
        <v>20</v>
      </c>
      <c r="D303" s="112" t="n">
        <v>20</v>
      </c>
    </row>
    <row r="304" customFormat="false" ht="17.35" hidden="false" customHeight="false" outlineLevel="0" collapsed="false">
      <c r="A304" s="110" t="s">
        <v>1007</v>
      </c>
      <c r="B304" s="114" t="s">
        <v>161</v>
      </c>
      <c r="C304" s="112" t="n">
        <v>35</v>
      </c>
      <c r="D304" s="112" t="n">
        <v>35</v>
      </c>
    </row>
    <row r="305" customFormat="false" ht="18.65" hidden="false" customHeight="false" outlineLevel="0" collapsed="false">
      <c r="A305" s="115" t="s">
        <v>1008</v>
      </c>
      <c r="B305" s="113" t="s">
        <v>1009</v>
      </c>
      <c r="C305" s="112" t="n">
        <v>30</v>
      </c>
      <c r="D305" s="112" t="n">
        <v>30</v>
      </c>
    </row>
    <row r="306" customFormat="false" ht="18.65" hidden="false" customHeight="false" outlineLevel="0" collapsed="false">
      <c r="A306" s="115" t="s">
        <v>1010</v>
      </c>
      <c r="B306" s="113" t="s">
        <v>1011</v>
      </c>
      <c r="C306" s="112" t="n">
        <v>30</v>
      </c>
      <c r="D306" s="112" t="n">
        <v>30</v>
      </c>
    </row>
    <row r="307" customFormat="false" ht="17.35" hidden="false" customHeight="false" outlineLevel="0" collapsed="false">
      <c r="A307" s="110" t="s">
        <v>1012</v>
      </c>
      <c r="B307" s="113" t="s">
        <v>1013</v>
      </c>
      <c r="C307" s="112" t="n">
        <v>45</v>
      </c>
      <c r="D307" s="112" t="n">
        <v>45</v>
      </c>
    </row>
    <row r="308" customFormat="false" ht="17.35" hidden="false" customHeight="false" outlineLevel="0" collapsed="false">
      <c r="A308" s="110" t="s">
        <v>1014</v>
      </c>
      <c r="B308" s="114" t="s">
        <v>309</v>
      </c>
      <c r="C308" s="112" t="n">
        <v>45</v>
      </c>
      <c r="D308" s="112" t="n">
        <v>50</v>
      </c>
    </row>
    <row r="309" customFormat="false" ht="17.35" hidden="false" customHeight="false" outlineLevel="0" collapsed="false">
      <c r="A309" s="110" t="s">
        <v>1015</v>
      </c>
      <c r="B309" s="114" t="s">
        <v>1016</v>
      </c>
      <c r="C309" s="112" t="n">
        <v>15</v>
      </c>
      <c r="D309" s="112" t="n">
        <v>15</v>
      </c>
    </row>
    <row r="310" customFormat="false" ht="17.35" hidden="false" customHeight="false" outlineLevel="0" collapsed="false">
      <c r="A310" s="110" t="s">
        <v>1017</v>
      </c>
      <c r="B310" s="114" t="s">
        <v>1018</v>
      </c>
      <c r="C310" s="112" t="n">
        <v>2</v>
      </c>
      <c r="D310" s="112" t="n">
        <v>2</v>
      </c>
    </row>
    <row r="311" customFormat="false" ht="17.35" hidden="false" customHeight="false" outlineLevel="0" collapsed="false">
      <c r="A311" s="110" t="s">
        <v>1019</v>
      </c>
      <c r="B311" s="113" t="s">
        <v>1020</v>
      </c>
      <c r="C311" s="112" t="n">
        <v>12</v>
      </c>
      <c r="D311" s="112" t="n">
        <v>12</v>
      </c>
    </row>
    <row r="312" customFormat="false" ht="17.35" hidden="false" customHeight="false" outlineLevel="0" collapsed="false">
      <c r="A312" s="110" t="s">
        <v>1021</v>
      </c>
      <c r="B312" s="113" t="s">
        <v>1022</v>
      </c>
      <c r="C312" s="112" t="n">
        <v>10</v>
      </c>
      <c r="D312" s="112" t="n">
        <v>10</v>
      </c>
    </row>
    <row r="313" customFormat="false" ht="17.35" hidden="false" customHeight="false" outlineLevel="0" collapsed="false">
      <c r="A313" s="110" t="s">
        <v>1023</v>
      </c>
      <c r="B313" s="114" t="s">
        <v>1024</v>
      </c>
      <c r="C313" s="112" t="n">
        <v>6</v>
      </c>
      <c r="D313" s="112" t="n">
        <v>6</v>
      </c>
    </row>
    <row r="314" customFormat="false" ht="18.65" hidden="false" customHeight="false" outlineLevel="0" collapsed="false">
      <c r="A314" s="110" t="s">
        <v>1025</v>
      </c>
      <c r="B314" s="113" t="s">
        <v>1026</v>
      </c>
      <c r="C314" s="112" t="n">
        <v>6</v>
      </c>
      <c r="D314" s="112" t="n">
        <v>6</v>
      </c>
    </row>
    <row r="315" customFormat="false" ht="17.35" hidden="false" customHeight="false" outlineLevel="0" collapsed="false">
      <c r="A315" s="110" t="s">
        <v>1027</v>
      </c>
      <c r="B315" s="114" t="s">
        <v>1028</v>
      </c>
      <c r="C315" s="112" t="n">
        <v>8</v>
      </c>
      <c r="D315" s="112" t="n">
        <v>8</v>
      </c>
    </row>
    <row r="316" customFormat="false" ht="17.35" hidden="false" customHeight="false" outlineLevel="0" collapsed="false">
      <c r="A316" s="110" t="s">
        <v>1029</v>
      </c>
      <c r="B316" s="114" t="s">
        <v>1030</v>
      </c>
      <c r="C316" s="112" t="n">
        <v>8</v>
      </c>
      <c r="D316" s="112" t="n">
        <v>8</v>
      </c>
    </row>
    <row r="317" customFormat="false" ht="17.35" hidden="false" customHeight="false" outlineLevel="0" collapsed="false">
      <c r="A317" s="110" t="s">
        <v>1031</v>
      </c>
      <c r="B317" s="114" t="s">
        <v>1032</v>
      </c>
      <c r="C317" s="112" t="n">
        <v>100</v>
      </c>
      <c r="D317" s="112" t="n">
        <v>100</v>
      </c>
    </row>
    <row r="318" customFormat="false" ht="17.35" hidden="false" customHeight="false" outlineLevel="0" collapsed="false">
      <c r="A318" s="110" t="s">
        <v>1033</v>
      </c>
      <c r="B318" s="114" t="s">
        <v>1034</v>
      </c>
      <c r="C318" s="112" t="n">
        <v>8</v>
      </c>
      <c r="D318" s="112" t="n">
        <v>8</v>
      </c>
    </row>
    <row r="319" customFormat="false" ht="17.35" hidden="false" customHeight="false" outlineLevel="0" collapsed="false">
      <c r="A319" s="110" t="s">
        <v>1035</v>
      </c>
      <c r="B319" s="114" t="s">
        <v>259</v>
      </c>
      <c r="C319" s="112" t="n">
        <v>8</v>
      </c>
      <c r="D319" s="112" t="n">
        <v>8</v>
      </c>
    </row>
    <row r="320" customFormat="false" ht="17.35" hidden="false" customHeight="false" outlineLevel="0" collapsed="false">
      <c r="A320" s="110" t="s">
        <v>1036</v>
      </c>
      <c r="B320" s="114" t="s">
        <v>165</v>
      </c>
      <c r="C320" s="112" t="n">
        <v>80</v>
      </c>
      <c r="D320" s="112" t="n">
        <v>80</v>
      </c>
    </row>
    <row r="321" customFormat="false" ht="17.35" hidden="false" customHeight="false" outlineLevel="0" collapsed="false">
      <c r="A321" s="110" t="s">
        <v>1037</v>
      </c>
      <c r="B321" s="114" t="s">
        <v>1038</v>
      </c>
      <c r="C321" s="112" t="n">
        <v>30</v>
      </c>
      <c r="D321" s="112" t="n">
        <v>30</v>
      </c>
    </row>
    <row r="322" customFormat="false" ht="17.35" hidden="false" customHeight="false" outlineLevel="0" collapsed="false">
      <c r="A322" s="110" t="s">
        <v>1039</v>
      </c>
      <c r="B322" s="114" t="s">
        <v>1040</v>
      </c>
      <c r="C322" s="112" t="n">
        <v>20</v>
      </c>
      <c r="D322" s="112" t="n">
        <v>20</v>
      </c>
    </row>
    <row r="323" customFormat="false" ht="17.35" hidden="false" customHeight="false" outlineLevel="0" collapsed="false">
      <c r="A323" s="110" t="s">
        <v>1041</v>
      </c>
      <c r="B323" s="114" t="s">
        <v>1042</v>
      </c>
      <c r="C323" s="112" t="n">
        <v>10</v>
      </c>
      <c r="D323" s="112" t="n">
        <v>10</v>
      </c>
    </row>
    <row r="324" customFormat="false" ht="17.35" hidden="false" customHeight="false" outlineLevel="0" collapsed="false">
      <c r="A324" s="110" t="s">
        <v>1043</v>
      </c>
      <c r="B324" s="114" t="s">
        <v>1044</v>
      </c>
      <c r="C324" s="112" t="n">
        <v>10</v>
      </c>
      <c r="D324" s="112" t="n">
        <v>10</v>
      </c>
    </row>
    <row r="325" customFormat="false" ht="17.35" hidden="false" customHeight="false" outlineLevel="0" collapsed="false">
      <c r="A325" s="110" t="s">
        <v>1045</v>
      </c>
      <c r="B325" s="114" t="s">
        <v>1046</v>
      </c>
      <c r="C325" s="112" t="n">
        <v>20</v>
      </c>
      <c r="D325" s="112" t="n">
        <v>20</v>
      </c>
    </row>
    <row r="326" customFormat="false" ht="17.35" hidden="false" customHeight="false" outlineLevel="0" collapsed="false">
      <c r="A326" s="110" t="s">
        <v>485</v>
      </c>
      <c r="B326" s="114" t="s">
        <v>486</v>
      </c>
      <c r="C326" s="112" t="n">
        <v>45</v>
      </c>
      <c r="D326" s="112" t="n">
        <v>45</v>
      </c>
    </row>
    <row r="327" customFormat="false" ht="17.35" hidden="false" customHeight="false" outlineLevel="0" collapsed="false">
      <c r="A327" s="110" t="s">
        <v>487</v>
      </c>
      <c r="B327" s="114" t="s">
        <v>486</v>
      </c>
      <c r="C327" s="112" t="n">
        <v>45</v>
      </c>
      <c r="D327" s="112" t="n">
        <v>45</v>
      </c>
    </row>
    <row r="328" customFormat="false" ht="17.35" hidden="false" customHeight="false" outlineLevel="0" collapsed="false">
      <c r="A328" s="110" t="s">
        <v>488</v>
      </c>
      <c r="B328" s="114" t="s">
        <v>489</v>
      </c>
      <c r="C328" s="112" t="n">
        <v>10</v>
      </c>
      <c r="D328" s="112" t="n">
        <v>10</v>
      </c>
    </row>
    <row r="329" customFormat="false" ht="18.65" hidden="false" customHeight="false" outlineLevel="0" collapsed="false">
      <c r="A329" s="110" t="s">
        <v>492</v>
      </c>
      <c r="B329" s="114" t="s">
        <v>493</v>
      </c>
      <c r="C329" s="112" t="n">
        <v>10</v>
      </c>
      <c r="D329" s="112" t="n">
        <v>10</v>
      </c>
    </row>
    <row r="330" customFormat="false" ht="18.65" hidden="false" customHeight="false" outlineLevel="0" collapsed="false">
      <c r="A330" s="110" t="s">
        <v>1047</v>
      </c>
      <c r="B330" s="114" t="s">
        <v>493</v>
      </c>
      <c r="C330" s="112" t="n">
        <v>10</v>
      </c>
      <c r="D330" s="112" t="n">
        <v>10</v>
      </c>
    </row>
    <row r="331" customFormat="false" ht="17.35" hidden="false" customHeight="false" outlineLevel="0" collapsed="false">
      <c r="A331" s="110" t="s">
        <v>1048</v>
      </c>
      <c r="B331" s="114" t="s">
        <v>1049</v>
      </c>
      <c r="C331" s="112" t="n">
        <v>5</v>
      </c>
      <c r="D331" s="112" t="n">
        <v>5</v>
      </c>
    </row>
    <row r="332" customFormat="false" ht="17.35" hidden="false" customHeight="false" outlineLevel="0" collapsed="false">
      <c r="A332" s="110" t="s">
        <v>1050</v>
      </c>
      <c r="B332" s="114" t="s">
        <v>1051</v>
      </c>
      <c r="C332" s="112" t="n">
        <v>35</v>
      </c>
      <c r="D332" s="112" t="n">
        <v>35</v>
      </c>
    </row>
    <row r="333" customFormat="false" ht="17.35" hidden="false" customHeight="false" outlineLevel="0" collapsed="false">
      <c r="A333" s="110" t="s">
        <v>653</v>
      </c>
      <c r="B333" s="114" t="s">
        <v>268</v>
      </c>
      <c r="C333" s="112" t="n">
        <v>4.5</v>
      </c>
      <c r="D333" s="112" t="n">
        <v>4.5</v>
      </c>
    </row>
    <row r="334" customFormat="false" ht="17.35" hidden="false" customHeight="false" outlineLevel="0" collapsed="false">
      <c r="A334" s="110" t="s">
        <v>1052</v>
      </c>
      <c r="B334" s="114" t="s">
        <v>1053</v>
      </c>
      <c r="C334" s="112" t="n">
        <v>20</v>
      </c>
      <c r="D334" s="112" t="n">
        <v>20</v>
      </c>
    </row>
    <row r="335" customFormat="false" ht="17.35" hidden="false" customHeight="false" outlineLevel="0" collapsed="false">
      <c r="A335" s="110" t="s">
        <v>1054</v>
      </c>
      <c r="B335" s="114" t="s">
        <v>1055</v>
      </c>
      <c r="C335" s="112" t="n">
        <v>6.5</v>
      </c>
      <c r="D335" s="112" t="n">
        <v>6.5</v>
      </c>
    </row>
    <row r="336" customFormat="false" ht="17.35" hidden="false" customHeight="false" outlineLevel="0" collapsed="false">
      <c r="A336" s="110" t="s">
        <v>1056</v>
      </c>
      <c r="B336" s="114" t="s">
        <v>377</v>
      </c>
      <c r="C336" s="112" t="n">
        <v>16</v>
      </c>
      <c r="D336" s="112" t="n">
        <v>20</v>
      </c>
    </row>
    <row r="337" customFormat="false" ht="17.35" hidden="false" customHeight="false" outlineLevel="0" collapsed="false">
      <c r="A337" s="110" t="s">
        <v>1057</v>
      </c>
      <c r="B337" s="114" t="s">
        <v>1058</v>
      </c>
      <c r="C337" s="112" t="n">
        <v>45</v>
      </c>
      <c r="D337" s="112" t="n">
        <v>45</v>
      </c>
    </row>
    <row r="338" customFormat="false" ht="17.35" hidden="false" customHeight="false" outlineLevel="0" collapsed="false">
      <c r="A338" s="110" t="s">
        <v>1059</v>
      </c>
      <c r="B338" s="114" t="s">
        <v>1060</v>
      </c>
      <c r="C338" s="112" t="n">
        <v>13</v>
      </c>
      <c r="D338" s="112" t="n">
        <v>130</v>
      </c>
    </row>
    <row r="339" customFormat="false" ht="17.35" hidden="false" customHeight="false" outlineLevel="0" collapsed="false">
      <c r="A339" s="110" t="s">
        <v>1061</v>
      </c>
      <c r="B339" s="114" t="s">
        <v>1058</v>
      </c>
      <c r="C339" s="112" t="n">
        <v>45</v>
      </c>
      <c r="D339" s="112" t="n">
        <v>45</v>
      </c>
    </row>
    <row r="340" customFormat="false" ht="15.65" hidden="false" customHeight="false" outlineLevel="0" collapsed="false">
      <c r="A340" s="110" t="s">
        <v>1062</v>
      </c>
      <c r="B340" s="114" t="s">
        <v>1063</v>
      </c>
      <c r="C340" s="112" t="n">
        <v>19</v>
      </c>
      <c r="D340" s="112" t="n">
        <v>19</v>
      </c>
    </row>
    <row r="341" customFormat="false" ht="15.65" hidden="false" customHeight="false" outlineLevel="0" collapsed="false">
      <c r="A341" s="110" t="s">
        <v>1064</v>
      </c>
      <c r="B341" s="114" t="s">
        <v>1065</v>
      </c>
      <c r="C341" s="112" t="n">
        <v>20</v>
      </c>
      <c r="D341" s="112" t="n">
        <v>21</v>
      </c>
    </row>
    <row r="342" customFormat="false" ht="17.35" hidden="false" customHeight="false" outlineLevel="0" collapsed="false">
      <c r="A342" s="110" t="s">
        <v>1066</v>
      </c>
      <c r="B342" s="114" t="s">
        <v>386</v>
      </c>
      <c r="C342" s="112" t="n">
        <v>36</v>
      </c>
      <c r="D342" s="112" t="n">
        <v>38</v>
      </c>
    </row>
    <row r="343" customFormat="false" ht="17.35" hidden="false" customHeight="false" outlineLevel="0" collapsed="false">
      <c r="A343" s="110" t="s">
        <v>1067</v>
      </c>
      <c r="B343" s="114" t="s">
        <v>393</v>
      </c>
      <c r="C343" s="112" t="n">
        <v>53</v>
      </c>
      <c r="D343" s="112" t="n">
        <v>55</v>
      </c>
    </row>
    <row r="344" customFormat="false" ht="17.35" hidden="false" customHeight="false" outlineLevel="0" collapsed="false">
      <c r="A344" s="110" t="s">
        <v>1068</v>
      </c>
      <c r="B344" s="114" t="s">
        <v>397</v>
      </c>
      <c r="C344" s="112" t="n">
        <v>19</v>
      </c>
      <c r="D344" s="112" t="n">
        <v>21</v>
      </c>
    </row>
    <row r="345" customFormat="false" ht="15.65" hidden="false" customHeight="false" outlineLevel="0" collapsed="false">
      <c r="A345" s="110" t="s">
        <v>1069</v>
      </c>
      <c r="B345" s="114" t="s">
        <v>1070</v>
      </c>
      <c r="C345" s="112" t="n">
        <v>15</v>
      </c>
      <c r="D345" s="112" t="n">
        <v>15</v>
      </c>
    </row>
    <row r="346" customFormat="false" ht="17.35" hidden="false" customHeight="false" outlineLevel="0" collapsed="false">
      <c r="A346" s="110" t="s">
        <v>1071</v>
      </c>
      <c r="B346" s="114" t="s">
        <v>429</v>
      </c>
      <c r="C346" s="112" t="n">
        <v>10</v>
      </c>
      <c r="D346" s="112" t="n">
        <v>10</v>
      </c>
    </row>
    <row r="347" customFormat="false" ht="17.35" hidden="false" customHeight="false" outlineLevel="0" collapsed="false">
      <c r="A347" s="110" t="s">
        <v>1072</v>
      </c>
      <c r="B347" s="114" t="s">
        <v>343</v>
      </c>
      <c r="C347" s="112" t="n">
        <v>15</v>
      </c>
      <c r="D347" s="112" t="n">
        <v>15</v>
      </c>
    </row>
    <row r="348" customFormat="false" ht="17.35" hidden="false" customHeight="false" outlineLevel="0" collapsed="false">
      <c r="A348" s="120" t="s">
        <v>276</v>
      </c>
      <c r="B348" s="114" t="s">
        <v>275</v>
      </c>
      <c r="C348" s="112" t="n">
        <v>5</v>
      </c>
      <c r="D348" s="112" t="n">
        <v>5</v>
      </c>
    </row>
    <row r="349" customFormat="false" ht="17.35" hidden="false" customHeight="false" outlineLevel="0" collapsed="false">
      <c r="A349" s="110" t="s">
        <v>1073</v>
      </c>
      <c r="B349" s="114" t="s">
        <v>269</v>
      </c>
      <c r="C349" s="112" t="n">
        <v>10</v>
      </c>
      <c r="D349" s="112" t="n">
        <v>10</v>
      </c>
    </row>
    <row r="350" customFormat="false" ht="17.35" hidden="false" customHeight="false" outlineLevel="0" collapsed="false">
      <c r="A350" s="110" t="s">
        <v>1074</v>
      </c>
      <c r="B350" s="114" t="s">
        <v>270</v>
      </c>
      <c r="C350" s="112" t="n">
        <v>15</v>
      </c>
      <c r="D350" s="112" t="n">
        <v>15</v>
      </c>
    </row>
    <row r="351" customFormat="false" ht="17.35" hidden="false" customHeight="false" outlineLevel="0" collapsed="false">
      <c r="A351" s="110" t="s">
        <v>1075</v>
      </c>
      <c r="B351" s="114" t="s">
        <v>1076</v>
      </c>
      <c r="C351" s="112" t="n">
        <v>10</v>
      </c>
      <c r="D351" s="112" t="n">
        <v>10</v>
      </c>
    </row>
    <row r="352" customFormat="false" ht="17.35" hidden="false" customHeight="false" outlineLevel="0" collapsed="false">
      <c r="A352" s="110" t="s">
        <v>1077</v>
      </c>
      <c r="B352" s="114" t="s">
        <v>400</v>
      </c>
      <c r="C352" s="112" t="n">
        <v>10</v>
      </c>
      <c r="D352" s="112" t="n">
        <v>10</v>
      </c>
    </row>
    <row r="353" customFormat="false" ht="17.35" hidden="false" customHeight="false" outlineLevel="0" collapsed="false">
      <c r="A353" s="110" t="s">
        <v>1078</v>
      </c>
      <c r="B353" s="114" t="s">
        <v>401</v>
      </c>
      <c r="C353" s="112" t="n">
        <v>10</v>
      </c>
      <c r="D353" s="112" t="n">
        <v>10</v>
      </c>
    </row>
    <row r="354" customFormat="false" ht="17.35" hidden="false" customHeight="false" outlineLevel="0" collapsed="false">
      <c r="A354" s="110" t="s">
        <v>1079</v>
      </c>
      <c r="B354" s="114" t="s">
        <v>405</v>
      </c>
      <c r="C354" s="112" t="n">
        <v>14</v>
      </c>
      <c r="D354" s="112" t="n">
        <v>14</v>
      </c>
    </row>
    <row r="355" customFormat="false" ht="17.35" hidden="false" customHeight="false" outlineLevel="0" collapsed="false">
      <c r="A355" s="110" t="s">
        <v>1080</v>
      </c>
      <c r="B355" s="114" t="s">
        <v>408</v>
      </c>
      <c r="C355" s="112" t="n">
        <v>18</v>
      </c>
      <c r="D355" s="112" t="n">
        <v>19</v>
      </c>
    </row>
    <row r="356" customFormat="false" ht="17.35" hidden="false" customHeight="false" outlineLevel="0" collapsed="false">
      <c r="A356" s="110" t="s">
        <v>1081</v>
      </c>
      <c r="B356" s="114" t="s">
        <v>410</v>
      </c>
      <c r="C356" s="112" t="n">
        <v>17</v>
      </c>
      <c r="D356" s="112" t="n">
        <v>18</v>
      </c>
    </row>
    <row r="357" customFormat="false" ht="17.35" hidden="false" customHeight="false" outlineLevel="0" collapsed="false">
      <c r="A357" s="110" t="s">
        <v>1082</v>
      </c>
      <c r="B357" s="114" t="s">
        <v>291</v>
      </c>
      <c r="C357" s="112" t="n">
        <v>17</v>
      </c>
      <c r="D357" s="112" t="n">
        <v>20</v>
      </c>
    </row>
    <row r="358" customFormat="false" ht="17.35" hidden="false" customHeight="false" outlineLevel="0" collapsed="false">
      <c r="A358" s="110" t="s">
        <v>1083</v>
      </c>
      <c r="B358" s="114" t="s">
        <v>313</v>
      </c>
      <c r="C358" s="112" t="n">
        <v>30</v>
      </c>
      <c r="D358" s="112" t="n">
        <v>30</v>
      </c>
    </row>
    <row r="359" customFormat="false" ht="17.35" hidden="false" customHeight="false" outlineLevel="0" collapsed="false">
      <c r="A359" s="110" t="s">
        <v>1084</v>
      </c>
      <c r="B359" s="114" t="s">
        <v>314</v>
      </c>
      <c r="C359" s="112" t="n">
        <v>30</v>
      </c>
      <c r="D359" s="112" t="n">
        <v>30</v>
      </c>
    </row>
    <row r="360" customFormat="false" ht="17.35" hidden="false" customHeight="false" outlineLevel="0" collapsed="false">
      <c r="A360" s="110" t="s">
        <v>1085</v>
      </c>
      <c r="B360" s="114" t="s">
        <v>310</v>
      </c>
      <c r="C360" s="112" t="n">
        <v>35</v>
      </c>
      <c r="D360" s="112" t="n">
        <v>35</v>
      </c>
    </row>
    <row r="361" customFormat="false" ht="17.35" hidden="false" customHeight="false" outlineLevel="0" collapsed="false">
      <c r="A361" s="110" t="s">
        <v>1086</v>
      </c>
      <c r="B361" s="114" t="s">
        <v>384</v>
      </c>
      <c r="C361" s="112" t="n">
        <v>10</v>
      </c>
      <c r="D361" s="112" t="n">
        <v>10</v>
      </c>
    </row>
    <row r="362" customFormat="false" ht="17.35" hidden="false" customHeight="false" outlineLevel="0" collapsed="false">
      <c r="A362" s="110" t="s">
        <v>1087</v>
      </c>
      <c r="B362" s="114" t="s">
        <v>379</v>
      </c>
      <c r="C362" s="112" t="n">
        <v>10</v>
      </c>
      <c r="D362" s="112" t="n">
        <v>12</v>
      </c>
    </row>
    <row r="363" customFormat="false" ht="17.35" hidden="false" customHeight="false" outlineLevel="0" collapsed="false">
      <c r="A363" s="110" t="s">
        <v>1088</v>
      </c>
      <c r="B363" s="114" t="s">
        <v>1089</v>
      </c>
      <c r="C363" s="112" t="n">
        <v>50</v>
      </c>
      <c r="D363" s="112" t="n">
        <v>50</v>
      </c>
    </row>
    <row r="364" customFormat="false" ht="17.35" hidden="false" customHeight="false" outlineLevel="0" collapsed="false">
      <c r="A364" s="110" t="s">
        <v>1090</v>
      </c>
      <c r="B364" s="114" t="s">
        <v>274</v>
      </c>
      <c r="C364" s="112" t="n">
        <v>60</v>
      </c>
      <c r="D364" s="112" t="n">
        <v>60</v>
      </c>
    </row>
    <row r="365" customFormat="false" ht="17.35" hidden="false" customHeight="false" outlineLevel="0" collapsed="false">
      <c r="A365" s="110" t="s">
        <v>1091</v>
      </c>
      <c r="B365" s="114" t="s">
        <v>266</v>
      </c>
      <c r="C365" s="112" t="n">
        <v>18</v>
      </c>
      <c r="D365" s="112" t="n">
        <v>20</v>
      </c>
    </row>
    <row r="366" customFormat="false" ht="17.35" hidden="false" customHeight="false" outlineLevel="0" collapsed="false">
      <c r="A366" s="110" t="s">
        <v>1092</v>
      </c>
      <c r="B366" s="114" t="s">
        <v>259</v>
      </c>
      <c r="C366" s="112" t="n">
        <v>8</v>
      </c>
      <c r="D366" s="112" t="n">
        <v>8</v>
      </c>
    </row>
    <row r="367" customFormat="false" ht="17.35" hidden="false" customHeight="false" outlineLevel="0" collapsed="false">
      <c r="A367" s="110" t="s">
        <v>1035</v>
      </c>
      <c r="B367" s="114" t="s">
        <v>259</v>
      </c>
      <c r="C367" s="112" t="n">
        <v>6</v>
      </c>
      <c r="D367" s="112" t="n">
        <v>6</v>
      </c>
    </row>
    <row r="368" customFormat="false" ht="17.35" hidden="false" customHeight="false" outlineLevel="0" collapsed="false">
      <c r="A368" s="110" t="s">
        <v>1093</v>
      </c>
      <c r="B368" s="114" t="s">
        <v>260</v>
      </c>
      <c r="C368" s="112" t="n">
        <v>6</v>
      </c>
      <c r="D368" s="112" t="n">
        <v>6</v>
      </c>
    </row>
    <row r="369" customFormat="false" ht="17.35" hidden="false" customHeight="false" outlineLevel="0" collapsed="false">
      <c r="A369" s="110" t="s">
        <v>1023</v>
      </c>
      <c r="B369" s="114" t="s">
        <v>1094</v>
      </c>
      <c r="C369" s="112" t="n">
        <v>6</v>
      </c>
      <c r="D369" s="112" t="n">
        <v>6</v>
      </c>
    </row>
    <row r="370" customFormat="false" ht="17.35" hidden="false" customHeight="false" outlineLevel="0" collapsed="false">
      <c r="A370" s="110" t="s">
        <v>1095</v>
      </c>
      <c r="B370" s="114" t="s">
        <v>264</v>
      </c>
      <c r="C370" s="112" t="n">
        <v>6</v>
      </c>
      <c r="D370" s="112" t="n">
        <v>6</v>
      </c>
    </row>
    <row r="371" customFormat="false" ht="17.35" hidden="false" customHeight="false" outlineLevel="0" collapsed="false">
      <c r="A371" s="110" t="s">
        <v>1096</v>
      </c>
      <c r="B371" s="114" t="s">
        <v>323</v>
      </c>
      <c r="C371" s="112" t="n">
        <v>10</v>
      </c>
      <c r="D371" s="112" t="n">
        <v>10</v>
      </c>
    </row>
    <row r="372" customFormat="false" ht="17.35" hidden="false" customHeight="false" outlineLevel="0" collapsed="false">
      <c r="A372" s="110" t="s">
        <v>1097</v>
      </c>
      <c r="B372" s="114" t="s">
        <v>1098</v>
      </c>
      <c r="C372" s="112" t="n">
        <v>45</v>
      </c>
      <c r="D372" s="112" t="n">
        <v>45</v>
      </c>
    </row>
    <row r="373" customFormat="false" ht="17.35" hidden="false" customHeight="false" outlineLevel="0" collapsed="false">
      <c r="A373" s="110" t="s">
        <v>1099</v>
      </c>
      <c r="B373" s="114" t="s">
        <v>185</v>
      </c>
      <c r="C373" s="112" t="n">
        <v>80</v>
      </c>
      <c r="D373" s="112" t="n">
        <v>80</v>
      </c>
    </row>
    <row r="374" customFormat="false" ht="17.35" hidden="false" customHeight="false" outlineLevel="0" collapsed="false">
      <c r="A374" s="110" t="s">
        <v>842</v>
      </c>
      <c r="B374" s="114" t="s">
        <v>1100</v>
      </c>
      <c r="C374" s="112" t="n">
        <v>80</v>
      </c>
      <c r="D374" s="112" t="n">
        <v>80</v>
      </c>
    </row>
    <row r="375" customFormat="false" ht="15.65" hidden="false" customHeight="false" outlineLevel="0" collapsed="false">
      <c r="A375" s="110" t="s">
        <v>1101</v>
      </c>
      <c r="B375" s="114" t="s">
        <v>1102</v>
      </c>
      <c r="C375" s="112" t="n">
        <v>55</v>
      </c>
      <c r="D375" s="112" t="n">
        <v>55</v>
      </c>
    </row>
    <row r="376" customFormat="false" ht="15.65" hidden="false" customHeight="false" outlineLevel="0" collapsed="false">
      <c r="A376" s="110" t="s">
        <v>1103</v>
      </c>
      <c r="B376" s="114" t="s">
        <v>1104</v>
      </c>
      <c r="C376" s="112" t="n">
        <v>15</v>
      </c>
      <c r="D376" s="112" t="n">
        <v>15</v>
      </c>
    </row>
    <row r="377" customFormat="false" ht="17.35" hidden="false" customHeight="false" outlineLevel="0" collapsed="false">
      <c r="A377" s="110" t="s">
        <v>1105</v>
      </c>
      <c r="B377" s="114" t="s">
        <v>203</v>
      </c>
      <c r="C377" s="112" t="n">
        <v>30</v>
      </c>
      <c r="D377" s="112" t="n">
        <v>30</v>
      </c>
    </row>
    <row r="378" customFormat="false" ht="17.35" hidden="false" customHeight="false" outlineLevel="0" collapsed="false">
      <c r="A378" s="110" t="s">
        <v>1106</v>
      </c>
      <c r="B378" s="114" t="s">
        <v>201</v>
      </c>
      <c r="C378" s="112" t="n">
        <v>30</v>
      </c>
      <c r="D378" s="112" t="n">
        <v>30</v>
      </c>
    </row>
    <row r="379" customFormat="false" ht="17.35" hidden="false" customHeight="false" outlineLevel="0" collapsed="false">
      <c r="A379" s="110" t="s">
        <v>1107</v>
      </c>
      <c r="B379" s="114" t="s">
        <v>200</v>
      </c>
      <c r="C379" s="112" t="n">
        <v>30</v>
      </c>
      <c r="D379" s="112" t="n">
        <v>30</v>
      </c>
    </row>
    <row r="380" customFormat="false" ht="17.35" hidden="false" customHeight="false" outlineLevel="0" collapsed="false">
      <c r="A380" s="110" t="s">
        <v>1108</v>
      </c>
      <c r="B380" s="114" t="s">
        <v>1109</v>
      </c>
      <c r="C380" s="112" t="n">
        <v>30</v>
      </c>
      <c r="D380" s="112" t="n">
        <v>30</v>
      </c>
    </row>
    <row r="381" customFormat="false" ht="17.35" hidden="false" customHeight="false" outlineLevel="0" collapsed="false">
      <c r="A381" s="110" t="s">
        <v>1110</v>
      </c>
      <c r="B381" s="114" t="s">
        <v>202</v>
      </c>
      <c r="C381" s="112" t="n">
        <v>30</v>
      </c>
      <c r="D381" s="112" t="n">
        <v>30</v>
      </c>
    </row>
    <row r="382" customFormat="false" ht="17.35" hidden="false" customHeight="false" outlineLevel="0" collapsed="false">
      <c r="A382" s="110" t="s">
        <v>1111</v>
      </c>
      <c r="B382" s="114" t="s">
        <v>1112</v>
      </c>
      <c r="C382" s="112" t="n">
        <v>10</v>
      </c>
      <c r="D382" s="112" t="n">
        <v>10</v>
      </c>
    </row>
    <row r="383" customFormat="false" ht="17.35" hidden="false" customHeight="false" outlineLevel="0" collapsed="false">
      <c r="A383" s="110" t="s">
        <v>1113</v>
      </c>
      <c r="B383" s="114" t="s">
        <v>1114</v>
      </c>
      <c r="C383" s="112" t="n">
        <v>12</v>
      </c>
      <c r="D383" s="112" t="n">
        <v>12</v>
      </c>
    </row>
    <row r="384" customFormat="false" ht="17.35" hidden="false" customHeight="false" outlineLevel="0" collapsed="false">
      <c r="A384" s="110" t="s">
        <v>1115</v>
      </c>
      <c r="B384" s="114" t="s">
        <v>1116</v>
      </c>
      <c r="C384" s="112" t="n">
        <v>15</v>
      </c>
      <c r="D384" s="112" t="n">
        <v>15</v>
      </c>
    </row>
    <row r="385" customFormat="false" ht="17.35" hidden="false" customHeight="false" outlineLevel="0" collapsed="false">
      <c r="A385" s="110" t="s">
        <v>1117</v>
      </c>
      <c r="B385" s="114" t="s">
        <v>228</v>
      </c>
      <c r="C385" s="112" t="n">
        <v>25</v>
      </c>
      <c r="D385" s="112" t="n">
        <v>25</v>
      </c>
    </row>
    <row r="386" customFormat="false" ht="17.35" hidden="false" customHeight="false" outlineLevel="0" collapsed="false">
      <c r="A386" s="110" t="s">
        <v>1118</v>
      </c>
      <c r="B386" s="114" t="s">
        <v>228</v>
      </c>
      <c r="C386" s="112" t="n">
        <v>25</v>
      </c>
      <c r="D386" s="112" t="n">
        <v>25</v>
      </c>
    </row>
    <row r="387" customFormat="false" ht="17.35" hidden="false" customHeight="false" outlineLevel="0" collapsed="false">
      <c r="A387" s="110" t="s">
        <v>1119</v>
      </c>
      <c r="B387" s="114" t="s">
        <v>252</v>
      </c>
      <c r="C387" s="112" t="n">
        <v>5</v>
      </c>
      <c r="D387" s="112" t="n">
        <v>5</v>
      </c>
    </row>
    <row r="388" customFormat="false" ht="17.35" hidden="false" customHeight="false" outlineLevel="0" collapsed="false">
      <c r="A388" s="110" t="s">
        <v>645</v>
      </c>
      <c r="B388" s="114" t="s">
        <v>252</v>
      </c>
      <c r="C388" s="112" t="n">
        <v>5</v>
      </c>
      <c r="D388" s="112" t="n">
        <v>5</v>
      </c>
    </row>
    <row r="389" customFormat="false" ht="17.35" hidden="false" customHeight="false" outlineLevel="0" collapsed="false">
      <c r="A389" s="110" t="s">
        <v>1120</v>
      </c>
      <c r="B389" s="114" t="s">
        <v>1121</v>
      </c>
      <c r="C389" s="112" t="n">
        <v>10</v>
      </c>
      <c r="D389" s="112" t="n">
        <v>10</v>
      </c>
    </row>
    <row r="390" customFormat="false" ht="17.35" hidden="false" customHeight="false" outlineLevel="0" collapsed="false">
      <c r="A390" s="110" t="s">
        <v>631</v>
      </c>
      <c r="B390" s="114" t="s">
        <v>1121</v>
      </c>
      <c r="C390" s="112" t="n">
        <v>10</v>
      </c>
      <c r="D390" s="112" t="n">
        <v>10</v>
      </c>
    </row>
    <row r="391" customFormat="false" ht="17.35" hidden="false" customHeight="false" outlineLevel="0" collapsed="false">
      <c r="A391" s="110" t="s">
        <v>1122</v>
      </c>
      <c r="B391" s="114" t="s">
        <v>1123</v>
      </c>
      <c r="C391" s="112" t="n">
        <v>20</v>
      </c>
      <c r="D391" s="112" t="n">
        <v>20</v>
      </c>
    </row>
    <row r="392" customFormat="false" ht="17.35" hidden="false" customHeight="false" outlineLevel="0" collapsed="false">
      <c r="A392" s="110" t="s">
        <v>1124</v>
      </c>
      <c r="B392" s="114" t="s">
        <v>179</v>
      </c>
      <c r="C392" s="112" t="n">
        <v>30</v>
      </c>
      <c r="D392" s="112" t="n">
        <v>30</v>
      </c>
    </row>
    <row r="393" customFormat="false" ht="17.35" hidden="false" customHeight="false" outlineLevel="0" collapsed="false">
      <c r="A393" s="110" t="s">
        <v>1124</v>
      </c>
      <c r="B393" s="114" t="s">
        <v>179</v>
      </c>
      <c r="C393" s="112" t="n">
        <v>30</v>
      </c>
      <c r="D393" s="112" t="n">
        <v>30</v>
      </c>
    </row>
    <row r="394" customFormat="false" ht="17.35" hidden="false" customHeight="false" outlineLevel="0" collapsed="false">
      <c r="A394" s="110" t="s">
        <v>1125</v>
      </c>
      <c r="B394" s="114" t="s">
        <v>195</v>
      </c>
      <c r="C394" s="112" t="n">
        <v>25</v>
      </c>
      <c r="D394" s="112" t="n">
        <v>25</v>
      </c>
    </row>
    <row r="395" customFormat="false" ht="17.35" hidden="false" customHeight="false" outlineLevel="0" collapsed="false">
      <c r="A395" s="110" t="s">
        <v>1126</v>
      </c>
      <c r="B395" s="114" t="s">
        <v>193</v>
      </c>
      <c r="C395" s="112" t="n">
        <v>25</v>
      </c>
      <c r="D395" s="112" t="n">
        <v>25</v>
      </c>
    </row>
    <row r="396" customFormat="false" ht="17.35" hidden="false" customHeight="false" outlineLevel="0" collapsed="false">
      <c r="A396" s="110" t="s">
        <v>1127</v>
      </c>
      <c r="B396" s="114" t="s">
        <v>191</v>
      </c>
      <c r="C396" s="112" t="n">
        <v>35</v>
      </c>
      <c r="D396" s="112" t="n">
        <v>37.5</v>
      </c>
    </row>
    <row r="397" customFormat="false" ht="17.35" hidden="false" customHeight="false" outlineLevel="0" collapsed="false">
      <c r="A397" s="110" t="s">
        <v>1128</v>
      </c>
      <c r="B397" s="114" t="s">
        <v>1129</v>
      </c>
      <c r="C397" s="112" t="n">
        <v>10</v>
      </c>
      <c r="D397" s="112" t="n">
        <v>10</v>
      </c>
    </row>
    <row r="398" customFormat="false" ht="17.35" hidden="false" customHeight="false" outlineLevel="0" collapsed="false">
      <c r="A398" s="110" t="s">
        <v>1130</v>
      </c>
      <c r="B398" s="114" t="s">
        <v>235</v>
      </c>
      <c r="C398" s="112" t="n">
        <v>14</v>
      </c>
      <c r="D398" s="112" t="n">
        <v>17</v>
      </c>
    </row>
    <row r="399" customFormat="false" ht="17.35" hidden="false" customHeight="false" outlineLevel="0" collapsed="false">
      <c r="A399" s="110" t="s">
        <v>1131</v>
      </c>
      <c r="B399" s="114" t="s">
        <v>234</v>
      </c>
      <c r="C399" s="112" t="n">
        <v>17</v>
      </c>
      <c r="D399" s="112" t="n">
        <v>17</v>
      </c>
    </row>
    <row r="400" customFormat="false" ht="15.65" hidden="false" customHeight="false" outlineLevel="0" collapsed="false">
      <c r="A400" s="110" t="s">
        <v>1132</v>
      </c>
      <c r="B400" s="114" t="s">
        <v>1133</v>
      </c>
      <c r="C400" s="112" t="n">
        <v>35</v>
      </c>
      <c r="D400" s="112" t="n">
        <v>35</v>
      </c>
    </row>
    <row r="401" customFormat="false" ht="15.65" hidden="false" customHeight="false" outlineLevel="0" collapsed="false">
      <c r="A401" s="110" t="s">
        <v>1134</v>
      </c>
      <c r="B401" s="114" t="s">
        <v>1135</v>
      </c>
      <c r="C401" s="112" t="n">
        <v>35</v>
      </c>
      <c r="D401" s="112" t="n">
        <v>35</v>
      </c>
    </row>
    <row r="402" customFormat="false" ht="17.35" hidden="false" customHeight="false" outlineLevel="0" collapsed="false">
      <c r="A402" s="110" t="s">
        <v>1136</v>
      </c>
      <c r="B402" s="114" t="s">
        <v>1137</v>
      </c>
      <c r="C402" s="112" t="n">
        <v>10</v>
      </c>
      <c r="D402" s="112" t="n">
        <v>10</v>
      </c>
    </row>
    <row r="403" customFormat="false" ht="17.35" hidden="false" customHeight="false" outlineLevel="0" collapsed="false">
      <c r="A403" s="110" t="s">
        <v>1138</v>
      </c>
      <c r="B403" s="114" t="s">
        <v>1137</v>
      </c>
      <c r="C403" s="112" t="n">
        <v>10</v>
      </c>
      <c r="D403" s="112" t="n">
        <v>10</v>
      </c>
    </row>
    <row r="404" customFormat="false" ht="17.35" hidden="false" customHeight="false" outlineLevel="0" collapsed="false">
      <c r="A404" s="110" t="s">
        <v>497</v>
      </c>
      <c r="B404" s="114" t="s">
        <v>1139</v>
      </c>
      <c r="C404" s="112" t="n">
        <v>10</v>
      </c>
      <c r="D404" s="112" t="n">
        <v>10</v>
      </c>
    </row>
    <row r="405" customFormat="false" ht="17.35" hidden="false" customHeight="false" outlineLevel="0" collapsed="false">
      <c r="A405" s="110" t="s">
        <v>496</v>
      </c>
      <c r="B405" s="114" t="s">
        <v>1139</v>
      </c>
      <c r="C405" s="112" t="n">
        <v>10</v>
      </c>
      <c r="D405" s="112" t="n">
        <v>10</v>
      </c>
    </row>
    <row r="406" customFormat="false" ht="17.35" hidden="false" customHeight="false" outlineLevel="0" collapsed="false">
      <c r="A406" s="110" t="s">
        <v>498</v>
      </c>
      <c r="B406" s="114" t="s">
        <v>1140</v>
      </c>
      <c r="C406" s="112" t="n">
        <v>10</v>
      </c>
      <c r="D406" s="112" t="n">
        <v>10</v>
      </c>
    </row>
    <row r="407" customFormat="false" ht="17.35" hidden="false" customHeight="false" outlineLevel="0" collapsed="false">
      <c r="A407" s="110" t="s">
        <v>499</v>
      </c>
      <c r="B407" s="114" t="s">
        <v>1140</v>
      </c>
      <c r="C407" s="112" t="n">
        <v>10</v>
      </c>
      <c r="D407" s="112" t="n">
        <v>10</v>
      </c>
    </row>
    <row r="408" customFormat="false" ht="17.35" hidden="false" customHeight="false" outlineLevel="0" collapsed="false">
      <c r="A408" s="110" t="s">
        <v>1141</v>
      </c>
      <c r="B408" s="114" t="s">
        <v>385</v>
      </c>
      <c r="C408" s="112" t="n">
        <v>17</v>
      </c>
      <c r="D408" s="112" t="n">
        <v>17</v>
      </c>
    </row>
    <row r="409" customFormat="false" ht="17.35" hidden="false" customHeight="false" outlineLevel="0" collapsed="false">
      <c r="A409" s="110" t="s">
        <v>1142</v>
      </c>
      <c r="B409" s="114" t="s">
        <v>177</v>
      </c>
      <c r="C409" s="112" t="n">
        <v>50</v>
      </c>
      <c r="D409" s="112" t="n">
        <v>60</v>
      </c>
    </row>
    <row r="410" customFormat="false" ht="17.35" hidden="false" customHeight="false" outlineLevel="0" collapsed="false">
      <c r="A410" s="110" t="s">
        <v>1143</v>
      </c>
      <c r="B410" s="114" t="s">
        <v>187</v>
      </c>
      <c r="C410" s="112" t="n">
        <v>40</v>
      </c>
      <c r="D410" s="112" t="n">
        <v>40</v>
      </c>
    </row>
    <row r="411" customFormat="false" ht="17.35" hidden="false" customHeight="false" outlineLevel="0" collapsed="false">
      <c r="A411" s="110" t="s">
        <v>1144</v>
      </c>
      <c r="B411" s="114" t="s">
        <v>189</v>
      </c>
      <c r="C411" s="112" t="n">
        <v>50</v>
      </c>
      <c r="D411" s="112" t="n">
        <v>50</v>
      </c>
    </row>
    <row r="412" customFormat="false" ht="17.35" hidden="false" customHeight="false" outlineLevel="0" collapsed="false">
      <c r="A412" s="110" t="s">
        <v>1145</v>
      </c>
      <c r="B412" s="114" t="s">
        <v>1146</v>
      </c>
      <c r="C412" s="112" t="n">
        <v>42.5</v>
      </c>
      <c r="D412" s="112" t="n">
        <v>42.5</v>
      </c>
    </row>
    <row r="413" customFormat="false" ht="17.35" hidden="false" customHeight="false" outlineLevel="0" collapsed="false">
      <c r="A413" s="110" t="s">
        <v>1147</v>
      </c>
      <c r="B413" s="114" t="s">
        <v>1146</v>
      </c>
      <c r="C413" s="112" t="n">
        <v>42.5</v>
      </c>
      <c r="D413" s="112" t="n">
        <v>42.5</v>
      </c>
    </row>
    <row r="414" customFormat="false" ht="17.35" hidden="false" customHeight="false" outlineLevel="0" collapsed="false">
      <c r="A414" s="110" t="s">
        <v>1148</v>
      </c>
      <c r="B414" s="114" t="s">
        <v>1149</v>
      </c>
      <c r="C414" s="112" t="n">
        <v>42.5</v>
      </c>
      <c r="D414" s="112" t="n">
        <v>42.5</v>
      </c>
    </row>
    <row r="415" customFormat="false" ht="17.35" hidden="false" customHeight="false" outlineLevel="0" collapsed="false">
      <c r="A415" s="110" t="s">
        <v>1150</v>
      </c>
      <c r="B415" s="114" t="s">
        <v>188</v>
      </c>
      <c r="C415" s="112" t="n">
        <v>45</v>
      </c>
      <c r="D415" s="112" t="n">
        <v>45</v>
      </c>
    </row>
    <row r="416" customFormat="false" ht="17.35" hidden="false" customHeight="false" outlineLevel="0" collapsed="false">
      <c r="A416" s="110" t="s">
        <v>1151</v>
      </c>
      <c r="B416" s="114" t="s">
        <v>206</v>
      </c>
      <c r="C416" s="112" t="n">
        <v>70</v>
      </c>
      <c r="D416" s="112" t="n">
        <v>70</v>
      </c>
    </row>
    <row r="417" customFormat="false" ht="17.35" hidden="false" customHeight="false" outlineLevel="0" collapsed="false">
      <c r="A417" s="110" t="s">
        <v>1152</v>
      </c>
      <c r="B417" s="114" t="s">
        <v>206</v>
      </c>
      <c r="C417" s="112" t="n">
        <v>70</v>
      </c>
      <c r="D417" s="112" t="n">
        <v>70</v>
      </c>
    </row>
    <row r="418" customFormat="false" ht="17.35" hidden="false" customHeight="false" outlineLevel="0" collapsed="false">
      <c r="A418" s="110" t="s">
        <v>1153</v>
      </c>
      <c r="B418" s="114" t="s">
        <v>207</v>
      </c>
      <c r="C418" s="112" t="n">
        <v>80</v>
      </c>
      <c r="D418" s="112" t="n">
        <v>80</v>
      </c>
    </row>
    <row r="419" customFormat="false" ht="17.35" hidden="false" customHeight="false" outlineLevel="0" collapsed="false">
      <c r="A419" s="110" t="s">
        <v>911</v>
      </c>
      <c r="B419" s="114" t="s">
        <v>1154</v>
      </c>
      <c r="C419" s="112" t="n">
        <v>80</v>
      </c>
      <c r="D419" s="112" t="n">
        <v>80</v>
      </c>
    </row>
    <row r="420" customFormat="false" ht="17.35" hidden="false" customHeight="false" outlineLevel="0" collapsed="false">
      <c r="A420" s="110" t="s">
        <v>1155</v>
      </c>
      <c r="B420" s="114" t="s">
        <v>210</v>
      </c>
      <c r="C420" s="112" t="n">
        <v>70</v>
      </c>
      <c r="D420" s="112" t="n">
        <v>70</v>
      </c>
    </row>
    <row r="421" customFormat="false" ht="17.35" hidden="false" customHeight="false" outlineLevel="0" collapsed="false">
      <c r="A421" s="110" t="s">
        <v>1156</v>
      </c>
      <c r="B421" s="114" t="s">
        <v>1157</v>
      </c>
      <c r="C421" s="112" t="n">
        <v>35</v>
      </c>
      <c r="D421" s="112" t="n">
        <v>35</v>
      </c>
    </row>
    <row r="422" customFormat="false" ht="17.35" hidden="false" customHeight="false" outlineLevel="0" collapsed="false">
      <c r="A422" s="110" t="s">
        <v>1158</v>
      </c>
      <c r="B422" s="114" t="s">
        <v>430</v>
      </c>
      <c r="C422" s="112" t="n">
        <v>55</v>
      </c>
      <c r="D422" s="112" t="n">
        <v>60</v>
      </c>
    </row>
    <row r="423" customFormat="false" ht="17.35" hidden="false" customHeight="false" outlineLevel="0" collapsed="false">
      <c r="A423" s="110" t="s">
        <v>1159</v>
      </c>
      <c r="B423" s="114" t="s">
        <v>233</v>
      </c>
      <c r="C423" s="112" t="n">
        <v>50</v>
      </c>
      <c r="D423" s="112" t="n">
        <v>50</v>
      </c>
    </row>
    <row r="424" customFormat="false" ht="17.35" hidden="false" customHeight="false" outlineLevel="0" collapsed="false">
      <c r="A424" s="110" t="s">
        <v>1160</v>
      </c>
      <c r="B424" s="114" t="s">
        <v>227</v>
      </c>
      <c r="C424" s="112" t="n">
        <v>25</v>
      </c>
      <c r="D424" s="112" t="n">
        <v>25</v>
      </c>
    </row>
    <row r="425" customFormat="false" ht="17.35" hidden="false" customHeight="false" outlineLevel="0" collapsed="false">
      <c r="A425" s="110" t="s">
        <v>1161</v>
      </c>
      <c r="B425" s="114" t="s">
        <v>436</v>
      </c>
      <c r="C425" s="112" t="n">
        <v>26.25</v>
      </c>
      <c r="D425" s="112" t="n">
        <v>30</v>
      </c>
    </row>
    <row r="426" customFormat="false" ht="17.35" hidden="false" customHeight="false" outlineLevel="0" collapsed="false">
      <c r="A426" s="110" t="s">
        <v>1162</v>
      </c>
      <c r="B426" s="114" t="s">
        <v>223</v>
      </c>
      <c r="C426" s="112" t="n">
        <v>30</v>
      </c>
      <c r="D426" s="112" t="n">
        <v>30</v>
      </c>
    </row>
    <row r="427" customFormat="false" ht="17.35" hidden="false" customHeight="false" outlineLevel="0" collapsed="false">
      <c r="A427" s="110" t="s">
        <v>1163</v>
      </c>
      <c r="B427" s="114" t="s">
        <v>1164</v>
      </c>
      <c r="C427" s="112" t="n">
        <v>40</v>
      </c>
      <c r="D427" s="112" t="n">
        <v>40</v>
      </c>
    </row>
    <row r="428" customFormat="false" ht="17.35" hidden="false" customHeight="false" outlineLevel="0" collapsed="false">
      <c r="A428" s="110" t="s">
        <v>1165</v>
      </c>
      <c r="B428" s="114" t="s">
        <v>221</v>
      </c>
      <c r="C428" s="112" t="n">
        <v>180</v>
      </c>
      <c r="D428" s="112" t="n">
        <v>180</v>
      </c>
    </row>
    <row r="429" customFormat="false" ht="17.35" hidden="false" customHeight="false" outlineLevel="0" collapsed="false">
      <c r="A429" s="110" t="s">
        <v>1166</v>
      </c>
      <c r="B429" s="114" t="s">
        <v>346</v>
      </c>
      <c r="C429" s="112" t="n">
        <v>35</v>
      </c>
      <c r="D429" s="112" t="n">
        <v>35</v>
      </c>
    </row>
    <row r="430" customFormat="false" ht="17.35" hidden="false" customHeight="false" outlineLevel="0" collapsed="false">
      <c r="A430" s="110" t="s">
        <v>747</v>
      </c>
      <c r="B430" s="114" t="s">
        <v>346</v>
      </c>
      <c r="C430" s="112" t="n">
        <v>35</v>
      </c>
      <c r="D430" s="112" t="n">
        <v>35</v>
      </c>
    </row>
    <row r="431" customFormat="false" ht="17.35" hidden="false" customHeight="false" outlineLevel="0" collapsed="false">
      <c r="A431" s="110" t="s">
        <v>1167</v>
      </c>
      <c r="B431" s="114" t="s">
        <v>346</v>
      </c>
      <c r="C431" s="112" t="n">
        <v>35</v>
      </c>
      <c r="D431" s="112" t="n">
        <v>35</v>
      </c>
    </row>
    <row r="432" customFormat="false" ht="15.65" hidden="false" customHeight="false" outlineLevel="0" collapsed="false">
      <c r="A432" s="110" t="s">
        <v>1168</v>
      </c>
      <c r="B432" s="114" t="s">
        <v>1169</v>
      </c>
      <c r="C432" s="112" t="n">
        <v>350</v>
      </c>
      <c r="D432" s="112" t="n">
        <v>350</v>
      </c>
    </row>
    <row r="433" customFormat="false" ht="15.65" hidden="false" customHeight="false" outlineLevel="0" collapsed="false">
      <c r="A433" s="110" t="s">
        <v>1170</v>
      </c>
      <c r="B433" s="114" t="s">
        <v>1171</v>
      </c>
      <c r="C433" s="112" t="n">
        <v>380</v>
      </c>
      <c r="D433" s="112" t="n">
        <v>380</v>
      </c>
    </row>
    <row r="434" customFormat="false" ht="17.35" hidden="false" customHeight="false" outlineLevel="0" collapsed="false">
      <c r="A434" s="110" t="s">
        <v>1172</v>
      </c>
      <c r="B434" s="114" t="s">
        <v>246</v>
      </c>
      <c r="C434" s="112" t="n">
        <v>130</v>
      </c>
      <c r="D434" s="112" t="n">
        <v>130</v>
      </c>
    </row>
    <row r="435" customFormat="false" ht="15.65" hidden="false" customHeight="false" outlineLevel="0" collapsed="false">
      <c r="A435" s="110" t="s">
        <v>1173</v>
      </c>
      <c r="B435" s="114" t="s">
        <v>1174</v>
      </c>
      <c r="C435" s="112" t="n">
        <v>350</v>
      </c>
      <c r="D435" s="112" t="n">
        <v>350</v>
      </c>
    </row>
    <row r="436" customFormat="false" ht="15.65" hidden="false" customHeight="false" outlineLevel="0" collapsed="false">
      <c r="A436" s="110" t="s">
        <v>1175</v>
      </c>
      <c r="B436" s="114" t="s">
        <v>1174</v>
      </c>
      <c r="C436" s="112" t="n">
        <v>350</v>
      </c>
      <c r="D436" s="112" t="n">
        <v>350</v>
      </c>
    </row>
    <row r="437" customFormat="false" ht="17.35" hidden="false" customHeight="false" outlineLevel="0" collapsed="false">
      <c r="A437" s="110" t="s">
        <v>1176</v>
      </c>
      <c r="B437" s="114" t="s">
        <v>247</v>
      </c>
      <c r="C437" s="112" t="n">
        <v>130</v>
      </c>
      <c r="D437" s="112" t="n">
        <v>130</v>
      </c>
    </row>
    <row r="438" customFormat="false" ht="17.35" hidden="false" customHeight="false" outlineLevel="0" collapsed="false">
      <c r="A438" s="110" t="s">
        <v>1177</v>
      </c>
      <c r="B438" s="114" t="s">
        <v>1178</v>
      </c>
      <c r="C438" s="112" t="n">
        <v>130</v>
      </c>
      <c r="D438" s="112" t="n">
        <v>130</v>
      </c>
    </row>
    <row r="439" customFormat="false" ht="17.35" hidden="false" customHeight="false" outlineLevel="0" collapsed="false">
      <c r="A439" s="110" t="s">
        <v>1179</v>
      </c>
      <c r="B439" s="114" t="s">
        <v>246</v>
      </c>
      <c r="C439" s="112" t="n">
        <v>130</v>
      </c>
      <c r="D439" s="112" t="n">
        <v>130</v>
      </c>
    </row>
    <row r="440" customFormat="false" ht="17.35" hidden="false" customHeight="false" outlineLevel="0" collapsed="false">
      <c r="A440" s="110" t="s">
        <v>1180</v>
      </c>
      <c r="B440" s="114" t="s">
        <v>248</v>
      </c>
      <c r="C440" s="112" t="n">
        <v>70</v>
      </c>
      <c r="D440" s="112" t="n">
        <v>70</v>
      </c>
    </row>
    <row r="441" customFormat="false" ht="17.35" hidden="false" customHeight="false" outlineLevel="0" collapsed="false">
      <c r="A441" s="110" t="s">
        <v>1181</v>
      </c>
      <c r="B441" s="114" t="s">
        <v>248</v>
      </c>
      <c r="C441" s="112" t="n">
        <v>70</v>
      </c>
      <c r="D441" s="112" t="n">
        <v>70</v>
      </c>
    </row>
    <row r="442" customFormat="false" ht="17.35" hidden="false" customHeight="false" outlineLevel="0" collapsed="false">
      <c r="A442" s="110" t="s">
        <v>1182</v>
      </c>
      <c r="B442" s="114" t="s">
        <v>636</v>
      </c>
      <c r="C442" s="112" t="n">
        <v>25</v>
      </c>
      <c r="D442" s="112" t="n">
        <v>25</v>
      </c>
    </row>
    <row r="443" customFormat="false" ht="17.35" hidden="false" customHeight="false" outlineLevel="0" collapsed="false">
      <c r="A443" s="110" t="s">
        <v>1183</v>
      </c>
      <c r="B443" s="114" t="s">
        <v>169</v>
      </c>
      <c r="C443" s="112" t="n">
        <v>25</v>
      </c>
      <c r="D443" s="112" t="n">
        <v>25</v>
      </c>
    </row>
    <row r="444" customFormat="false" ht="17.35" hidden="false" customHeight="false" outlineLevel="0" collapsed="false">
      <c r="A444" s="110" t="s">
        <v>1184</v>
      </c>
      <c r="B444" s="114" t="s">
        <v>1185</v>
      </c>
      <c r="C444" s="112" t="n">
        <v>25</v>
      </c>
      <c r="D444" s="112" t="n">
        <v>25</v>
      </c>
    </row>
    <row r="445" customFormat="false" ht="17.35" hidden="false" customHeight="false" outlineLevel="0" collapsed="false">
      <c r="A445" s="110" t="s">
        <v>1186</v>
      </c>
      <c r="B445" s="114" t="s">
        <v>1187</v>
      </c>
      <c r="C445" s="112" t="n">
        <v>30</v>
      </c>
      <c r="D445" s="112" t="n">
        <v>30</v>
      </c>
    </row>
    <row r="446" customFormat="false" ht="17.35" hidden="false" customHeight="false" outlineLevel="0" collapsed="false">
      <c r="A446" s="110" t="s">
        <v>1188</v>
      </c>
      <c r="B446" s="114" t="s">
        <v>168</v>
      </c>
      <c r="C446" s="112" t="n">
        <v>30</v>
      </c>
      <c r="D446" s="112" t="n">
        <v>30</v>
      </c>
    </row>
    <row r="447" customFormat="false" ht="17.35" hidden="false" customHeight="false" outlineLevel="0" collapsed="false">
      <c r="A447" s="110" t="s">
        <v>1189</v>
      </c>
      <c r="B447" s="114" t="s">
        <v>170</v>
      </c>
      <c r="C447" s="112" t="n">
        <v>90</v>
      </c>
      <c r="D447" s="112" t="n">
        <v>90</v>
      </c>
    </row>
    <row r="448" customFormat="false" ht="17.35" hidden="false" customHeight="false" outlineLevel="0" collapsed="false">
      <c r="A448" s="110" t="s">
        <v>1190</v>
      </c>
      <c r="B448" s="114" t="s">
        <v>242</v>
      </c>
      <c r="C448" s="112" t="n">
        <v>50</v>
      </c>
      <c r="D448" s="112" t="n">
        <v>50</v>
      </c>
    </row>
    <row r="449" customFormat="false" ht="17.35" hidden="false" customHeight="false" outlineLevel="0" collapsed="false">
      <c r="A449" s="110" t="s">
        <v>1191</v>
      </c>
      <c r="B449" s="114" t="s">
        <v>239</v>
      </c>
      <c r="C449" s="112" t="n">
        <v>15</v>
      </c>
      <c r="D449" s="112" t="n">
        <v>15</v>
      </c>
    </row>
    <row r="450" customFormat="false" ht="17.35" hidden="false" customHeight="false" outlineLevel="0" collapsed="false">
      <c r="A450" s="110" t="s">
        <v>1192</v>
      </c>
      <c r="B450" s="114" t="s">
        <v>239</v>
      </c>
      <c r="C450" s="112" t="n">
        <v>15</v>
      </c>
      <c r="D450" s="112" t="n">
        <v>15</v>
      </c>
    </row>
    <row r="451" customFormat="false" ht="17.35" hidden="false" customHeight="false" outlineLevel="0" collapsed="false">
      <c r="A451" s="110" t="s">
        <v>1193</v>
      </c>
      <c r="B451" s="114" t="s">
        <v>240</v>
      </c>
      <c r="C451" s="112" t="n">
        <v>35</v>
      </c>
      <c r="D451" s="112" t="n">
        <v>35</v>
      </c>
    </row>
    <row r="452" customFormat="false" ht="17.35" hidden="false" customHeight="false" outlineLevel="0" collapsed="false">
      <c r="A452" s="110" t="s">
        <v>1194</v>
      </c>
      <c r="B452" s="114" t="s">
        <v>240</v>
      </c>
      <c r="C452" s="112" t="n">
        <v>35</v>
      </c>
      <c r="D452" s="112" t="n">
        <v>35</v>
      </c>
    </row>
    <row r="453" customFormat="false" ht="17.35" hidden="false" customHeight="false" outlineLevel="0" collapsed="false">
      <c r="A453" s="110" t="s">
        <v>1191</v>
      </c>
      <c r="B453" s="114" t="s">
        <v>1195</v>
      </c>
      <c r="C453" s="112" t="n">
        <v>7</v>
      </c>
      <c r="D453" s="112" t="n">
        <v>7</v>
      </c>
    </row>
    <row r="454" customFormat="false" ht="17.35" hidden="false" customHeight="false" outlineLevel="0" collapsed="false">
      <c r="A454" s="110" t="s">
        <v>1192</v>
      </c>
      <c r="B454" s="114" t="s">
        <v>1195</v>
      </c>
      <c r="C454" s="112" t="n">
        <v>7</v>
      </c>
      <c r="D454" s="112" t="n">
        <v>7</v>
      </c>
    </row>
    <row r="455" customFormat="false" ht="15.65" hidden="false" customHeight="false" outlineLevel="0" collapsed="false">
      <c r="A455" s="110" t="s">
        <v>1196</v>
      </c>
      <c r="B455" s="114" t="s">
        <v>1197</v>
      </c>
      <c r="C455" s="112" t="n">
        <v>25</v>
      </c>
      <c r="D455" s="112" t="n">
        <v>25</v>
      </c>
    </row>
    <row r="456" customFormat="false" ht="15.65" hidden="false" customHeight="false" outlineLevel="0" collapsed="false">
      <c r="A456" s="110" t="s">
        <v>1198</v>
      </c>
      <c r="B456" s="114" t="s">
        <v>1197</v>
      </c>
      <c r="C456" s="112" t="n">
        <v>25</v>
      </c>
      <c r="D456" s="112" t="n">
        <v>25</v>
      </c>
    </row>
    <row r="457" customFormat="false" ht="17.35" hidden="false" customHeight="false" outlineLevel="0" collapsed="false">
      <c r="A457" s="110" t="s">
        <v>1199</v>
      </c>
      <c r="B457" s="114" t="s">
        <v>220</v>
      </c>
      <c r="C457" s="112" t="n">
        <v>35</v>
      </c>
      <c r="D457" s="112" t="n">
        <v>35</v>
      </c>
    </row>
    <row r="458" customFormat="false" ht="17.35" hidden="false" customHeight="false" outlineLevel="0" collapsed="false">
      <c r="A458" s="110" t="s">
        <v>1200</v>
      </c>
      <c r="B458" s="114" t="s">
        <v>237</v>
      </c>
      <c r="C458" s="112" t="n">
        <v>15</v>
      </c>
      <c r="D458" s="112" t="n">
        <v>15</v>
      </c>
    </row>
    <row r="459" customFormat="false" ht="17.35" hidden="false" customHeight="false" outlineLevel="0" collapsed="false">
      <c r="A459" s="110" t="s">
        <v>1201</v>
      </c>
      <c r="B459" s="114" t="s">
        <v>284</v>
      </c>
      <c r="C459" s="112" t="n">
        <v>7</v>
      </c>
      <c r="D459" s="112" t="n">
        <v>7</v>
      </c>
    </row>
    <row r="460" customFormat="false" ht="15.65" hidden="false" customHeight="false" outlineLevel="0" collapsed="false">
      <c r="A460" s="110" t="s">
        <v>1202</v>
      </c>
      <c r="B460" s="114" t="s">
        <v>1203</v>
      </c>
      <c r="C460" s="112" t="n">
        <v>150</v>
      </c>
      <c r="D460" s="112" t="n">
        <v>150</v>
      </c>
    </row>
    <row r="461" customFormat="false" ht="15.65" hidden="false" customHeight="false" outlineLevel="0" collapsed="false">
      <c r="A461" s="110" t="s">
        <v>1204</v>
      </c>
      <c r="B461" s="114" t="s">
        <v>1205</v>
      </c>
      <c r="C461" s="112" t="n">
        <v>100</v>
      </c>
      <c r="D461" s="112" t="n">
        <v>100</v>
      </c>
    </row>
    <row r="462" customFormat="false" ht="15.65" hidden="false" customHeight="false" outlineLevel="0" collapsed="false">
      <c r="A462" s="110" t="s">
        <v>1206</v>
      </c>
      <c r="B462" s="114" t="s">
        <v>1207</v>
      </c>
      <c r="C462" s="112" t="n">
        <v>120</v>
      </c>
      <c r="D462" s="112" t="n">
        <v>120</v>
      </c>
    </row>
    <row r="463" customFormat="false" ht="17.35" hidden="false" customHeight="false" outlineLevel="0" collapsed="false">
      <c r="A463" s="110" t="s">
        <v>1208</v>
      </c>
      <c r="B463" s="114" t="s">
        <v>164</v>
      </c>
      <c r="C463" s="112" t="n">
        <v>60</v>
      </c>
      <c r="D463" s="112" t="n">
        <v>70</v>
      </c>
    </row>
    <row r="464" customFormat="false" ht="17.35" hidden="false" customHeight="false" outlineLevel="0" collapsed="false">
      <c r="A464" s="110" t="s">
        <v>1209</v>
      </c>
      <c r="B464" s="114" t="s">
        <v>344</v>
      </c>
      <c r="C464" s="112" t="n">
        <v>20</v>
      </c>
      <c r="D464" s="112" t="n">
        <v>25</v>
      </c>
    </row>
    <row r="465" customFormat="false" ht="17.35" hidden="false" customHeight="false" outlineLevel="0" collapsed="false">
      <c r="A465" s="110" t="s">
        <v>1210</v>
      </c>
      <c r="B465" s="114" t="s">
        <v>280</v>
      </c>
      <c r="C465" s="112" t="n">
        <v>70</v>
      </c>
      <c r="D465" s="112" t="n">
        <v>70</v>
      </c>
    </row>
    <row r="466" customFormat="false" ht="15.65" hidden="false" customHeight="false" outlineLevel="0" collapsed="false">
      <c r="A466" s="110" t="s">
        <v>1211</v>
      </c>
      <c r="B466" s="114" t="s">
        <v>1212</v>
      </c>
      <c r="C466" s="112" t="n">
        <v>80</v>
      </c>
      <c r="D466" s="112" t="n">
        <v>80</v>
      </c>
    </row>
    <row r="467" customFormat="false" ht="15.65" hidden="false" customHeight="false" outlineLevel="0" collapsed="false">
      <c r="A467" s="110" t="s">
        <v>1213</v>
      </c>
      <c r="B467" s="114" t="s">
        <v>1214</v>
      </c>
      <c r="C467" s="112" t="n">
        <v>100</v>
      </c>
      <c r="D467" s="112" t="n">
        <v>110</v>
      </c>
    </row>
    <row r="468" customFormat="false" ht="17.35" hidden="false" customHeight="false" outlineLevel="0" collapsed="false">
      <c r="A468" s="110" t="s">
        <v>575</v>
      </c>
      <c r="B468" s="114" t="s">
        <v>1215</v>
      </c>
      <c r="C468" s="112" t="n">
        <v>100</v>
      </c>
      <c r="D468" s="112" t="n">
        <v>100</v>
      </c>
    </row>
    <row r="469" customFormat="false" ht="17.35" hidden="false" customHeight="false" outlineLevel="0" collapsed="false">
      <c r="A469" s="110" t="s">
        <v>1216</v>
      </c>
      <c r="B469" s="114" t="s">
        <v>277</v>
      </c>
      <c r="C469" s="112" t="n">
        <v>70</v>
      </c>
      <c r="D469" s="112" t="n">
        <v>70</v>
      </c>
    </row>
    <row r="470" customFormat="false" ht="17.35" hidden="false" customHeight="false" outlineLevel="0" collapsed="false">
      <c r="A470" s="110" t="s">
        <v>1217</v>
      </c>
      <c r="B470" s="114" t="s">
        <v>455</v>
      </c>
      <c r="C470" s="112" t="n">
        <v>180</v>
      </c>
      <c r="D470" s="112" t="n">
        <v>180</v>
      </c>
    </row>
    <row r="471" customFormat="false" ht="15.65" hidden="false" customHeight="false" outlineLevel="0" collapsed="false">
      <c r="A471" s="110" t="s">
        <v>1218</v>
      </c>
      <c r="B471" s="114" t="s">
        <v>1219</v>
      </c>
      <c r="C471" s="112" t="n">
        <v>700</v>
      </c>
      <c r="D471" s="112" t="n">
        <v>700</v>
      </c>
    </row>
    <row r="472" customFormat="false" ht="17.35" hidden="false" customHeight="false" outlineLevel="0" collapsed="false">
      <c r="A472" s="110" t="s">
        <v>1220</v>
      </c>
      <c r="B472" s="114" t="s">
        <v>289</v>
      </c>
      <c r="C472" s="112" t="n">
        <v>90</v>
      </c>
      <c r="D472" s="112" t="n">
        <v>90</v>
      </c>
    </row>
    <row r="473" customFormat="false" ht="17.35" hidden="false" customHeight="false" outlineLevel="0" collapsed="false">
      <c r="A473" s="110" t="s">
        <v>1221</v>
      </c>
      <c r="B473" s="114" t="s">
        <v>288</v>
      </c>
      <c r="C473" s="112" t="n">
        <v>150</v>
      </c>
      <c r="D473" s="112" t="n">
        <v>150</v>
      </c>
    </row>
    <row r="474" customFormat="false" ht="17.35" hidden="false" customHeight="false" outlineLevel="0" collapsed="false">
      <c r="A474" s="110" t="s">
        <v>1222</v>
      </c>
      <c r="B474" s="114" t="s">
        <v>290</v>
      </c>
      <c r="C474" s="112" t="n">
        <v>150</v>
      </c>
      <c r="D474" s="112" t="n">
        <v>150</v>
      </c>
    </row>
    <row r="475" customFormat="false" ht="17.35" hidden="false" customHeight="false" outlineLevel="0" collapsed="false">
      <c r="A475" s="110" t="s">
        <v>1223</v>
      </c>
      <c r="B475" s="114" t="s">
        <v>1224</v>
      </c>
      <c r="C475" s="112" t="n">
        <v>20</v>
      </c>
      <c r="D475" s="112" t="n">
        <v>20</v>
      </c>
    </row>
    <row r="476" customFormat="false" ht="17.35" hidden="false" customHeight="false" outlineLevel="0" collapsed="false">
      <c r="A476" s="110" t="s">
        <v>1225</v>
      </c>
      <c r="B476" s="114" t="s">
        <v>204</v>
      </c>
      <c r="C476" s="112" t="n">
        <v>40</v>
      </c>
      <c r="D476" s="112" t="n">
        <v>40</v>
      </c>
    </row>
    <row r="477" customFormat="false" ht="17.35" hidden="false" customHeight="false" outlineLevel="0" collapsed="false">
      <c r="A477" s="110" t="s">
        <v>1226</v>
      </c>
      <c r="B477" s="114" t="s">
        <v>1227</v>
      </c>
      <c r="C477" s="112" t="n">
        <v>5</v>
      </c>
      <c r="D477" s="112" t="n">
        <v>5</v>
      </c>
    </row>
    <row r="478" customFormat="false" ht="15.65" hidden="false" customHeight="false" outlineLevel="0" collapsed="false">
      <c r="A478" s="110" t="s">
        <v>1228</v>
      </c>
      <c r="B478" s="114" t="s">
        <v>1229</v>
      </c>
      <c r="C478" s="112" t="n">
        <v>150</v>
      </c>
      <c r="D478" s="112" t="n">
        <v>150</v>
      </c>
    </row>
    <row r="479" customFormat="false" ht="17.35" hidden="false" customHeight="false" outlineLevel="0" collapsed="false">
      <c r="A479" s="110" t="s">
        <v>1230</v>
      </c>
      <c r="B479" s="114" t="s">
        <v>1231</v>
      </c>
      <c r="C479" s="112" t="n">
        <v>150</v>
      </c>
      <c r="D479" s="112" t="n">
        <v>150</v>
      </c>
    </row>
    <row r="480" customFormat="false" ht="17.35" hidden="false" customHeight="false" outlineLevel="0" collapsed="false">
      <c r="A480" s="110" t="s">
        <v>537</v>
      </c>
      <c r="B480" s="114" t="s">
        <v>538</v>
      </c>
      <c r="C480" s="112" t="n">
        <v>150</v>
      </c>
      <c r="D480" s="112" t="n">
        <v>150</v>
      </c>
    </row>
    <row r="481" customFormat="false" ht="17.35" hidden="false" customHeight="false" outlineLevel="0" collapsed="false">
      <c r="A481" s="110" t="s">
        <v>1232</v>
      </c>
      <c r="B481" s="114" t="s">
        <v>281</v>
      </c>
      <c r="C481" s="112" t="n">
        <v>70</v>
      </c>
      <c r="D481" s="112" t="n">
        <v>70</v>
      </c>
    </row>
    <row r="482" customFormat="false" ht="17.35" hidden="false" customHeight="false" outlineLevel="0" collapsed="false">
      <c r="A482" s="110" t="s">
        <v>1233</v>
      </c>
      <c r="B482" s="114" t="s">
        <v>286</v>
      </c>
      <c r="C482" s="112" t="n">
        <v>120</v>
      </c>
      <c r="D482" s="112" t="n">
        <v>120</v>
      </c>
    </row>
    <row r="483" customFormat="false" ht="17.35" hidden="false" customHeight="false" outlineLevel="0" collapsed="false">
      <c r="A483" s="110" t="s">
        <v>1234</v>
      </c>
      <c r="B483" s="114" t="s">
        <v>1235</v>
      </c>
      <c r="C483" s="112" t="n">
        <v>35</v>
      </c>
      <c r="D483" s="112" t="n">
        <v>35</v>
      </c>
    </row>
    <row r="484" customFormat="false" ht="17.35" hidden="false" customHeight="false" outlineLevel="0" collapsed="false">
      <c r="A484" s="110" t="s">
        <v>1236</v>
      </c>
      <c r="B484" s="114" t="s">
        <v>212</v>
      </c>
      <c r="C484" s="112" t="n">
        <v>35</v>
      </c>
      <c r="D484" s="112" t="n">
        <v>35</v>
      </c>
    </row>
    <row r="485" customFormat="false" ht="17.35" hidden="false" customHeight="false" outlineLevel="0" collapsed="false">
      <c r="A485" s="110" t="s">
        <v>1237</v>
      </c>
      <c r="B485" s="114" t="s">
        <v>1238</v>
      </c>
      <c r="C485" s="112" t="n">
        <v>1</v>
      </c>
      <c r="D485" s="112" t="n">
        <v>1</v>
      </c>
    </row>
    <row r="486" customFormat="false" ht="17.35" hidden="false" customHeight="false" outlineLevel="0" collapsed="false">
      <c r="A486" s="110" t="s">
        <v>1239</v>
      </c>
      <c r="B486" s="114" t="s">
        <v>1240</v>
      </c>
      <c r="C486" s="112" t="n">
        <v>1</v>
      </c>
      <c r="D486" s="112" t="n">
        <v>1</v>
      </c>
    </row>
    <row r="487" customFormat="false" ht="17.35" hidden="false" customHeight="false" outlineLevel="0" collapsed="false">
      <c r="A487" s="110" t="s">
        <v>1241</v>
      </c>
      <c r="B487" s="114" t="s">
        <v>1242</v>
      </c>
      <c r="C487" s="112" t="n">
        <v>1</v>
      </c>
      <c r="D487" s="112" t="n">
        <v>1</v>
      </c>
    </row>
    <row r="488" customFormat="false" ht="17.35" hidden="false" customHeight="false" outlineLevel="0" collapsed="false">
      <c r="A488" s="110" t="s">
        <v>1243</v>
      </c>
      <c r="B488" s="114" t="s">
        <v>1244</v>
      </c>
      <c r="C488" s="112" t="n">
        <v>1</v>
      </c>
      <c r="D488" s="112" t="n">
        <v>1</v>
      </c>
    </row>
    <row r="489" customFormat="false" ht="17.35" hidden="false" customHeight="false" outlineLevel="0" collapsed="false">
      <c r="A489" s="110" t="s">
        <v>1245</v>
      </c>
      <c r="B489" s="114" t="s">
        <v>1246</v>
      </c>
      <c r="C489" s="112" t="n">
        <v>1</v>
      </c>
      <c r="D489" s="112" t="n">
        <v>1</v>
      </c>
    </row>
    <row r="490" customFormat="false" ht="17.35" hidden="false" customHeight="false" outlineLevel="0" collapsed="false">
      <c r="A490" s="110" t="s">
        <v>1247</v>
      </c>
      <c r="B490" s="114" t="s">
        <v>1248</v>
      </c>
      <c r="C490" s="112" t="n">
        <v>1</v>
      </c>
      <c r="D490" s="112" t="n">
        <v>1</v>
      </c>
    </row>
    <row r="491" customFormat="false" ht="17.35" hidden="false" customHeight="false" outlineLevel="0" collapsed="false">
      <c r="A491" s="110" t="s">
        <v>1249</v>
      </c>
      <c r="B491" s="114" t="s">
        <v>1250</v>
      </c>
      <c r="C491" s="112" t="n">
        <v>42.5</v>
      </c>
      <c r="D491" s="112" t="n">
        <v>42.5</v>
      </c>
    </row>
    <row r="492" customFormat="false" ht="17.35" hidden="false" customHeight="false" outlineLevel="0" collapsed="false">
      <c r="A492" s="110" t="s">
        <v>1251</v>
      </c>
      <c r="B492" s="114" t="s">
        <v>1250</v>
      </c>
      <c r="C492" s="112" t="n">
        <v>42.5</v>
      </c>
      <c r="D492" s="112" t="n">
        <v>42.5</v>
      </c>
    </row>
    <row r="493" customFormat="false" ht="17.35" hidden="false" customHeight="false" outlineLevel="0" collapsed="false">
      <c r="A493" s="110" t="s">
        <v>1252</v>
      </c>
      <c r="B493" s="114" t="s">
        <v>381</v>
      </c>
      <c r="C493" s="112" t="n">
        <v>40</v>
      </c>
      <c r="D493" s="112" t="n">
        <v>40</v>
      </c>
    </row>
    <row r="494" customFormat="false" ht="17.35" hidden="false" customHeight="false" outlineLevel="0" collapsed="false">
      <c r="A494" s="110" t="s">
        <v>1253</v>
      </c>
      <c r="B494" s="114" t="s">
        <v>366</v>
      </c>
      <c r="C494" s="112" t="n">
        <v>15</v>
      </c>
      <c r="D494" s="112" t="n">
        <v>15</v>
      </c>
    </row>
    <row r="495" customFormat="false" ht="17.35" hidden="false" customHeight="false" outlineLevel="0" collapsed="false">
      <c r="A495" s="110" t="s">
        <v>1254</v>
      </c>
      <c r="B495" s="114" t="s">
        <v>366</v>
      </c>
      <c r="C495" s="112" t="n">
        <v>15</v>
      </c>
      <c r="D495" s="112" t="n">
        <v>15</v>
      </c>
    </row>
    <row r="496" customFormat="false" ht="17.35" hidden="false" customHeight="false" outlineLevel="0" collapsed="false">
      <c r="A496" s="110" t="s">
        <v>1255</v>
      </c>
      <c r="B496" s="114" t="s">
        <v>367</v>
      </c>
      <c r="C496" s="112" t="n">
        <v>15</v>
      </c>
      <c r="D496" s="112" t="n">
        <v>15</v>
      </c>
    </row>
    <row r="497" customFormat="false" ht="17.35" hidden="false" customHeight="false" outlineLevel="0" collapsed="false">
      <c r="A497" s="110" t="s">
        <v>1256</v>
      </c>
      <c r="B497" s="114" t="s">
        <v>367</v>
      </c>
      <c r="C497" s="112" t="n">
        <v>15</v>
      </c>
      <c r="D497" s="112" t="n">
        <v>15</v>
      </c>
    </row>
    <row r="498" customFormat="false" ht="17.35" hidden="false" customHeight="false" outlineLevel="0" collapsed="false">
      <c r="A498" s="110" t="s">
        <v>1257</v>
      </c>
      <c r="B498" s="114" t="s">
        <v>186</v>
      </c>
      <c r="C498" s="112" t="n">
        <v>45</v>
      </c>
      <c r="D498" s="112" t="n">
        <v>45</v>
      </c>
    </row>
    <row r="499" customFormat="false" ht="17.35" hidden="false" customHeight="false" outlineLevel="0" collapsed="false">
      <c r="A499" s="110" t="s">
        <v>1258</v>
      </c>
      <c r="B499" s="114" t="s">
        <v>349</v>
      </c>
      <c r="C499" s="112" t="n">
        <v>15</v>
      </c>
      <c r="D499" s="112" t="n">
        <v>18</v>
      </c>
    </row>
    <row r="500" customFormat="false" ht="17.35" hidden="false" customHeight="false" outlineLevel="0" collapsed="false">
      <c r="A500" s="110" t="s">
        <v>1259</v>
      </c>
      <c r="B500" s="114" t="s">
        <v>359</v>
      </c>
      <c r="C500" s="112" t="n">
        <v>5</v>
      </c>
      <c r="D500" s="112" t="n">
        <v>5</v>
      </c>
    </row>
    <row r="501" customFormat="false" ht="17.35" hidden="false" customHeight="false" outlineLevel="0" collapsed="false">
      <c r="A501" s="110" t="s">
        <v>1260</v>
      </c>
      <c r="B501" s="114" t="s">
        <v>353</v>
      </c>
      <c r="C501" s="112" t="n">
        <v>15</v>
      </c>
      <c r="D501" s="112" t="n">
        <v>18</v>
      </c>
    </row>
    <row r="502" customFormat="false" ht="17.35" hidden="false" customHeight="false" outlineLevel="0" collapsed="false">
      <c r="A502" s="110" t="s">
        <v>1261</v>
      </c>
      <c r="B502" s="114" t="s">
        <v>351</v>
      </c>
      <c r="C502" s="112" t="n">
        <v>4</v>
      </c>
      <c r="D502" s="112" t="n">
        <v>4</v>
      </c>
    </row>
    <row r="503" customFormat="false" ht="17.35" hidden="false" customHeight="false" outlineLevel="0" collapsed="false">
      <c r="A503" s="110" t="s">
        <v>1262</v>
      </c>
      <c r="B503" s="114" t="s">
        <v>356</v>
      </c>
      <c r="C503" s="112" t="n">
        <v>10</v>
      </c>
      <c r="D503" s="112" t="n">
        <v>10</v>
      </c>
    </row>
    <row r="504" customFormat="false" ht="17.35" hidden="false" customHeight="false" outlineLevel="0" collapsed="false">
      <c r="A504" s="110" t="s">
        <v>1263</v>
      </c>
      <c r="B504" s="114" t="s">
        <v>440</v>
      </c>
      <c r="C504" s="112" t="n">
        <v>21</v>
      </c>
      <c r="D504" s="112" t="n">
        <v>25</v>
      </c>
    </row>
    <row r="505" customFormat="false" ht="17.35" hidden="false" customHeight="false" outlineLevel="0" collapsed="false">
      <c r="A505" s="110" t="s">
        <v>1264</v>
      </c>
      <c r="B505" s="114" t="s">
        <v>357</v>
      </c>
      <c r="C505" s="112" t="n">
        <v>10</v>
      </c>
      <c r="D505" s="112" t="n">
        <v>10</v>
      </c>
    </row>
    <row r="506" customFormat="false" ht="17.35" hidden="false" customHeight="false" outlineLevel="0" collapsed="false">
      <c r="A506" s="110" t="s">
        <v>1265</v>
      </c>
      <c r="B506" s="114" t="s">
        <v>296</v>
      </c>
      <c r="C506" s="112" t="n">
        <v>10</v>
      </c>
      <c r="D506" s="112" t="n">
        <v>15</v>
      </c>
    </row>
    <row r="507" customFormat="false" ht="17.35" hidden="false" customHeight="false" outlineLevel="0" collapsed="false">
      <c r="A507" s="110" t="s">
        <v>1266</v>
      </c>
      <c r="B507" s="114" t="s">
        <v>1267</v>
      </c>
      <c r="C507" s="112" t="n">
        <v>10</v>
      </c>
      <c r="D507" s="112" t="n">
        <v>10</v>
      </c>
    </row>
    <row r="508" customFormat="false" ht="17.35" hidden="false" customHeight="false" outlineLevel="0" collapsed="false">
      <c r="A508" s="110" t="s">
        <v>1268</v>
      </c>
      <c r="B508" s="114" t="s">
        <v>297</v>
      </c>
      <c r="C508" s="112" t="n">
        <v>21</v>
      </c>
      <c r="D508" s="112" t="n">
        <v>25</v>
      </c>
    </row>
    <row r="509" customFormat="false" ht="17.35" hidden="false" customHeight="false" outlineLevel="0" collapsed="false">
      <c r="A509" s="110" t="s">
        <v>1269</v>
      </c>
      <c r="B509" s="114" t="s">
        <v>1270</v>
      </c>
      <c r="C509" s="112" t="n">
        <v>18</v>
      </c>
      <c r="D509" s="112" t="n">
        <v>25</v>
      </c>
    </row>
    <row r="510" customFormat="false" ht="17.35" hidden="false" customHeight="false" outlineLevel="0" collapsed="false">
      <c r="A510" s="110" t="s">
        <v>1271</v>
      </c>
      <c r="B510" s="114" t="s">
        <v>362</v>
      </c>
      <c r="C510" s="112" t="n">
        <v>5</v>
      </c>
      <c r="D510" s="112" t="n">
        <v>5</v>
      </c>
    </row>
    <row r="511" customFormat="false" ht="17.35" hidden="false" customHeight="false" outlineLevel="0" collapsed="false">
      <c r="A511" s="110" t="s">
        <v>1272</v>
      </c>
      <c r="B511" s="114" t="s">
        <v>369</v>
      </c>
      <c r="C511" s="112" t="n">
        <v>5</v>
      </c>
      <c r="D511" s="112" t="n">
        <v>5</v>
      </c>
    </row>
    <row r="512" customFormat="false" ht="17.35" hidden="false" customHeight="false" outlineLevel="0" collapsed="false">
      <c r="A512" s="110" t="s">
        <v>1273</v>
      </c>
      <c r="B512" s="114" t="s">
        <v>304</v>
      </c>
      <c r="C512" s="112" t="n">
        <v>10</v>
      </c>
      <c r="D512" s="112" t="n">
        <v>12</v>
      </c>
    </row>
    <row r="513" customFormat="false" ht="17.35" hidden="false" customHeight="false" outlineLevel="0" collapsed="false">
      <c r="A513" s="110" t="s">
        <v>1274</v>
      </c>
      <c r="B513" s="114" t="s">
        <v>304</v>
      </c>
      <c r="C513" s="112" t="n">
        <v>10</v>
      </c>
      <c r="D513" s="112" t="n">
        <v>12</v>
      </c>
    </row>
    <row r="514" customFormat="false" ht="17.35" hidden="false" customHeight="false" outlineLevel="0" collapsed="false">
      <c r="A514" s="110" t="s">
        <v>1275</v>
      </c>
      <c r="B514" s="114" t="s">
        <v>365</v>
      </c>
      <c r="C514" s="112" t="n">
        <v>4</v>
      </c>
      <c r="D514" s="112" t="n">
        <v>4</v>
      </c>
    </row>
    <row r="515" customFormat="false" ht="17.35" hidden="false" customHeight="false" outlineLevel="0" collapsed="false">
      <c r="A515" s="110" t="s">
        <v>1276</v>
      </c>
      <c r="B515" s="114" t="s">
        <v>365</v>
      </c>
      <c r="C515" s="112" t="n">
        <v>4</v>
      </c>
      <c r="D515" s="112" t="n">
        <v>4</v>
      </c>
    </row>
    <row r="516" customFormat="false" ht="17.35" hidden="false" customHeight="false" outlineLevel="0" collapsed="false">
      <c r="A516" s="110" t="s">
        <v>1277</v>
      </c>
      <c r="B516" s="114" t="s">
        <v>370</v>
      </c>
      <c r="C516" s="112" t="n">
        <v>10</v>
      </c>
      <c r="D516" s="112" t="n">
        <v>10</v>
      </c>
    </row>
    <row r="517" customFormat="false" ht="15.65" hidden="false" customHeight="false" outlineLevel="0" collapsed="false">
      <c r="A517" s="110" t="s">
        <v>1278</v>
      </c>
      <c r="B517" s="114" t="s">
        <v>1279</v>
      </c>
      <c r="C517" s="112" t="n">
        <v>7</v>
      </c>
      <c r="D517" s="112" t="n">
        <v>8</v>
      </c>
    </row>
    <row r="518" customFormat="false" ht="15.65" hidden="false" customHeight="false" outlineLevel="0" collapsed="false">
      <c r="A518" s="110" t="s">
        <v>1280</v>
      </c>
      <c r="B518" s="114" t="s">
        <v>1279</v>
      </c>
      <c r="C518" s="112" t="n">
        <v>7</v>
      </c>
      <c r="D518" s="112" t="n">
        <v>8</v>
      </c>
    </row>
    <row r="519" customFormat="false" ht="17.35" hidden="false" customHeight="false" outlineLevel="0" collapsed="false">
      <c r="A519" s="110" t="s">
        <v>1281</v>
      </c>
      <c r="B519" s="114" t="s">
        <v>1282</v>
      </c>
      <c r="C519" s="112" t="n">
        <v>10</v>
      </c>
      <c r="D519" s="112" t="n">
        <v>10</v>
      </c>
    </row>
    <row r="520" customFormat="false" ht="17.35" hidden="false" customHeight="false" outlineLevel="0" collapsed="false">
      <c r="A520" s="110" t="s">
        <v>1283</v>
      </c>
      <c r="B520" s="114" t="s">
        <v>1284</v>
      </c>
      <c r="C520" s="112" t="n">
        <v>16</v>
      </c>
      <c r="D520" s="112" t="n">
        <v>16</v>
      </c>
    </row>
    <row r="521" customFormat="false" ht="17.35" hidden="false" customHeight="false" outlineLevel="0" collapsed="false">
      <c r="A521" s="110" t="s">
        <v>921</v>
      </c>
      <c r="B521" s="114" t="s">
        <v>1285</v>
      </c>
      <c r="C521" s="112" t="n">
        <v>8</v>
      </c>
      <c r="D521" s="112" t="n">
        <v>8</v>
      </c>
    </row>
    <row r="522" customFormat="false" ht="17.35" hidden="false" customHeight="false" outlineLevel="0" collapsed="false">
      <c r="A522" s="110" t="s">
        <v>920</v>
      </c>
      <c r="B522" s="114" t="s">
        <v>1286</v>
      </c>
      <c r="C522" s="112" t="n">
        <v>10</v>
      </c>
      <c r="D522" s="112" t="n">
        <v>10</v>
      </c>
    </row>
    <row r="523" customFormat="false" ht="17.35" hidden="false" customHeight="false" outlineLevel="0" collapsed="false">
      <c r="A523" s="110" t="s">
        <v>912</v>
      </c>
      <c r="B523" s="114" t="s">
        <v>1287</v>
      </c>
      <c r="C523" s="112" t="n">
        <v>7</v>
      </c>
      <c r="D523" s="112" t="n">
        <v>7</v>
      </c>
    </row>
    <row r="524" customFormat="false" ht="17.35" hidden="false" customHeight="false" outlineLevel="0" collapsed="false">
      <c r="A524" s="110" t="s">
        <v>1288</v>
      </c>
      <c r="B524" s="114" t="s">
        <v>372</v>
      </c>
      <c r="C524" s="112" t="n">
        <v>16.8</v>
      </c>
      <c r="D524" s="112" t="n">
        <v>20</v>
      </c>
    </row>
    <row r="525" customFormat="false" ht="17.35" hidden="false" customHeight="false" outlineLevel="0" collapsed="false">
      <c r="A525" s="110" t="s">
        <v>1289</v>
      </c>
      <c r="B525" s="114" t="s">
        <v>371</v>
      </c>
      <c r="C525" s="112" t="n">
        <v>16.8</v>
      </c>
      <c r="D525" s="112" t="n">
        <v>20</v>
      </c>
    </row>
    <row r="526" customFormat="false" ht="17.35" hidden="false" customHeight="false" outlineLevel="0" collapsed="false">
      <c r="A526" s="110" t="s">
        <v>1290</v>
      </c>
      <c r="B526" s="114" t="s">
        <v>445</v>
      </c>
      <c r="C526" s="112" t="n">
        <v>5</v>
      </c>
      <c r="D526" s="112" t="n">
        <v>5</v>
      </c>
    </row>
    <row r="527" customFormat="false" ht="17.35" hidden="false" customHeight="false" outlineLevel="0" collapsed="false">
      <c r="A527" s="110" t="s">
        <v>1291</v>
      </c>
      <c r="B527" s="114" t="s">
        <v>374</v>
      </c>
      <c r="C527" s="112" t="n">
        <v>5</v>
      </c>
      <c r="D527" s="112" t="n">
        <v>5</v>
      </c>
    </row>
    <row r="528" customFormat="false" ht="17.35" hidden="false" customHeight="false" outlineLevel="0" collapsed="false">
      <c r="A528" s="110" t="s">
        <v>583</v>
      </c>
      <c r="B528" s="114" t="s">
        <v>1292</v>
      </c>
      <c r="C528" s="112" t="n">
        <v>5</v>
      </c>
      <c r="D528" s="112" t="n">
        <v>5</v>
      </c>
    </row>
    <row r="529" customFormat="false" ht="17.35" hidden="false" customHeight="false" outlineLevel="0" collapsed="false">
      <c r="A529" s="110" t="s">
        <v>1293</v>
      </c>
      <c r="B529" s="114" t="s">
        <v>373</v>
      </c>
      <c r="C529" s="112" t="n">
        <v>5</v>
      </c>
      <c r="D529" s="112" t="n">
        <v>5</v>
      </c>
    </row>
    <row r="530" customFormat="false" ht="17.35" hidden="false" customHeight="false" outlineLevel="0" collapsed="false">
      <c r="A530" s="110" t="s">
        <v>1294</v>
      </c>
      <c r="B530" s="114" t="s">
        <v>376</v>
      </c>
      <c r="C530" s="112" t="n">
        <v>5</v>
      </c>
      <c r="D530" s="112" t="n">
        <v>5</v>
      </c>
    </row>
    <row r="531" customFormat="false" ht="17.35" hidden="false" customHeight="false" outlineLevel="0" collapsed="false">
      <c r="A531" s="110" t="s">
        <v>1295</v>
      </c>
      <c r="B531" s="114" t="s">
        <v>426</v>
      </c>
      <c r="C531" s="112" t="n">
        <v>8.5</v>
      </c>
      <c r="D531" s="112" t="n">
        <v>10</v>
      </c>
    </row>
    <row r="532" customFormat="false" ht="17.35" hidden="false" customHeight="false" outlineLevel="0" collapsed="false">
      <c r="A532" s="110" t="s">
        <v>1296</v>
      </c>
      <c r="B532" s="114" t="s">
        <v>418</v>
      </c>
      <c r="C532" s="112" t="n">
        <v>15</v>
      </c>
      <c r="D532" s="112" t="n">
        <v>20</v>
      </c>
    </row>
    <row r="533" customFormat="false" ht="17.35" hidden="false" customHeight="false" outlineLevel="0" collapsed="false">
      <c r="A533" s="110" t="s">
        <v>1297</v>
      </c>
      <c r="B533" s="114" t="s">
        <v>1298</v>
      </c>
      <c r="C533" s="112" t="n">
        <v>10</v>
      </c>
      <c r="D533" s="112" t="n">
        <v>10</v>
      </c>
    </row>
    <row r="534" customFormat="false" ht="17.35" hidden="false" customHeight="false" outlineLevel="0" collapsed="false">
      <c r="A534" s="110" t="s">
        <v>1299</v>
      </c>
      <c r="B534" s="114" t="s">
        <v>1300</v>
      </c>
      <c r="C534" s="112" t="n">
        <v>10</v>
      </c>
      <c r="D534" s="112" t="n">
        <v>10</v>
      </c>
    </row>
    <row r="535" customFormat="false" ht="17.35" hidden="false" customHeight="false" outlineLevel="0" collapsed="false">
      <c r="A535" s="110" t="s">
        <v>1301</v>
      </c>
      <c r="B535" s="114" t="s">
        <v>425</v>
      </c>
      <c r="C535" s="112" t="n">
        <v>7.333</v>
      </c>
      <c r="D535" s="112" t="n">
        <v>10</v>
      </c>
    </row>
    <row r="536" customFormat="false" ht="17.35" hidden="false" customHeight="false" outlineLevel="0" collapsed="false">
      <c r="A536" s="110" t="s">
        <v>1302</v>
      </c>
      <c r="B536" s="114" t="s">
        <v>1303</v>
      </c>
      <c r="C536" s="112" t="n">
        <v>10</v>
      </c>
      <c r="D536" s="112" t="n">
        <v>10</v>
      </c>
    </row>
    <row r="537" customFormat="false" ht="17.35" hidden="false" customHeight="false" outlineLevel="0" collapsed="false">
      <c r="A537" s="110" t="s">
        <v>1304</v>
      </c>
      <c r="B537" s="114" t="s">
        <v>424</v>
      </c>
      <c r="C537" s="112" t="n">
        <v>7</v>
      </c>
      <c r="D537" s="112" t="n">
        <v>10</v>
      </c>
    </row>
    <row r="538" customFormat="false" ht="17.35" hidden="false" customHeight="false" outlineLevel="0" collapsed="false">
      <c r="A538" s="110" t="s">
        <v>1305</v>
      </c>
      <c r="B538" s="114" t="s">
        <v>1306</v>
      </c>
      <c r="C538" s="112" t="n">
        <v>10</v>
      </c>
      <c r="D538" s="112" t="n">
        <v>10</v>
      </c>
    </row>
    <row r="539" customFormat="false" ht="17.35" hidden="false" customHeight="false" outlineLevel="0" collapsed="false">
      <c r="A539" s="110" t="s">
        <v>1307</v>
      </c>
      <c r="B539" s="114" t="s">
        <v>1308</v>
      </c>
      <c r="C539" s="112" t="n">
        <v>10</v>
      </c>
      <c r="D539" s="112" t="n">
        <v>10</v>
      </c>
    </row>
    <row r="540" customFormat="false" ht="17.35" hidden="false" customHeight="false" outlineLevel="0" collapsed="false">
      <c r="A540" s="110" t="s">
        <v>1309</v>
      </c>
      <c r="B540" s="114" t="s">
        <v>1308</v>
      </c>
      <c r="C540" s="112" t="n">
        <v>10</v>
      </c>
      <c r="D540" s="112" t="n">
        <v>10</v>
      </c>
    </row>
    <row r="541" customFormat="false" ht="17.35" hidden="false" customHeight="false" outlineLevel="0" collapsed="false">
      <c r="A541" s="110" t="s">
        <v>1310</v>
      </c>
      <c r="B541" s="114" t="s">
        <v>1311</v>
      </c>
      <c r="C541" s="112" t="n">
        <v>10</v>
      </c>
      <c r="D541" s="112" t="n">
        <v>10</v>
      </c>
    </row>
    <row r="542" customFormat="false" ht="17.35" hidden="false" customHeight="false" outlineLevel="0" collapsed="false">
      <c r="A542" s="110" t="s">
        <v>1312</v>
      </c>
      <c r="B542" s="114" t="s">
        <v>1313</v>
      </c>
      <c r="C542" s="112" t="n">
        <v>10</v>
      </c>
      <c r="D542" s="112" t="n">
        <v>10</v>
      </c>
    </row>
    <row r="543" customFormat="false" ht="17.35" hidden="false" customHeight="false" outlineLevel="0" collapsed="false">
      <c r="A543" s="110" t="s">
        <v>1314</v>
      </c>
      <c r="B543" s="114" t="s">
        <v>348</v>
      </c>
      <c r="C543" s="112" t="n">
        <v>20</v>
      </c>
      <c r="D543" s="112" t="n">
        <v>20</v>
      </c>
    </row>
    <row r="544" customFormat="false" ht="17.35" hidden="false" customHeight="false" outlineLevel="0" collapsed="false">
      <c r="A544" s="110" t="s">
        <v>1315</v>
      </c>
      <c r="B544" s="114" t="s">
        <v>1316</v>
      </c>
      <c r="C544" s="112" t="n">
        <v>20</v>
      </c>
      <c r="D544" s="112" t="n">
        <v>20</v>
      </c>
    </row>
    <row r="545" customFormat="false" ht="17.35" hidden="false" customHeight="false" outlineLevel="0" collapsed="false">
      <c r="A545" s="110" t="s">
        <v>1317</v>
      </c>
      <c r="B545" s="114" t="s">
        <v>1318</v>
      </c>
      <c r="C545" s="112" t="n">
        <v>35</v>
      </c>
      <c r="D545" s="112" t="n">
        <v>35</v>
      </c>
    </row>
    <row r="546" customFormat="false" ht="17.35" hidden="false" customHeight="false" outlineLevel="0" collapsed="false">
      <c r="A546" s="110" t="s">
        <v>1319</v>
      </c>
      <c r="B546" s="114" t="s">
        <v>355</v>
      </c>
      <c r="C546" s="112" t="n">
        <v>23</v>
      </c>
      <c r="D546" s="112" t="n">
        <v>25</v>
      </c>
    </row>
    <row r="547" customFormat="false" ht="17.35" hidden="false" customHeight="false" outlineLevel="0" collapsed="false">
      <c r="A547" s="110" t="s">
        <v>1320</v>
      </c>
      <c r="B547" s="114" t="s">
        <v>360</v>
      </c>
      <c r="C547" s="112" t="n">
        <v>5</v>
      </c>
      <c r="D547" s="112" t="n">
        <v>5</v>
      </c>
    </row>
    <row r="548" customFormat="false" ht="17.35" hidden="false" customHeight="false" outlineLevel="0" collapsed="false">
      <c r="A548" s="110" t="s">
        <v>1321</v>
      </c>
      <c r="B548" s="114" t="s">
        <v>360</v>
      </c>
      <c r="C548" s="112" t="n">
        <v>5</v>
      </c>
      <c r="D548" s="112" t="n">
        <v>5</v>
      </c>
    </row>
    <row r="549" customFormat="false" ht="17.35" hidden="false" customHeight="false" outlineLevel="0" collapsed="false">
      <c r="A549" s="110" t="s">
        <v>1322</v>
      </c>
      <c r="B549" s="114" t="s">
        <v>361</v>
      </c>
      <c r="C549" s="112" t="n">
        <v>15</v>
      </c>
      <c r="D549" s="112" t="n">
        <v>15</v>
      </c>
    </row>
    <row r="550" customFormat="false" ht="17.35" hidden="false" customHeight="false" outlineLevel="0" collapsed="false">
      <c r="A550" s="110" t="s">
        <v>1323</v>
      </c>
      <c r="B550" s="114" t="s">
        <v>298</v>
      </c>
      <c r="C550" s="112" t="n">
        <v>15</v>
      </c>
      <c r="D550" s="112" t="n">
        <v>15</v>
      </c>
    </row>
    <row r="551" customFormat="false" ht="17.35" hidden="false" customHeight="false" outlineLevel="0" collapsed="false">
      <c r="A551" s="110" t="s">
        <v>685</v>
      </c>
      <c r="B551" s="114" t="s">
        <v>1324</v>
      </c>
      <c r="C551" s="112" t="n">
        <v>40</v>
      </c>
      <c r="D551" s="112" t="n">
        <v>45</v>
      </c>
    </row>
    <row r="552" customFormat="false" ht="17.35" hidden="false" customHeight="false" outlineLevel="0" collapsed="false">
      <c r="A552" s="110" t="s">
        <v>1325</v>
      </c>
      <c r="B552" s="114" t="s">
        <v>377</v>
      </c>
      <c r="C552" s="112" t="n">
        <v>20</v>
      </c>
      <c r="D552" s="112" t="n">
        <v>20</v>
      </c>
    </row>
    <row r="553" customFormat="false" ht="17.35" hidden="false" customHeight="false" outlineLevel="0" collapsed="false">
      <c r="A553" s="110" t="s">
        <v>1326</v>
      </c>
      <c r="B553" s="114" t="s">
        <v>241</v>
      </c>
      <c r="C553" s="112" t="n">
        <v>50</v>
      </c>
      <c r="D553" s="112" t="n">
        <v>50</v>
      </c>
    </row>
    <row r="554" customFormat="false" ht="17.35" hidden="false" customHeight="false" outlineLevel="0" collapsed="false">
      <c r="A554" s="110" t="s">
        <v>1327</v>
      </c>
      <c r="B554" s="114" t="s">
        <v>1328</v>
      </c>
      <c r="C554" s="112" t="n">
        <v>6</v>
      </c>
      <c r="D554" s="112" t="n">
        <v>6</v>
      </c>
    </row>
    <row r="555" customFormat="false" ht="17.35" hidden="false" customHeight="false" outlineLevel="0" collapsed="false">
      <c r="A555" s="110" t="s">
        <v>1329</v>
      </c>
      <c r="B555" s="114" t="s">
        <v>1328</v>
      </c>
      <c r="C555" s="112" t="n">
        <v>6</v>
      </c>
      <c r="D555" s="112" t="n">
        <v>6</v>
      </c>
    </row>
    <row r="556" customFormat="false" ht="17.35" hidden="false" customHeight="false" outlineLevel="0" collapsed="false">
      <c r="A556" s="110" t="s">
        <v>1330</v>
      </c>
      <c r="B556" s="114" t="s">
        <v>326</v>
      </c>
      <c r="C556" s="112" t="n">
        <v>6</v>
      </c>
      <c r="D556" s="112" t="n">
        <v>8</v>
      </c>
    </row>
    <row r="557" customFormat="false" ht="17.35" hidden="false" customHeight="false" outlineLevel="0" collapsed="false">
      <c r="A557" s="110" t="s">
        <v>1331</v>
      </c>
      <c r="B557" s="114" t="s">
        <v>305</v>
      </c>
      <c r="C557" s="112" t="n">
        <v>10</v>
      </c>
      <c r="D557" s="112" t="n">
        <v>10</v>
      </c>
    </row>
    <row r="558" customFormat="false" ht="17.35" hidden="false" customHeight="false" outlineLevel="0" collapsed="false">
      <c r="A558" s="110" t="s">
        <v>1332</v>
      </c>
      <c r="B558" s="114" t="s">
        <v>336</v>
      </c>
      <c r="C558" s="112" t="n">
        <v>12</v>
      </c>
      <c r="D558" s="112" t="n">
        <v>12</v>
      </c>
    </row>
    <row r="559" customFormat="false" ht="17.35" hidden="false" customHeight="false" outlineLevel="0" collapsed="false">
      <c r="A559" s="110" t="s">
        <v>1333</v>
      </c>
      <c r="B559" s="114" t="s">
        <v>336</v>
      </c>
      <c r="C559" s="112" t="n">
        <v>12</v>
      </c>
      <c r="D559" s="112" t="n">
        <v>12</v>
      </c>
    </row>
    <row r="560" customFormat="false" ht="17.35" hidden="false" customHeight="false" outlineLevel="0" collapsed="false">
      <c r="A560" s="110" t="s">
        <v>1334</v>
      </c>
      <c r="B560" s="114" t="s">
        <v>1335</v>
      </c>
      <c r="C560" s="112" t="n">
        <v>5</v>
      </c>
      <c r="D560" s="112" t="n">
        <v>5</v>
      </c>
    </row>
    <row r="561" customFormat="false" ht="17.35" hidden="false" customHeight="false" outlineLevel="0" collapsed="false">
      <c r="A561" s="110" t="s">
        <v>1336</v>
      </c>
      <c r="B561" s="114" t="s">
        <v>1337</v>
      </c>
      <c r="C561" s="112" t="n">
        <v>35</v>
      </c>
      <c r="D561" s="112" t="n">
        <v>35</v>
      </c>
    </row>
    <row r="562" customFormat="false" ht="15.65" hidden="false" customHeight="false" outlineLevel="0" collapsed="false">
      <c r="A562" s="110" t="s">
        <v>1338</v>
      </c>
      <c r="B562" s="114" t="s">
        <v>1339</v>
      </c>
      <c r="C562" s="112" t="n">
        <v>2</v>
      </c>
      <c r="D562" s="112" t="n">
        <v>2</v>
      </c>
    </row>
    <row r="563" customFormat="false" ht="15.65" hidden="false" customHeight="false" outlineLevel="0" collapsed="false">
      <c r="A563" s="110" t="s">
        <v>1340</v>
      </c>
      <c r="B563" s="114" t="s">
        <v>1341</v>
      </c>
      <c r="C563" s="112" t="n">
        <v>4</v>
      </c>
      <c r="D563" s="112" t="n">
        <v>4</v>
      </c>
    </row>
    <row r="564" customFormat="false" ht="17.35" hidden="false" customHeight="false" outlineLevel="0" collapsed="false">
      <c r="A564" s="110" t="s">
        <v>1342</v>
      </c>
      <c r="B564" s="114" t="s">
        <v>271</v>
      </c>
      <c r="C564" s="112" t="n">
        <v>2</v>
      </c>
      <c r="D564" s="112" t="n">
        <v>2</v>
      </c>
    </row>
    <row r="565" customFormat="false" ht="15.65" hidden="false" customHeight="false" outlineLevel="0" collapsed="false">
      <c r="A565" s="110" t="s">
        <v>1343</v>
      </c>
      <c r="B565" s="114" t="s">
        <v>1344</v>
      </c>
      <c r="C565" s="112" t="n">
        <v>2</v>
      </c>
      <c r="D565" s="112" t="n">
        <v>2</v>
      </c>
    </row>
    <row r="566" customFormat="false" ht="17.35" hidden="false" customHeight="false" outlineLevel="0" collapsed="false">
      <c r="A566" s="110" t="s">
        <v>1345</v>
      </c>
      <c r="B566" s="114" t="s">
        <v>323</v>
      </c>
      <c r="C566" s="112" t="n">
        <v>1</v>
      </c>
      <c r="D566" s="112" t="n">
        <v>1</v>
      </c>
    </row>
    <row r="567" customFormat="false" ht="17.35" hidden="false" customHeight="false" outlineLevel="0" collapsed="false">
      <c r="A567" s="110" t="s">
        <v>1346</v>
      </c>
      <c r="B567" s="114" t="s">
        <v>331</v>
      </c>
      <c r="C567" s="112" t="n">
        <v>2</v>
      </c>
      <c r="D567" s="112" t="n">
        <v>2</v>
      </c>
    </row>
    <row r="568" customFormat="false" ht="17.35" hidden="false" customHeight="false" outlineLevel="0" collapsed="false">
      <c r="A568" s="110" t="s">
        <v>1347</v>
      </c>
      <c r="B568" s="114" t="s">
        <v>1348</v>
      </c>
      <c r="C568" s="112" t="n">
        <v>3</v>
      </c>
      <c r="D568" s="112" t="n">
        <v>3</v>
      </c>
    </row>
    <row r="569" customFormat="false" ht="17.35" hidden="false" customHeight="false" outlineLevel="0" collapsed="false">
      <c r="A569" s="110" t="s">
        <v>1349</v>
      </c>
      <c r="B569" s="114" t="s">
        <v>1350</v>
      </c>
      <c r="C569" s="112" t="n">
        <v>0.4</v>
      </c>
      <c r="D569" s="112" t="n">
        <v>0.4</v>
      </c>
    </row>
    <row r="570" customFormat="false" ht="15.65" hidden="false" customHeight="false" outlineLevel="0" collapsed="false">
      <c r="A570" s="110" t="s">
        <v>1351</v>
      </c>
      <c r="B570" s="114" t="s">
        <v>1352</v>
      </c>
      <c r="C570" s="112" t="n">
        <v>750</v>
      </c>
      <c r="D570" s="112" t="n">
        <v>750</v>
      </c>
    </row>
    <row r="571" customFormat="false" ht="17.35" hidden="false" customHeight="false" outlineLevel="0" collapsed="false">
      <c r="A571" s="110" t="s">
        <v>1353</v>
      </c>
      <c r="B571" s="114" t="s">
        <v>250</v>
      </c>
      <c r="C571" s="112" t="n">
        <v>10</v>
      </c>
      <c r="D571" s="112" t="n">
        <v>10</v>
      </c>
    </row>
    <row r="572" customFormat="false" ht="17.35" hidden="false" customHeight="false" outlineLevel="0" collapsed="false">
      <c r="A572" s="110" t="s">
        <v>1354</v>
      </c>
      <c r="B572" s="114" t="s">
        <v>250</v>
      </c>
      <c r="C572" s="112" t="n">
        <v>10</v>
      </c>
      <c r="D572" s="112" t="n">
        <v>10</v>
      </c>
    </row>
    <row r="573" customFormat="false" ht="17.35" hidden="false" customHeight="false" outlineLevel="0" collapsed="false">
      <c r="A573" s="110" t="s">
        <v>1355</v>
      </c>
      <c r="B573" s="114" t="s">
        <v>1356</v>
      </c>
      <c r="C573" s="112" t="n">
        <v>3</v>
      </c>
      <c r="D573" s="112" t="n">
        <v>3</v>
      </c>
    </row>
    <row r="574" customFormat="false" ht="17.35" hidden="false" customHeight="false" outlineLevel="0" collapsed="false">
      <c r="A574" s="110" t="s">
        <v>1357</v>
      </c>
      <c r="B574" s="114" t="s">
        <v>321</v>
      </c>
      <c r="C574" s="112" t="n">
        <v>10</v>
      </c>
      <c r="D574" s="112" t="n">
        <v>10</v>
      </c>
    </row>
    <row r="575" customFormat="false" ht="17.35" hidden="false" customHeight="false" outlineLevel="0" collapsed="false">
      <c r="A575" s="110" t="s">
        <v>1358</v>
      </c>
      <c r="B575" s="114" t="s">
        <v>345</v>
      </c>
      <c r="C575" s="112" t="n">
        <v>7</v>
      </c>
      <c r="D575" s="112" t="n">
        <v>7</v>
      </c>
    </row>
    <row r="576" customFormat="false" ht="17.35" hidden="false" customHeight="false" outlineLevel="0" collapsed="false">
      <c r="A576" s="110" t="s">
        <v>1359</v>
      </c>
      <c r="B576" s="114" t="s">
        <v>330</v>
      </c>
      <c r="C576" s="112" t="n">
        <v>10</v>
      </c>
      <c r="D576" s="112" t="n">
        <v>10</v>
      </c>
    </row>
    <row r="577" customFormat="false" ht="17.35" hidden="false" customHeight="false" outlineLevel="0" collapsed="false">
      <c r="A577" s="110" t="s">
        <v>1360</v>
      </c>
      <c r="B577" s="114" t="s">
        <v>328</v>
      </c>
      <c r="C577" s="112" t="n">
        <v>10</v>
      </c>
      <c r="D577" s="112" t="n">
        <v>10</v>
      </c>
    </row>
    <row r="578" customFormat="false" ht="17.35" hidden="false" customHeight="false" outlineLevel="0" collapsed="false">
      <c r="A578" s="110" t="s">
        <v>1361</v>
      </c>
      <c r="B578" s="114" t="s">
        <v>332</v>
      </c>
      <c r="C578" s="112" t="n">
        <v>10</v>
      </c>
      <c r="D578" s="112" t="n">
        <v>10</v>
      </c>
    </row>
    <row r="579" customFormat="false" ht="18.65" hidden="false" customHeight="false" outlineLevel="0" collapsed="false">
      <c r="A579" s="110" t="s">
        <v>1362</v>
      </c>
      <c r="B579" s="114" t="s">
        <v>1363</v>
      </c>
      <c r="C579" s="112" t="n">
        <v>10</v>
      </c>
      <c r="D579" s="112" t="n">
        <v>10</v>
      </c>
    </row>
    <row r="580" customFormat="false" ht="17.35" hidden="false" customHeight="false" outlineLevel="0" collapsed="false">
      <c r="A580" s="110" t="s">
        <v>1364</v>
      </c>
      <c r="B580" s="114" t="s">
        <v>325</v>
      </c>
      <c r="C580" s="112" t="n">
        <v>5</v>
      </c>
      <c r="D580" s="112" t="n">
        <v>5</v>
      </c>
    </row>
    <row r="581" customFormat="false" ht="17.35" hidden="false" customHeight="false" outlineLevel="0" collapsed="false">
      <c r="A581" s="110" t="s">
        <v>1365</v>
      </c>
      <c r="B581" s="114" t="s">
        <v>273</v>
      </c>
      <c r="C581" s="112" t="n">
        <v>2</v>
      </c>
      <c r="D581" s="112" t="n">
        <v>2</v>
      </c>
    </row>
    <row r="582" customFormat="false" ht="17.35" hidden="false" customHeight="false" outlineLevel="0" collapsed="false">
      <c r="A582" s="110" t="s">
        <v>1366</v>
      </c>
      <c r="B582" s="114" t="s">
        <v>273</v>
      </c>
      <c r="C582" s="112" t="n">
        <v>2</v>
      </c>
      <c r="D582" s="112" t="n">
        <v>2</v>
      </c>
    </row>
    <row r="583" customFormat="false" ht="17.35" hidden="false" customHeight="false" outlineLevel="0" collapsed="false">
      <c r="A583" s="110" t="s">
        <v>1367</v>
      </c>
      <c r="B583" s="114" t="s">
        <v>1368</v>
      </c>
      <c r="C583" s="112" t="n">
        <v>2</v>
      </c>
      <c r="D583" s="112" t="n">
        <v>2</v>
      </c>
    </row>
    <row r="584" customFormat="false" ht="17.35" hidden="false" customHeight="false" outlineLevel="0" collapsed="false">
      <c r="A584" s="110" t="s">
        <v>1369</v>
      </c>
      <c r="B584" s="114" t="s">
        <v>322</v>
      </c>
      <c r="C584" s="112" t="n">
        <v>12</v>
      </c>
      <c r="D584" s="112" t="n">
        <v>12</v>
      </c>
    </row>
    <row r="585" customFormat="false" ht="17.35" hidden="false" customHeight="false" outlineLevel="0" collapsed="false">
      <c r="A585" s="110" t="s">
        <v>1370</v>
      </c>
      <c r="B585" s="114" t="s">
        <v>339</v>
      </c>
      <c r="C585" s="112" t="n">
        <v>8</v>
      </c>
      <c r="D585" s="112" t="n">
        <v>8</v>
      </c>
    </row>
    <row r="586" customFormat="false" ht="17.35" hidden="false" customHeight="false" outlineLevel="0" collapsed="false">
      <c r="A586" s="110" t="s">
        <v>1371</v>
      </c>
      <c r="B586" s="114" t="s">
        <v>340</v>
      </c>
      <c r="C586" s="112" t="n">
        <v>8</v>
      </c>
      <c r="D586" s="112" t="n">
        <v>8</v>
      </c>
    </row>
    <row r="587" customFormat="false" ht="18.65" hidden="false" customHeight="false" outlineLevel="0" collapsed="false">
      <c r="A587" s="110" t="s">
        <v>1372</v>
      </c>
      <c r="B587" s="114" t="s">
        <v>1373</v>
      </c>
      <c r="C587" s="112" t="n">
        <v>10</v>
      </c>
      <c r="D587" s="112" t="n">
        <v>10</v>
      </c>
    </row>
    <row r="588" customFormat="false" ht="17.35" hidden="false" customHeight="false" outlineLevel="0" collapsed="false">
      <c r="A588" s="110" t="s">
        <v>1374</v>
      </c>
      <c r="B588" s="114" t="s">
        <v>1375</v>
      </c>
      <c r="C588" s="112" t="n">
        <v>1</v>
      </c>
      <c r="D588" s="112" t="n">
        <v>1</v>
      </c>
    </row>
    <row r="589" customFormat="false" ht="17.35" hidden="false" customHeight="false" outlineLevel="0" collapsed="false">
      <c r="A589" s="110" t="s">
        <v>1376</v>
      </c>
      <c r="B589" s="114" t="s">
        <v>996</v>
      </c>
      <c r="C589" s="112" t="n">
        <v>10</v>
      </c>
      <c r="D589" s="112" t="n">
        <v>10</v>
      </c>
    </row>
    <row r="590" customFormat="false" ht="17.35" hidden="false" customHeight="false" outlineLevel="0" collapsed="false">
      <c r="A590" s="110" t="s">
        <v>1377</v>
      </c>
      <c r="B590" s="114" t="s">
        <v>334</v>
      </c>
      <c r="C590" s="112" t="n">
        <v>6.5</v>
      </c>
      <c r="D590" s="112" t="n">
        <v>6.5</v>
      </c>
    </row>
    <row r="591" customFormat="false" ht="17.35" hidden="false" customHeight="false" outlineLevel="0" collapsed="false">
      <c r="A591" s="110" t="s">
        <v>1378</v>
      </c>
      <c r="B591" s="114" t="s">
        <v>1379</v>
      </c>
      <c r="C591" s="112" t="n">
        <v>6.5</v>
      </c>
      <c r="D591" s="112" t="n">
        <v>6.5</v>
      </c>
    </row>
    <row r="592" customFormat="false" ht="17.35" hidden="false" customHeight="false" outlineLevel="0" collapsed="false">
      <c r="A592" s="110" t="s">
        <v>1380</v>
      </c>
      <c r="B592" s="114" t="s">
        <v>341</v>
      </c>
      <c r="C592" s="112" t="n">
        <v>25</v>
      </c>
      <c r="D592" s="112" t="n">
        <v>25</v>
      </c>
    </row>
    <row r="593" customFormat="false" ht="17.35" hidden="false" customHeight="false" outlineLevel="0" collapsed="false">
      <c r="A593" s="110" t="s">
        <v>1381</v>
      </c>
      <c r="B593" s="114" t="s">
        <v>1382</v>
      </c>
      <c r="C593" s="112" t="n">
        <v>10</v>
      </c>
      <c r="D593" s="112" t="n">
        <v>10</v>
      </c>
    </row>
    <row r="594" customFormat="false" ht="17.35" hidden="false" customHeight="false" outlineLevel="0" collapsed="false">
      <c r="A594" s="110" t="s">
        <v>1383</v>
      </c>
      <c r="B594" s="114" t="s">
        <v>342</v>
      </c>
      <c r="C594" s="112" t="n">
        <v>15</v>
      </c>
      <c r="D594" s="112" t="n">
        <v>15</v>
      </c>
    </row>
    <row r="595" customFormat="false" ht="15.65" hidden="false" customHeight="false" outlineLevel="0" collapsed="false">
      <c r="A595" s="110" t="s">
        <v>1384</v>
      </c>
      <c r="B595" s="114" t="s">
        <v>1385</v>
      </c>
      <c r="C595" s="112" t="n">
        <v>20</v>
      </c>
      <c r="D595" s="112" t="n">
        <v>25</v>
      </c>
    </row>
    <row r="596" customFormat="false" ht="17.35" hidden="false" customHeight="false" outlineLevel="0" collapsed="false">
      <c r="A596" s="110" t="s">
        <v>1386</v>
      </c>
      <c r="B596" s="114" t="s">
        <v>171</v>
      </c>
      <c r="C596" s="112" t="n">
        <v>25</v>
      </c>
      <c r="D596" s="112" t="n">
        <v>25</v>
      </c>
    </row>
    <row r="597" customFormat="false" ht="17.35" hidden="false" customHeight="false" outlineLevel="0" collapsed="false">
      <c r="A597" s="110" t="s">
        <v>1387</v>
      </c>
      <c r="B597" s="114" t="s">
        <v>255</v>
      </c>
      <c r="C597" s="112" t="n">
        <v>8</v>
      </c>
      <c r="D597" s="112" t="n">
        <v>8</v>
      </c>
    </row>
    <row r="598" customFormat="false" ht="17.35" hidden="false" customHeight="false" outlineLevel="0" collapsed="false">
      <c r="A598" s="110" t="s">
        <v>1388</v>
      </c>
      <c r="B598" s="114" t="s">
        <v>412</v>
      </c>
      <c r="C598" s="112" t="n">
        <v>7</v>
      </c>
      <c r="D598" s="112" t="n">
        <v>7</v>
      </c>
    </row>
    <row r="599" customFormat="false" ht="17.35" hidden="false" customHeight="false" outlineLevel="0" collapsed="false">
      <c r="A599" s="110" t="s">
        <v>1389</v>
      </c>
      <c r="B599" s="114" t="s">
        <v>413</v>
      </c>
      <c r="C599" s="112" t="n">
        <v>15</v>
      </c>
      <c r="D599" s="112" t="n">
        <v>15</v>
      </c>
    </row>
    <row r="600" customFormat="false" ht="17.35" hidden="false" customHeight="false" outlineLevel="0" collapsed="false">
      <c r="A600" s="110" t="s">
        <v>1390</v>
      </c>
      <c r="B600" s="114" t="s">
        <v>411</v>
      </c>
      <c r="C600" s="112" t="n">
        <v>15</v>
      </c>
      <c r="D600" s="112" t="n">
        <v>15</v>
      </c>
    </row>
    <row r="601" customFormat="false" ht="17.35" hidden="false" customHeight="false" outlineLevel="0" collapsed="false">
      <c r="A601" s="110" t="s">
        <v>1391</v>
      </c>
      <c r="B601" s="114" t="s">
        <v>292</v>
      </c>
      <c r="C601" s="112" t="n">
        <v>20</v>
      </c>
      <c r="D601" s="112" t="n">
        <v>20</v>
      </c>
    </row>
    <row r="602" customFormat="false" ht="17.35" hidden="false" customHeight="false" outlineLevel="0" collapsed="false">
      <c r="A602" s="110" t="s">
        <v>1392</v>
      </c>
      <c r="B602" s="114" t="s">
        <v>383</v>
      </c>
      <c r="C602" s="112" t="n">
        <v>30</v>
      </c>
      <c r="D602" s="112" t="n">
        <v>30</v>
      </c>
    </row>
    <row r="603" customFormat="false" ht="17.35" hidden="false" customHeight="false" outlineLevel="0" collapsed="false">
      <c r="A603" s="110" t="s">
        <v>1393</v>
      </c>
      <c r="B603" s="114" t="s">
        <v>415</v>
      </c>
      <c r="C603" s="112" t="n">
        <v>25</v>
      </c>
      <c r="D603" s="112" t="n">
        <v>28</v>
      </c>
    </row>
    <row r="604" customFormat="false" ht="17.35" hidden="false" customHeight="false" outlineLevel="0" collapsed="false">
      <c r="A604" s="110" t="s">
        <v>1394</v>
      </c>
      <c r="B604" s="114" t="s">
        <v>415</v>
      </c>
      <c r="C604" s="112" t="n">
        <v>25</v>
      </c>
      <c r="D604" s="112" t="n">
        <v>28</v>
      </c>
    </row>
    <row r="605" customFormat="false" ht="17.35" hidden="false" customHeight="false" outlineLevel="0" collapsed="false">
      <c r="A605" s="110" t="s">
        <v>1395</v>
      </c>
      <c r="B605" s="114" t="s">
        <v>261</v>
      </c>
      <c r="C605" s="112" t="n">
        <v>15</v>
      </c>
      <c r="D605" s="112" t="n">
        <v>15</v>
      </c>
    </row>
    <row r="606" customFormat="false" ht="17.35" hidden="false" customHeight="false" outlineLevel="0" collapsed="false">
      <c r="A606" s="110" t="s">
        <v>1323</v>
      </c>
      <c r="B606" s="114" t="s">
        <v>298</v>
      </c>
      <c r="C606" s="112" t="n">
        <v>15</v>
      </c>
      <c r="D606" s="112" t="n">
        <v>15</v>
      </c>
    </row>
    <row r="607" customFormat="false" ht="17.35" hidden="false" customHeight="false" outlineLevel="0" collapsed="false">
      <c r="A607" s="110" t="s">
        <v>1396</v>
      </c>
      <c r="B607" s="114" t="s">
        <v>389</v>
      </c>
      <c r="C607" s="112" t="n">
        <v>20</v>
      </c>
      <c r="D607" s="112" t="n">
        <v>21</v>
      </c>
    </row>
    <row r="608" customFormat="false" ht="17.35" hidden="false" customHeight="false" outlineLevel="0" collapsed="false">
      <c r="A608" s="110" t="s">
        <v>1397</v>
      </c>
      <c r="B608" s="114" t="s">
        <v>392</v>
      </c>
      <c r="C608" s="112" t="n">
        <v>53</v>
      </c>
      <c r="D608" s="112" t="n">
        <v>55</v>
      </c>
    </row>
    <row r="609" customFormat="false" ht="17.35" hidden="false" customHeight="false" outlineLevel="0" collapsed="false">
      <c r="A609" s="110" t="s">
        <v>1398</v>
      </c>
      <c r="B609" s="114" t="s">
        <v>398</v>
      </c>
      <c r="C609" s="112" t="n">
        <v>21</v>
      </c>
      <c r="D609" s="112" t="n">
        <v>23</v>
      </c>
    </row>
    <row r="610" customFormat="false" ht="17.35" hidden="false" customHeight="false" outlineLevel="0" collapsed="false">
      <c r="A610" s="110" t="s">
        <v>1399</v>
      </c>
      <c r="B610" s="114" t="s">
        <v>399</v>
      </c>
      <c r="C610" s="112" t="n">
        <v>21.5</v>
      </c>
      <c r="D610" s="112" t="n">
        <v>23</v>
      </c>
    </row>
    <row r="611" customFormat="false" ht="17.35" hidden="false" customHeight="false" outlineLevel="0" collapsed="false">
      <c r="A611" s="110" t="s">
        <v>1400</v>
      </c>
      <c r="B611" s="114" t="s">
        <v>271</v>
      </c>
      <c r="C611" s="112" t="n">
        <v>10</v>
      </c>
      <c r="D611" s="112" t="n">
        <v>10</v>
      </c>
    </row>
    <row r="612" customFormat="false" ht="17.35" hidden="false" customHeight="false" outlineLevel="0" collapsed="false">
      <c r="A612" s="110" t="s">
        <v>1401</v>
      </c>
      <c r="B612" s="114" t="s">
        <v>232</v>
      </c>
      <c r="C612" s="112" t="n">
        <v>24</v>
      </c>
      <c r="D612" s="112" t="n">
        <v>27</v>
      </c>
    </row>
    <row r="613" customFormat="false" ht="17.35" hidden="false" customHeight="false" outlineLevel="0" collapsed="false">
      <c r="A613" s="110" t="s">
        <v>1402</v>
      </c>
      <c r="B613" s="114" t="s">
        <v>434</v>
      </c>
      <c r="C613" s="112" t="n">
        <v>10</v>
      </c>
      <c r="D613" s="112" t="n">
        <v>12.5</v>
      </c>
    </row>
    <row r="614" customFormat="false" ht="17.35" hidden="false" customHeight="false" outlineLevel="0" collapsed="false">
      <c r="A614" s="110" t="s">
        <v>1403</v>
      </c>
      <c r="B614" s="114" t="s">
        <v>190</v>
      </c>
      <c r="C614" s="112" t="n">
        <v>45</v>
      </c>
      <c r="D614" s="112" t="n">
        <v>50</v>
      </c>
    </row>
    <row r="615" customFormat="false" ht="17.35" hidden="false" customHeight="false" outlineLevel="0" collapsed="false">
      <c r="A615" s="110" t="s">
        <v>1404</v>
      </c>
      <c r="B615" s="114" t="s">
        <v>196</v>
      </c>
      <c r="C615" s="112" t="n">
        <v>10</v>
      </c>
      <c r="D615" s="112" t="n">
        <v>10</v>
      </c>
    </row>
    <row r="616" customFormat="false" ht="17.35" hidden="false" customHeight="false" outlineLevel="0" collapsed="false">
      <c r="A616" s="110" t="s">
        <v>1405</v>
      </c>
      <c r="B616" s="114" t="s">
        <v>1406</v>
      </c>
      <c r="C616" s="112" t="n">
        <v>40</v>
      </c>
      <c r="D616" s="112" t="n">
        <v>45</v>
      </c>
    </row>
    <row r="617" customFormat="false" ht="17.35" hidden="false" customHeight="false" outlineLevel="0" collapsed="false">
      <c r="A617" s="110" t="s">
        <v>1407</v>
      </c>
      <c r="B617" s="114" t="s">
        <v>1408</v>
      </c>
      <c r="C617" s="112" t="n">
        <v>35</v>
      </c>
      <c r="D617" s="112" t="n">
        <v>40</v>
      </c>
    </row>
    <row r="618" customFormat="false" ht="17.35" hidden="false" customHeight="false" outlineLevel="0" collapsed="false">
      <c r="A618" s="110" t="s">
        <v>1409</v>
      </c>
      <c r="B618" s="114" t="s">
        <v>196</v>
      </c>
      <c r="C618" s="112" t="n">
        <v>10</v>
      </c>
      <c r="D618" s="112" t="n">
        <v>10</v>
      </c>
    </row>
    <row r="619" customFormat="false" ht="17.35" hidden="false" customHeight="false" outlineLevel="0" collapsed="false">
      <c r="A619" s="110" t="s">
        <v>1410</v>
      </c>
      <c r="B619" s="114" t="s">
        <v>216</v>
      </c>
      <c r="C619" s="112" t="n">
        <v>10</v>
      </c>
      <c r="D619" s="112" t="n">
        <v>10</v>
      </c>
    </row>
    <row r="620" customFormat="false" ht="17.35" hidden="false" customHeight="false" outlineLevel="0" collapsed="false">
      <c r="A620" s="110" t="s">
        <v>1411</v>
      </c>
      <c r="B620" s="114" t="s">
        <v>216</v>
      </c>
      <c r="C620" s="112" t="n">
        <v>10</v>
      </c>
      <c r="D620" s="112" t="n">
        <v>10</v>
      </c>
    </row>
    <row r="621" customFormat="false" ht="17.35" hidden="false" customHeight="false" outlineLevel="0" collapsed="false">
      <c r="A621" s="110" t="s">
        <v>496</v>
      </c>
      <c r="B621" s="114" t="s">
        <v>214</v>
      </c>
      <c r="C621" s="112" t="n">
        <v>10</v>
      </c>
      <c r="D621" s="112" t="n">
        <v>10</v>
      </c>
    </row>
    <row r="622" customFormat="false" ht="17.35" hidden="false" customHeight="false" outlineLevel="0" collapsed="false">
      <c r="A622" s="110" t="s">
        <v>497</v>
      </c>
      <c r="B622" s="114" t="s">
        <v>214</v>
      </c>
      <c r="C622" s="112" t="n">
        <v>10</v>
      </c>
      <c r="D622" s="112" t="n">
        <v>10</v>
      </c>
    </row>
    <row r="623" customFormat="false" ht="17.35" hidden="false" customHeight="false" outlineLevel="0" collapsed="false">
      <c r="A623" s="110" t="s">
        <v>1412</v>
      </c>
      <c r="B623" s="114" t="s">
        <v>214</v>
      </c>
      <c r="C623" s="112" t="n">
        <v>10</v>
      </c>
      <c r="D623" s="112" t="n">
        <v>10</v>
      </c>
    </row>
    <row r="624" customFormat="false" ht="17.35" hidden="false" customHeight="false" outlineLevel="0" collapsed="false">
      <c r="A624" s="110" t="s">
        <v>1410</v>
      </c>
      <c r="B624" s="114" t="s">
        <v>216</v>
      </c>
      <c r="C624" s="112" t="n">
        <v>10</v>
      </c>
      <c r="D624" s="112" t="n">
        <v>10</v>
      </c>
    </row>
    <row r="625" customFormat="false" ht="17.35" hidden="false" customHeight="false" outlineLevel="0" collapsed="false">
      <c r="A625" s="110" t="s">
        <v>1413</v>
      </c>
      <c r="B625" s="114" t="s">
        <v>1414</v>
      </c>
      <c r="C625" s="112" t="n">
        <v>45</v>
      </c>
      <c r="D625" s="112" t="n">
        <v>45</v>
      </c>
    </row>
    <row r="626" customFormat="false" ht="17.35" hidden="false" customHeight="false" outlineLevel="0" collapsed="false">
      <c r="A626" s="110" t="s">
        <v>1415</v>
      </c>
      <c r="B626" s="114" t="s">
        <v>245</v>
      </c>
      <c r="C626" s="112" t="n">
        <v>130</v>
      </c>
      <c r="D626" s="112" t="n">
        <v>130</v>
      </c>
    </row>
    <row r="627" customFormat="false" ht="17.35" hidden="false" customHeight="false" outlineLevel="0" collapsed="false">
      <c r="A627" s="110" t="s">
        <v>1416</v>
      </c>
      <c r="B627" s="114" t="s">
        <v>165</v>
      </c>
      <c r="C627" s="112" t="n">
        <v>75</v>
      </c>
      <c r="D627" s="112" t="n">
        <v>80</v>
      </c>
    </row>
    <row r="628" customFormat="false" ht="17.35" hidden="false" customHeight="false" outlineLevel="0" collapsed="false">
      <c r="A628" s="110" t="s">
        <v>1417</v>
      </c>
      <c r="B628" s="114" t="s">
        <v>327</v>
      </c>
      <c r="C628" s="112" t="n">
        <v>10</v>
      </c>
      <c r="D628" s="112" t="n">
        <v>10</v>
      </c>
    </row>
    <row r="629" customFormat="false" ht="15.65" hidden="false" customHeight="false" outlineLevel="0" collapsed="false">
      <c r="A629" s="110" t="s">
        <v>1418</v>
      </c>
      <c r="B629" s="114" t="s">
        <v>1419</v>
      </c>
      <c r="C629" s="112" t="n">
        <v>120</v>
      </c>
      <c r="D629" s="112" t="n">
        <v>120</v>
      </c>
    </row>
    <row r="630" customFormat="false" ht="17.35" hidden="false" customHeight="false" outlineLevel="0" collapsed="false">
      <c r="A630" s="110" t="s">
        <v>1420</v>
      </c>
      <c r="B630" s="114" t="s">
        <v>1421</v>
      </c>
      <c r="C630" s="112" t="n">
        <v>40</v>
      </c>
      <c r="D630" s="112" t="n">
        <v>40</v>
      </c>
    </row>
    <row r="631" customFormat="false" ht="17.35" hidden="false" customHeight="false" outlineLevel="0" collapsed="false">
      <c r="A631" s="110" t="s">
        <v>1422</v>
      </c>
      <c r="B631" s="114" t="s">
        <v>363</v>
      </c>
      <c r="C631" s="112" t="n">
        <v>10</v>
      </c>
      <c r="D631" s="112" t="n">
        <v>10</v>
      </c>
    </row>
    <row r="632" customFormat="false" ht="17.35" hidden="false" customHeight="false" outlineLevel="0" collapsed="false">
      <c r="A632" s="110" t="s">
        <v>1275</v>
      </c>
      <c r="B632" s="114" t="s">
        <v>1423</v>
      </c>
      <c r="C632" s="112" t="n">
        <v>4</v>
      </c>
      <c r="D632" s="112" t="n">
        <v>4</v>
      </c>
    </row>
    <row r="633" customFormat="false" ht="17.35" hidden="false" customHeight="false" outlineLevel="0" collapsed="false">
      <c r="A633" s="110" t="s">
        <v>1276</v>
      </c>
      <c r="B633" s="114" t="s">
        <v>1423</v>
      </c>
      <c r="C633" s="112" t="n">
        <v>4</v>
      </c>
      <c r="D633" s="112" t="n">
        <v>4</v>
      </c>
    </row>
    <row r="634" customFormat="false" ht="17.35" hidden="false" customHeight="false" outlineLevel="0" collapsed="false">
      <c r="A634" s="110" t="s">
        <v>1277</v>
      </c>
      <c r="B634" s="114" t="s">
        <v>1424</v>
      </c>
      <c r="C634" s="112" t="n">
        <v>10</v>
      </c>
      <c r="D634" s="112" t="n">
        <v>10</v>
      </c>
    </row>
    <row r="635" customFormat="false" ht="17.35" hidden="false" customHeight="false" outlineLevel="0" collapsed="false">
      <c r="A635" s="110" t="s">
        <v>1425</v>
      </c>
      <c r="B635" s="114" t="s">
        <v>301</v>
      </c>
      <c r="C635" s="112" t="n">
        <v>15</v>
      </c>
      <c r="D635" s="112" t="n">
        <v>15</v>
      </c>
    </row>
    <row r="636" customFormat="false" ht="17.35" hidden="false" customHeight="false" outlineLevel="0" collapsed="false">
      <c r="A636" s="110" t="s">
        <v>1426</v>
      </c>
      <c r="B636" s="114" t="s">
        <v>447</v>
      </c>
      <c r="C636" s="112" t="n">
        <v>16</v>
      </c>
      <c r="D636" s="112" t="n">
        <v>20</v>
      </c>
    </row>
    <row r="637" customFormat="false" ht="17.35" hidden="false" customHeight="false" outlineLevel="0" collapsed="false">
      <c r="A637" s="110" t="s">
        <v>1427</v>
      </c>
      <c r="B637" s="114" t="s">
        <v>300</v>
      </c>
      <c r="C637" s="112" t="n">
        <v>12</v>
      </c>
      <c r="D637" s="112" t="n">
        <v>12</v>
      </c>
    </row>
    <row r="638" customFormat="false" ht="17.35" hidden="false" customHeight="false" outlineLevel="0" collapsed="false">
      <c r="A638" s="110" t="s">
        <v>1428</v>
      </c>
      <c r="B638" s="114" t="s">
        <v>354</v>
      </c>
      <c r="C638" s="112" t="n">
        <v>16</v>
      </c>
      <c r="D638" s="112" t="n">
        <v>18</v>
      </c>
    </row>
    <row r="639" customFormat="false" ht="17.35" hidden="false" customHeight="false" outlineLevel="0" collapsed="false">
      <c r="A639" s="110" t="s">
        <v>1429</v>
      </c>
      <c r="B639" s="114" t="s">
        <v>1430</v>
      </c>
      <c r="C639" s="112" t="n">
        <v>5</v>
      </c>
      <c r="D639" s="112" t="n">
        <v>5</v>
      </c>
    </row>
    <row r="640" customFormat="false" ht="17.35" hidden="false" customHeight="false" outlineLevel="0" collapsed="false">
      <c r="A640" s="110" t="s">
        <v>1431</v>
      </c>
      <c r="B640" s="114" t="s">
        <v>449</v>
      </c>
      <c r="C640" s="112" t="n">
        <v>13</v>
      </c>
      <c r="D640" s="112" t="n">
        <v>15</v>
      </c>
    </row>
    <row r="641" customFormat="false" ht="17.35" hidden="false" customHeight="false" outlineLevel="0" collapsed="false">
      <c r="A641" s="110" t="s">
        <v>1432</v>
      </c>
      <c r="B641" s="114" t="s">
        <v>1433</v>
      </c>
      <c r="C641" s="112" t="n">
        <v>65</v>
      </c>
      <c r="D641" s="112" t="n">
        <v>75</v>
      </c>
    </row>
    <row r="642" customFormat="false" ht="17.35" hidden="false" customHeight="false" outlineLevel="0" collapsed="false">
      <c r="A642" s="110" t="s">
        <v>1434</v>
      </c>
      <c r="B642" s="114" t="s">
        <v>1433</v>
      </c>
      <c r="C642" s="112" t="n">
        <v>65</v>
      </c>
      <c r="D642" s="112" t="n">
        <v>75</v>
      </c>
    </row>
    <row r="643" customFormat="false" ht="17.35" hidden="false" customHeight="false" outlineLevel="0" collapsed="false">
      <c r="A643" s="110" t="s">
        <v>1435</v>
      </c>
      <c r="B643" s="114" t="s">
        <v>1433</v>
      </c>
      <c r="C643" s="112" t="n">
        <v>65</v>
      </c>
      <c r="D643" s="112" t="n">
        <v>75</v>
      </c>
    </row>
    <row r="644" customFormat="false" ht="17.35" hidden="false" customHeight="false" outlineLevel="0" collapsed="false">
      <c r="A644" s="110" t="s">
        <v>1436</v>
      </c>
      <c r="B644" s="114" t="s">
        <v>450</v>
      </c>
      <c r="C644" s="112" t="n">
        <v>13</v>
      </c>
      <c r="D644" s="112" t="n">
        <v>15</v>
      </c>
    </row>
    <row r="645" customFormat="false" ht="17.35" hidden="false" customHeight="false" outlineLevel="0" collapsed="false">
      <c r="A645" s="110" t="s">
        <v>1437</v>
      </c>
      <c r="B645" s="114" t="s">
        <v>417</v>
      </c>
      <c r="C645" s="112" t="n">
        <v>17.5</v>
      </c>
      <c r="D645" s="112" t="n">
        <v>20</v>
      </c>
    </row>
    <row r="646" customFormat="false" ht="17.35" hidden="false" customHeight="false" outlineLevel="0" collapsed="false">
      <c r="A646" s="110" t="s">
        <v>1438</v>
      </c>
      <c r="B646" s="114" t="s">
        <v>417</v>
      </c>
      <c r="C646" s="112" t="n">
        <v>17.5</v>
      </c>
      <c r="D646" s="112" t="n">
        <v>20</v>
      </c>
    </row>
    <row r="647" customFormat="false" ht="17.35" hidden="false" customHeight="false" outlineLevel="0" collapsed="false">
      <c r="A647" s="110" t="s">
        <v>1439</v>
      </c>
      <c r="B647" s="114" t="s">
        <v>1440</v>
      </c>
      <c r="C647" s="112" t="n">
        <v>13</v>
      </c>
      <c r="D647" s="112" t="n">
        <v>15</v>
      </c>
    </row>
    <row r="648" customFormat="false" ht="17.35" hidden="false" customHeight="false" outlineLevel="0" collapsed="false">
      <c r="A648" s="110" t="s">
        <v>1441</v>
      </c>
      <c r="B648" s="114" t="s">
        <v>420</v>
      </c>
      <c r="C648" s="112" t="n">
        <v>13</v>
      </c>
      <c r="D648" s="112" t="n">
        <v>15</v>
      </c>
    </row>
    <row r="649" customFormat="false" ht="17.35" hidden="false" customHeight="false" outlineLevel="0" collapsed="false">
      <c r="A649" s="110" t="s">
        <v>1442</v>
      </c>
      <c r="B649" s="114" t="s">
        <v>419</v>
      </c>
      <c r="C649" s="112" t="n">
        <v>12.8</v>
      </c>
      <c r="D649" s="112" t="n">
        <v>15</v>
      </c>
    </row>
    <row r="650" customFormat="false" ht="17.35" hidden="false" customHeight="false" outlineLevel="0" collapsed="false">
      <c r="A650" s="110" t="s">
        <v>1443</v>
      </c>
      <c r="B650" s="114" t="s">
        <v>423</v>
      </c>
      <c r="C650" s="112" t="n">
        <v>8.5</v>
      </c>
      <c r="D650" s="112" t="n">
        <v>10</v>
      </c>
    </row>
    <row r="651" customFormat="false" ht="17.35" hidden="false" customHeight="false" outlineLevel="0" collapsed="false">
      <c r="A651" s="110" t="s">
        <v>1444</v>
      </c>
      <c r="B651" s="114" t="s">
        <v>1445</v>
      </c>
      <c r="C651" s="112" t="n">
        <v>7</v>
      </c>
      <c r="D651" s="112" t="n">
        <v>10</v>
      </c>
    </row>
    <row r="652" customFormat="false" ht="17.35" hidden="false" customHeight="false" outlineLevel="0" collapsed="false">
      <c r="A652" s="110" t="s">
        <v>1446</v>
      </c>
      <c r="B652" s="114" t="s">
        <v>1447</v>
      </c>
      <c r="C652" s="112" t="n">
        <v>17.5</v>
      </c>
      <c r="D652" s="112" t="n">
        <v>20</v>
      </c>
    </row>
    <row r="653" customFormat="false" ht="17.35" hidden="false" customHeight="false" outlineLevel="0" collapsed="false">
      <c r="A653" s="110" t="s">
        <v>1448</v>
      </c>
      <c r="B653" s="114" t="s">
        <v>427</v>
      </c>
      <c r="C653" s="112" t="n">
        <v>7</v>
      </c>
      <c r="D653" s="112" t="n">
        <v>10</v>
      </c>
    </row>
    <row r="654" customFormat="false" ht="17.35" hidden="false" customHeight="false" outlineLevel="0" collapsed="false">
      <c r="A654" s="110" t="s">
        <v>1449</v>
      </c>
      <c r="B654" s="114" t="s">
        <v>421</v>
      </c>
      <c r="C654" s="112" t="n">
        <v>8.8</v>
      </c>
      <c r="D654" s="112" t="n">
        <v>10</v>
      </c>
    </row>
    <row r="655" customFormat="false" ht="17.35" hidden="false" customHeight="false" outlineLevel="0" collapsed="false">
      <c r="A655" s="110" t="s">
        <v>1450</v>
      </c>
      <c r="B655" s="114" t="s">
        <v>416</v>
      </c>
      <c r="C655" s="112" t="n">
        <v>12.8</v>
      </c>
      <c r="D655" s="112" t="n">
        <v>15</v>
      </c>
    </row>
    <row r="656" customFormat="false" ht="17.35" hidden="false" customHeight="false" outlineLevel="0" collapsed="false">
      <c r="A656" s="110" t="s">
        <v>1451</v>
      </c>
      <c r="B656" s="114" t="s">
        <v>1452</v>
      </c>
      <c r="C656" s="112" t="n">
        <v>7</v>
      </c>
      <c r="D656" s="112" t="n">
        <v>10</v>
      </c>
    </row>
    <row r="657" customFormat="false" ht="17.35" hidden="false" customHeight="false" outlineLevel="0" collapsed="false">
      <c r="A657" s="110" t="s">
        <v>1453</v>
      </c>
      <c r="B657" s="114" t="s">
        <v>1454</v>
      </c>
      <c r="C657" s="112" t="n">
        <v>7</v>
      </c>
      <c r="D657" s="112" t="n">
        <v>10</v>
      </c>
    </row>
    <row r="658" customFormat="false" ht="17.35" hidden="false" customHeight="false" outlineLevel="0" collapsed="false">
      <c r="A658" s="110" t="s">
        <v>1455</v>
      </c>
      <c r="B658" s="114" t="s">
        <v>422</v>
      </c>
      <c r="C658" s="112" t="n">
        <v>7</v>
      </c>
      <c r="D658" s="112" t="n">
        <v>10</v>
      </c>
    </row>
    <row r="659" customFormat="false" ht="17.35" hidden="false" customHeight="false" outlineLevel="0" collapsed="false">
      <c r="A659" s="110" t="s">
        <v>1456</v>
      </c>
      <c r="B659" s="114" t="s">
        <v>331</v>
      </c>
      <c r="C659" s="112" t="n">
        <v>2</v>
      </c>
      <c r="D659" s="112" t="n">
        <v>2</v>
      </c>
    </row>
    <row r="660" customFormat="false" ht="17.35" hidden="false" customHeight="false" outlineLevel="0" collapsed="false">
      <c r="A660" s="110" t="s">
        <v>1457</v>
      </c>
      <c r="B660" s="114" t="s">
        <v>1350</v>
      </c>
      <c r="C660" s="112" t="n">
        <v>0.4</v>
      </c>
      <c r="D660" s="112" t="n">
        <v>0.4</v>
      </c>
    </row>
    <row r="661" customFormat="false" ht="17.35" hidden="false" customHeight="false" outlineLevel="0" collapsed="false">
      <c r="A661" s="110" t="s">
        <v>1458</v>
      </c>
      <c r="B661" s="114" t="s">
        <v>319</v>
      </c>
      <c r="C661" s="112" t="n">
        <v>6</v>
      </c>
      <c r="D661" s="112" t="n">
        <v>6</v>
      </c>
    </row>
    <row r="662" customFormat="false" ht="17.35" hidden="false" customHeight="false" outlineLevel="0" collapsed="false">
      <c r="A662" s="110" t="s">
        <v>1459</v>
      </c>
      <c r="B662" s="114" t="s">
        <v>318</v>
      </c>
      <c r="C662" s="112" t="n">
        <v>2</v>
      </c>
      <c r="D662" s="112" t="n">
        <v>2</v>
      </c>
    </row>
    <row r="663" customFormat="false" ht="17.35" hidden="false" customHeight="false" outlineLevel="0" collapsed="false">
      <c r="A663" s="110" t="s">
        <v>1460</v>
      </c>
      <c r="B663" s="114" t="s">
        <v>438</v>
      </c>
      <c r="C663" s="112" t="n">
        <v>11.6</v>
      </c>
      <c r="D663" s="112" t="n">
        <v>15</v>
      </c>
    </row>
    <row r="664" customFormat="false" ht="17.35" hidden="false" customHeight="false" outlineLevel="0" collapsed="false">
      <c r="A664" s="110" t="s">
        <v>1461</v>
      </c>
      <c r="B664" s="114" t="s">
        <v>380</v>
      </c>
      <c r="C664" s="112" t="n">
        <v>24</v>
      </c>
      <c r="D664" s="112" t="n">
        <v>30</v>
      </c>
    </row>
    <row r="665" customFormat="false" ht="17.35" hidden="false" customHeight="false" outlineLevel="0" collapsed="false">
      <c r="A665" s="110" t="s">
        <v>1462</v>
      </c>
      <c r="B665" s="114" t="s">
        <v>205</v>
      </c>
      <c r="C665" s="112" t="n">
        <v>27</v>
      </c>
      <c r="D665" s="112" t="n">
        <v>30</v>
      </c>
    </row>
    <row r="666" customFormat="false" ht="17.35" hidden="false" customHeight="false" outlineLevel="0" collapsed="false">
      <c r="A666" s="110" t="s">
        <v>1463</v>
      </c>
      <c r="B666" s="114" t="s">
        <v>352</v>
      </c>
      <c r="C666" s="112" t="n">
        <v>18</v>
      </c>
      <c r="D666" s="112" t="n">
        <v>25</v>
      </c>
    </row>
    <row r="667" customFormat="false" ht="17.35" hidden="false" customHeight="false" outlineLevel="0" collapsed="false">
      <c r="A667" s="110" t="s">
        <v>1464</v>
      </c>
      <c r="B667" s="114" t="s">
        <v>293</v>
      </c>
      <c r="C667" s="112" t="n">
        <v>7.5</v>
      </c>
      <c r="D667" s="112" t="n">
        <v>9</v>
      </c>
    </row>
    <row r="668" customFormat="false" ht="17.35" hidden="false" customHeight="false" outlineLevel="0" collapsed="false">
      <c r="A668" s="110" t="s">
        <v>1465</v>
      </c>
      <c r="B668" s="114" t="s">
        <v>344</v>
      </c>
      <c r="C668" s="112" t="n">
        <v>10.2</v>
      </c>
      <c r="D668" s="112" t="n">
        <v>15</v>
      </c>
    </row>
    <row r="669" customFormat="false" ht="17.35" hidden="false" customHeight="false" outlineLevel="0" collapsed="false">
      <c r="A669" s="110" t="s">
        <v>1466</v>
      </c>
      <c r="B669" s="114" t="s">
        <v>181</v>
      </c>
      <c r="C669" s="112" t="n">
        <v>18</v>
      </c>
      <c r="D669" s="112" t="n">
        <v>20</v>
      </c>
    </row>
    <row r="670" customFormat="false" ht="17.35" hidden="false" customHeight="false" outlineLevel="0" collapsed="false">
      <c r="A670" s="110" t="s">
        <v>1467</v>
      </c>
      <c r="B670" s="114" t="s">
        <v>253</v>
      </c>
      <c r="C670" s="112" t="n">
        <v>7</v>
      </c>
      <c r="D670" s="112" t="n">
        <v>8</v>
      </c>
    </row>
    <row r="671" customFormat="false" ht="17.35" hidden="false" customHeight="false" outlineLevel="0" collapsed="false">
      <c r="A671" s="110" t="s">
        <v>508</v>
      </c>
      <c r="B671" s="114" t="s">
        <v>253</v>
      </c>
      <c r="C671" s="112" t="n">
        <v>7</v>
      </c>
      <c r="D671" s="112" t="n">
        <v>8</v>
      </c>
    </row>
    <row r="672" customFormat="false" ht="17.35" hidden="false" customHeight="false" outlineLevel="0" collapsed="false">
      <c r="A672" s="110" t="s">
        <v>1468</v>
      </c>
      <c r="B672" s="114" t="s">
        <v>209</v>
      </c>
      <c r="C672" s="112" t="n">
        <v>37</v>
      </c>
      <c r="D672" s="112" t="n">
        <v>40</v>
      </c>
    </row>
    <row r="673" customFormat="false" ht="17.35" hidden="false" customHeight="false" outlineLevel="0" collapsed="false">
      <c r="A673" s="110" t="s">
        <v>1469</v>
      </c>
      <c r="B673" s="114" t="s">
        <v>282</v>
      </c>
      <c r="C673" s="112" t="n">
        <v>110</v>
      </c>
      <c r="D673" s="112" t="n">
        <v>120</v>
      </c>
    </row>
    <row r="674" customFormat="false" ht="17.35" hidden="false" customHeight="false" outlineLevel="0" collapsed="false">
      <c r="A674" s="110" t="s">
        <v>1470</v>
      </c>
      <c r="B674" s="114" t="s">
        <v>283</v>
      </c>
      <c r="C674" s="112" t="n">
        <v>64</v>
      </c>
      <c r="D674" s="112" t="n">
        <v>72</v>
      </c>
    </row>
    <row r="675" customFormat="false" ht="17.35" hidden="false" customHeight="false" outlineLevel="0" collapsed="false">
      <c r="A675" s="110" t="s">
        <v>1471</v>
      </c>
      <c r="B675" s="114" t="s">
        <v>249</v>
      </c>
      <c r="C675" s="112" t="n">
        <v>60</v>
      </c>
      <c r="D675" s="112" t="n">
        <v>70</v>
      </c>
    </row>
    <row r="676" customFormat="false" ht="17.35" hidden="false" customHeight="false" outlineLevel="0" collapsed="false">
      <c r="A676" s="110" t="s">
        <v>1472</v>
      </c>
      <c r="B676" s="114" t="s">
        <v>226</v>
      </c>
      <c r="C676" s="112" t="n">
        <v>23</v>
      </c>
      <c r="D676" s="112" t="n">
        <v>30</v>
      </c>
    </row>
    <row r="677" customFormat="false" ht="17.35" hidden="false" customHeight="false" outlineLevel="0" collapsed="false">
      <c r="A677" s="110" t="s">
        <v>1473</v>
      </c>
      <c r="B677" s="114" t="s">
        <v>267</v>
      </c>
      <c r="C677" s="112" t="n">
        <v>20</v>
      </c>
      <c r="D677" s="112" t="n">
        <v>25</v>
      </c>
    </row>
    <row r="678" customFormat="false" ht="17.35" hidden="false" customHeight="false" outlineLevel="0" collapsed="false">
      <c r="A678" s="110" t="s">
        <v>1474</v>
      </c>
      <c r="B678" s="114" t="s">
        <v>222</v>
      </c>
      <c r="C678" s="112" t="n">
        <v>37</v>
      </c>
      <c r="D678" s="112" t="n">
        <v>42</v>
      </c>
    </row>
    <row r="679" customFormat="false" ht="17.35" hidden="false" customHeight="false" outlineLevel="0" collapsed="false">
      <c r="A679" s="110" t="s">
        <v>1475</v>
      </c>
      <c r="B679" s="114" t="s">
        <v>263</v>
      </c>
      <c r="C679" s="112" t="n">
        <v>9</v>
      </c>
      <c r="D679" s="112" t="n">
        <v>12</v>
      </c>
    </row>
    <row r="680" customFormat="false" ht="17.35" hidden="false" customHeight="false" outlineLevel="0" collapsed="false">
      <c r="A680" s="110" t="s">
        <v>1476</v>
      </c>
      <c r="B680" s="114" t="s">
        <v>272</v>
      </c>
      <c r="C680" s="112" t="n">
        <v>8</v>
      </c>
      <c r="D680" s="112" t="n">
        <v>10</v>
      </c>
    </row>
    <row r="681" customFormat="false" ht="17.35" hidden="false" customHeight="false" outlineLevel="0" collapsed="false">
      <c r="A681" s="110" t="s">
        <v>1477</v>
      </c>
      <c r="B681" s="114" t="s">
        <v>1478</v>
      </c>
      <c r="C681" s="112" t="n">
        <v>130</v>
      </c>
      <c r="D681" s="112" t="n">
        <v>150</v>
      </c>
    </row>
    <row r="682" customFormat="false" ht="17.35" hidden="false" customHeight="false" outlineLevel="0" collapsed="false">
      <c r="A682" s="110" t="s">
        <v>1479</v>
      </c>
      <c r="B682" s="114" t="s">
        <v>303</v>
      </c>
      <c r="C682" s="112" t="n">
        <v>21</v>
      </c>
      <c r="D682" s="112" t="n">
        <v>25</v>
      </c>
    </row>
    <row r="683" customFormat="false" ht="17.35" hidden="false" customHeight="false" outlineLevel="0" collapsed="false">
      <c r="A683" s="110" t="s">
        <v>1480</v>
      </c>
      <c r="B683" s="114" t="s">
        <v>358</v>
      </c>
      <c r="C683" s="112" t="n">
        <v>4</v>
      </c>
      <c r="D683" s="112" t="n">
        <v>5</v>
      </c>
    </row>
    <row r="684" customFormat="false" ht="17.35" hidden="false" customHeight="false" outlineLevel="0" collapsed="false">
      <c r="A684" s="110" t="s">
        <v>1481</v>
      </c>
      <c r="B684" s="114" t="s">
        <v>358</v>
      </c>
      <c r="C684" s="112" t="n">
        <v>4</v>
      </c>
      <c r="D684" s="112" t="n">
        <v>5</v>
      </c>
    </row>
    <row r="685" customFormat="false" ht="17.35" hidden="false" customHeight="false" outlineLevel="0" collapsed="false">
      <c r="A685" s="110" t="s">
        <v>1482</v>
      </c>
      <c r="B685" s="114" t="s">
        <v>311</v>
      </c>
      <c r="C685" s="112" t="n">
        <v>30</v>
      </c>
      <c r="D685" s="112" t="n">
        <v>35</v>
      </c>
    </row>
    <row r="686" customFormat="false" ht="17.35" hidden="false" customHeight="false" outlineLevel="0" collapsed="false">
      <c r="A686" s="110" t="s">
        <v>1483</v>
      </c>
      <c r="B686" s="114" t="s">
        <v>163</v>
      </c>
      <c r="C686" s="112" t="n">
        <v>30</v>
      </c>
      <c r="D686" s="112" t="n">
        <v>35</v>
      </c>
    </row>
    <row r="687" customFormat="false" ht="17.35" hidden="false" customHeight="false" outlineLevel="0" collapsed="false">
      <c r="A687" s="110" t="s">
        <v>1484</v>
      </c>
      <c r="B687" s="114" t="s">
        <v>312</v>
      </c>
      <c r="C687" s="112" t="n">
        <v>30</v>
      </c>
      <c r="D687" s="112" t="n">
        <v>35</v>
      </c>
    </row>
    <row r="688" customFormat="false" ht="17.35" hidden="false" customHeight="false" outlineLevel="0" collapsed="false">
      <c r="A688" s="110" t="s">
        <v>1485</v>
      </c>
      <c r="B688" s="114" t="s">
        <v>315</v>
      </c>
      <c r="C688" s="112" t="n">
        <v>24</v>
      </c>
      <c r="D688" s="112" t="n">
        <v>30</v>
      </c>
    </row>
    <row r="689" customFormat="false" ht="17.35" hidden="false" customHeight="false" outlineLevel="0" collapsed="false">
      <c r="A689" s="110" t="s">
        <v>1486</v>
      </c>
      <c r="B689" s="114" t="s">
        <v>159</v>
      </c>
      <c r="C689" s="112" t="n">
        <v>700</v>
      </c>
      <c r="D689" s="112" t="n">
        <v>750</v>
      </c>
    </row>
    <row r="690" customFormat="false" ht="17.35" hidden="false" customHeight="false" outlineLevel="0" collapsed="false">
      <c r="A690" s="110" t="s">
        <v>1487</v>
      </c>
      <c r="B690" s="114" t="s">
        <v>162</v>
      </c>
      <c r="C690" s="112" t="n">
        <v>600</v>
      </c>
      <c r="D690" s="112" t="n">
        <v>650</v>
      </c>
    </row>
    <row r="691" customFormat="false" ht="17.35" hidden="false" customHeight="false" outlineLevel="0" collapsed="false">
      <c r="A691" s="110" t="s">
        <v>1488</v>
      </c>
      <c r="B691" s="114" t="s">
        <v>431</v>
      </c>
      <c r="C691" s="112" t="n">
        <v>160</v>
      </c>
      <c r="D691" s="112" t="n">
        <v>180</v>
      </c>
    </row>
    <row r="692" customFormat="false" ht="17.35" hidden="false" customHeight="false" outlineLevel="0" collapsed="false">
      <c r="A692" s="110" t="s">
        <v>1489</v>
      </c>
      <c r="B692" s="114" t="s">
        <v>197</v>
      </c>
      <c r="C692" s="112" t="n">
        <v>8</v>
      </c>
      <c r="D692" s="112" t="n">
        <v>10</v>
      </c>
    </row>
    <row r="693" customFormat="false" ht="17.35" hidden="false" customHeight="false" outlineLevel="0" collapsed="false">
      <c r="A693" s="110" t="s">
        <v>1472</v>
      </c>
      <c r="B693" s="114" t="s">
        <v>1490</v>
      </c>
      <c r="C693" s="112" t="n">
        <v>25</v>
      </c>
      <c r="D693" s="112" t="n">
        <v>30</v>
      </c>
    </row>
    <row r="694" customFormat="false" ht="17.35" hidden="false" customHeight="false" outlineLevel="0" collapsed="false">
      <c r="A694" s="110" t="s">
        <v>1491</v>
      </c>
      <c r="B694" s="114" t="s">
        <v>238</v>
      </c>
      <c r="C694" s="112" t="n">
        <v>15</v>
      </c>
      <c r="D694" s="112" t="n">
        <v>15</v>
      </c>
    </row>
    <row r="695" customFormat="false" ht="17.35" hidden="false" customHeight="false" outlineLevel="0" collapsed="false">
      <c r="A695" s="110" t="s">
        <v>1492</v>
      </c>
      <c r="B695" s="114" t="s">
        <v>238</v>
      </c>
      <c r="C695" s="112" t="n">
        <v>15</v>
      </c>
      <c r="D695" s="112" t="n">
        <v>15</v>
      </c>
    </row>
    <row r="696" customFormat="false" ht="17.35" hidden="false" customHeight="false" outlineLevel="0" collapsed="false">
      <c r="A696" s="110" t="s">
        <v>1493</v>
      </c>
      <c r="B696" s="114" t="s">
        <v>433</v>
      </c>
      <c r="C696" s="112" t="n">
        <v>6</v>
      </c>
      <c r="D696" s="112" t="n">
        <v>8</v>
      </c>
    </row>
    <row r="697" customFormat="false" ht="17.35" hidden="false" customHeight="false" outlineLevel="0" collapsed="false">
      <c r="A697" s="110" t="s">
        <v>1494</v>
      </c>
      <c r="B697" s="114" t="s">
        <v>294</v>
      </c>
      <c r="C697" s="112" t="n">
        <v>5</v>
      </c>
      <c r="D697" s="112" t="n">
        <v>5</v>
      </c>
    </row>
    <row r="698" customFormat="false" ht="17.35" hidden="false" customHeight="false" outlineLevel="0" collapsed="false">
      <c r="A698" s="110" t="s">
        <v>1495</v>
      </c>
      <c r="B698" s="114" t="s">
        <v>295</v>
      </c>
      <c r="C698" s="112" t="n">
        <v>5</v>
      </c>
      <c r="D698" s="112" t="n">
        <v>5</v>
      </c>
    </row>
    <row r="699" customFormat="false" ht="17.35" hidden="false" customHeight="false" outlineLevel="0" collapsed="false">
      <c r="A699" s="110" t="s">
        <v>1496</v>
      </c>
      <c r="B699" s="114" t="s">
        <v>302</v>
      </c>
      <c r="C699" s="112" t="n">
        <v>8</v>
      </c>
      <c r="D699" s="112" t="n">
        <v>10</v>
      </c>
    </row>
    <row r="700" customFormat="false" ht="17.35" hidden="false" customHeight="false" outlineLevel="0" collapsed="false">
      <c r="A700" s="110" t="s">
        <v>1497</v>
      </c>
      <c r="B700" s="114" t="s">
        <v>302</v>
      </c>
      <c r="C700" s="112" t="n">
        <v>8</v>
      </c>
      <c r="D700" s="112" t="n">
        <v>10</v>
      </c>
    </row>
    <row r="701" customFormat="false" ht="17.35" hidden="false" customHeight="false" outlineLevel="0" collapsed="false">
      <c r="A701" s="110" t="s">
        <v>1498</v>
      </c>
      <c r="B701" s="114" t="s">
        <v>316</v>
      </c>
      <c r="C701" s="112" t="n">
        <v>25</v>
      </c>
      <c r="D701" s="112" t="n">
        <v>30</v>
      </c>
    </row>
    <row r="702" customFormat="false" ht="17.35" hidden="false" customHeight="false" outlineLevel="0" collapsed="false">
      <c r="A702" s="110" t="s">
        <v>1499</v>
      </c>
      <c r="B702" s="114" t="s">
        <v>317</v>
      </c>
      <c r="C702" s="112" t="n">
        <v>280</v>
      </c>
      <c r="D702" s="112" t="n">
        <v>300</v>
      </c>
    </row>
    <row r="703" customFormat="false" ht="17.35" hidden="false" customHeight="false" outlineLevel="0" collapsed="false">
      <c r="A703" s="110" t="s">
        <v>1500</v>
      </c>
      <c r="B703" s="114" t="s">
        <v>329</v>
      </c>
      <c r="C703" s="112" t="n">
        <v>8</v>
      </c>
      <c r="D703" s="112" t="n">
        <v>10</v>
      </c>
    </row>
    <row r="704" customFormat="false" ht="17.35" hidden="false" customHeight="false" outlineLevel="0" collapsed="false">
      <c r="A704" s="110" t="s">
        <v>1501</v>
      </c>
      <c r="B704" s="114" t="s">
        <v>337</v>
      </c>
      <c r="C704" s="112" t="n">
        <v>5</v>
      </c>
      <c r="D704" s="112" t="n">
        <v>7</v>
      </c>
    </row>
    <row r="705" customFormat="false" ht="17.35" hidden="false" customHeight="false" outlineLevel="0" collapsed="false">
      <c r="A705" s="110" t="s">
        <v>1502</v>
      </c>
      <c r="B705" s="114" t="s">
        <v>1503</v>
      </c>
      <c r="C705" s="112" t="n">
        <v>14</v>
      </c>
      <c r="D705" s="112" t="n">
        <v>18</v>
      </c>
    </row>
    <row r="706" customFormat="false" ht="17.35" hidden="false" customHeight="false" outlineLevel="0" collapsed="false">
      <c r="A706" s="110" t="s">
        <v>1504</v>
      </c>
      <c r="B706" s="114" t="s">
        <v>364</v>
      </c>
      <c r="C706" s="112" t="n">
        <v>10</v>
      </c>
      <c r="D706" s="112" t="n">
        <v>10</v>
      </c>
    </row>
    <row r="707" customFormat="false" ht="17.35" hidden="false" customHeight="false" outlineLevel="0" collapsed="false">
      <c r="A707" s="110" t="s">
        <v>1276</v>
      </c>
      <c r="B707" s="114" t="s">
        <v>1423</v>
      </c>
      <c r="C707" s="112" t="n">
        <v>3.1</v>
      </c>
      <c r="D707" s="112" t="n">
        <v>4</v>
      </c>
    </row>
    <row r="708" customFormat="false" ht="17.35" hidden="false" customHeight="false" outlineLevel="0" collapsed="false">
      <c r="A708" s="110" t="s">
        <v>1426</v>
      </c>
      <c r="B708" s="114" t="s">
        <v>1505</v>
      </c>
      <c r="C708" s="112" t="n">
        <v>3.1</v>
      </c>
      <c r="D708" s="112" t="n">
        <v>15</v>
      </c>
    </row>
    <row r="709" customFormat="false" ht="17.35" hidden="false" customHeight="false" outlineLevel="0" collapsed="false">
      <c r="A709" s="110" t="s">
        <v>1506</v>
      </c>
      <c r="B709" s="114" t="s">
        <v>403</v>
      </c>
      <c r="C709" s="112" t="n">
        <v>16</v>
      </c>
      <c r="D709" s="112" t="n">
        <v>17</v>
      </c>
    </row>
    <row r="710" customFormat="false" ht="17.35" hidden="false" customHeight="false" outlineLevel="0" collapsed="false">
      <c r="A710" s="110" t="s">
        <v>1507</v>
      </c>
      <c r="B710" s="114" t="s">
        <v>409</v>
      </c>
      <c r="C710" s="112" t="n">
        <v>18</v>
      </c>
      <c r="D710" s="112" t="n">
        <v>19</v>
      </c>
    </row>
    <row r="711" customFormat="false" ht="17.35" hidden="false" customHeight="false" outlineLevel="0" collapsed="false">
      <c r="A711" s="110" t="s">
        <v>1508</v>
      </c>
      <c r="B711" s="114" t="s">
        <v>414</v>
      </c>
      <c r="C711" s="112" t="n">
        <v>12</v>
      </c>
      <c r="D711" s="112" t="n">
        <v>14</v>
      </c>
    </row>
    <row r="712" customFormat="false" ht="17.35" hidden="false" customHeight="false" outlineLevel="0" collapsed="false">
      <c r="A712" s="110" t="s">
        <v>1509</v>
      </c>
      <c r="B712" s="114" t="s">
        <v>435</v>
      </c>
      <c r="C712" s="112" t="n">
        <v>10</v>
      </c>
      <c r="D712" s="112" t="n">
        <v>12.5</v>
      </c>
    </row>
    <row r="713" customFormat="false" ht="17.35" hidden="false" customHeight="false" outlineLevel="0" collapsed="false">
      <c r="A713" s="110" t="s">
        <v>1510</v>
      </c>
      <c r="B713" s="114" t="s">
        <v>439</v>
      </c>
      <c r="C713" s="112" t="n">
        <v>11.6</v>
      </c>
      <c r="D713" s="112" t="n">
        <v>15</v>
      </c>
    </row>
    <row r="714" customFormat="false" ht="17.35" hidden="false" customHeight="false" outlineLevel="0" collapsed="false">
      <c r="A714" s="110" t="s">
        <v>1511</v>
      </c>
      <c r="B714" s="114" t="s">
        <v>437</v>
      </c>
      <c r="C714" s="112" t="n">
        <v>11.6</v>
      </c>
      <c r="D714" s="112" t="n">
        <v>15</v>
      </c>
    </row>
    <row r="715" customFormat="false" ht="17.35" hidden="false" customHeight="false" outlineLevel="0" collapsed="false">
      <c r="A715" s="110" t="s">
        <v>1512</v>
      </c>
      <c r="B715" s="114" t="s">
        <v>441</v>
      </c>
      <c r="C715" s="112" t="n">
        <v>8</v>
      </c>
      <c r="D715" s="112" t="n">
        <v>12</v>
      </c>
    </row>
    <row r="716" customFormat="false" ht="17.35" hidden="false" customHeight="false" outlineLevel="0" collapsed="false">
      <c r="A716" s="110" t="s">
        <v>1513</v>
      </c>
      <c r="B716" s="114" t="s">
        <v>442</v>
      </c>
      <c r="C716" s="112" t="n">
        <v>12</v>
      </c>
      <c r="D716" s="112" t="n">
        <v>15</v>
      </c>
    </row>
    <row r="717" customFormat="false" ht="17.35" hidden="false" customHeight="false" outlineLevel="0" collapsed="false">
      <c r="A717" s="110" t="s">
        <v>1514</v>
      </c>
      <c r="B717" s="114" t="s">
        <v>442</v>
      </c>
      <c r="C717" s="112" t="n">
        <v>12</v>
      </c>
      <c r="D717" s="112" t="n">
        <v>15</v>
      </c>
    </row>
    <row r="718" customFormat="false" ht="17.35" hidden="false" customHeight="false" outlineLevel="0" collapsed="false">
      <c r="A718" s="110" t="s">
        <v>1515</v>
      </c>
      <c r="B718" s="114" t="s">
        <v>443</v>
      </c>
      <c r="C718" s="112" t="n">
        <v>4</v>
      </c>
      <c r="D718" s="112" t="n">
        <v>5</v>
      </c>
    </row>
    <row r="719" customFormat="false" ht="17.35" hidden="false" customHeight="false" outlineLevel="0" collapsed="false">
      <c r="A719" s="110" t="s">
        <v>1516</v>
      </c>
      <c r="B719" s="114" t="s">
        <v>443</v>
      </c>
      <c r="C719" s="112" t="n">
        <v>4</v>
      </c>
      <c r="D719" s="112" t="n">
        <v>5</v>
      </c>
    </row>
    <row r="720" customFormat="false" ht="17.35" hidden="false" customHeight="false" outlineLevel="0" collapsed="false">
      <c r="A720" s="110" t="s">
        <v>1517</v>
      </c>
      <c r="B720" s="114" t="s">
        <v>444</v>
      </c>
      <c r="C720" s="112" t="n">
        <v>4</v>
      </c>
      <c r="D720" s="112" t="n">
        <v>5</v>
      </c>
    </row>
    <row r="721" customFormat="false" ht="17.35" hidden="false" customHeight="false" outlineLevel="0" collapsed="false">
      <c r="A721" s="110" t="s">
        <v>1518</v>
      </c>
      <c r="B721" s="114" t="s">
        <v>448</v>
      </c>
      <c r="C721" s="112" t="n">
        <v>16</v>
      </c>
      <c r="D721" s="112" t="n">
        <v>20</v>
      </c>
    </row>
    <row r="722" customFormat="false" ht="17.35" hidden="false" customHeight="false" outlineLevel="0" collapsed="false">
      <c r="A722" s="110" t="s">
        <v>1519</v>
      </c>
      <c r="B722" s="114" t="s">
        <v>451</v>
      </c>
      <c r="C722" s="112" t="n">
        <v>12</v>
      </c>
      <c r="D722" s="112" t="n">
        <v>15</v>
      </c>
    </row>
    <row r="723" customFormat="false" ht="17.35" hidden="false" customHeight="false" outlineLevel="0" collapsed="false">
      <c r="A723" s="110" t="s">
        <v>1520</v>
      </c>
      <c r="B723" s="114" t="s">
        <v>452</v>
      </c>
      <c r="C723" s="112" t="n">
        <v>12</v>
      </c>
      <c r="D723" s="112" t="n">
        <v>15</v>
      </c>
    </row>
    <row r="724" customFormat="false" ht="17.35" hidden="false" customHeight="false" outlineLevel="0" collapsed="false">
      <c r="A724" s="110" t="s">
        <v>1521</v>
      </c>
      <c r="B724" s="114" t="s">
        <v>453</v>
      </c>
      <c r="C724" s="112" t="n">
        <v>10</v>
      </c>
      <c r="D724" s="112" t="n">
        <v>15</v>
      </c>
    </row>
    <row r="725" customFormat="false" ht="17.35" hidden="false" customHeight="false" outlineLevel="0" collapsed="false">
      <c r="A725" s="110"/>
      <c r="B725" s="111"/>
      <c r="C725" s="112"/>
      <c r="D725" s="112"/>
    </row>
    <row r="726" customFormat="false" ht="17.35" hidden="false" customHeight="false" outlineLevel="0" collapsed="false">
      <c r="A726" s="110"/>
      <c r="B726" s="111"/>
      <c r="C726" s="112"/>
      <c r="D726" s="112"/>
    </row>
    <row r="727" customFormat="false" ht="17.35" hidden="false" customHeight="false" outlineLevel="0" collapsed="false">
      <c r="A727" s="110"/>
      <c r="B727" s="111"/>
      <c r="C727" s="112"/>
      <c r="D727" s="112"/>
    </row>
    <row r="728" customFormat="false" ht="17.35" hidden="false" customHeight="false" outlineLevel="0" collapsed="false">
      <c r="A728" s="110"/>
      <c r="B728" s="111"/>
      <c r="C728" s="112"/>
      <c r="D728" s="112"/>
    </row>
    <row r="729" customFormat="false" ht="17.35" hidden="false" customHeight="false" outlineLevel="0" collapsed="false">
      <c r="A729" s="110"/>
      <c r="B729" s="111"/>
      <c r="C729" s="112"/>
      <c r="D729" s="112"/>
    </row>
    <row r="730" customFormat="false" ht="17.35" hidden="false" customHeight="false" outlineLevel="0" collapsed="false">
      <c r="A730" s="110"/>
      <c r="B730" s="111"/>
      <c r="C730" s="112"/>
      <c r="D730" s="112"/>
    </row>
    <row r="731" customFormat="false" ht="17.35" hidden="false" customHeight="false" outlineLevel="0" collapsed="false">
      <c r="A731" s="110"/>
      <c r="B731" s="111"/>
      <c r="C731" s="112"/>
      <c r="D731" s="112"/>
    </row>
    <row r="732" customFormat="false" ht="17.35" hidden="false" customHeight="false" outlineLevel="0" collapsed="false">
      <c r="A732" s="110"/>
      <c r="B732" s="111"/>
      <c r="C732" s="112"/>
      <c r="D732" s="112"/>
    </row>
    <row r="733" customFormat="false" ht="17.35" hidden="false" customHeight="false" outlineLevel="0" collapsed="false">
      <c r="A733" s="110"/>
      <c r="B733" s="111"/>
      <c r="C733" s="112"/>
      <c r="D733" s="112"/>
    </row>
    <row r="734" customFormat="false" ht="17.35" hidden="false" customHeight="false" outlineLevel="0" collapsed="false">
      <c r="A734" s="110"/>
      <c r="B734" s="111"/>
      <c r="C734" s="112"/>
      <c r="D734" s="112"/>
    </row>
    <row r="735" customFormat="false" ht="17.35" hidden="false" customHeight="false" outlineLevel="0" collapsed="false">
      <c r="A735" s="110"/>
      <c r="B735" s="111"/>
      <c r="C735" s="112"/>
      <c r="D735" s="112"/>
    </row>
    <row r="736" customFormat="false" ht="17.35" hidden="false" customHeight="false" outlineLevel="0" collapsed="false">
      <c r="A736" s="110"/>
      <c r="B736" s="111"/>
      <c r="C736" s="112"/>
      <c r="D736" s="112"/>
    </row>
    <row r="737" customFormat="false" ht="17.35" hidden="false" customHeight="false" outlineLevel="0" collapsed="false">
      <c r="A737" s="110"/>
      <c r="B737" s="111"/>
      <c r="C737" s="112"/>
      <c r="D737" s="112"/>
    </row>
    <row r="738" customFormat="false" ht="17.35" hidden="false" customHeight="false" outlineLevel="0" collapsed="false">
      <c r="A738" s="110"/>
      <c r="B738" s="111"/>
      <c r="C738" s="112"/>
      <c r="D738" s="112"/>
    </row>
    <row r="739" customFormat="false" ht="17.35" hidden="false" customHeight="false" outlineLevel="0" collapsed="false">
      <c r="A739" s="110"/>
      <c r="B739" s="111"/>
      <c r="C739" s="112"/>
      <c r="D739" s="112"/>
    </row>
    <row r="740" customFormat="false" ht="17.35" hidden="false" customHeight="false" outlineLevel="0" collapsed="false">
      <c r="A740" s="110"/>
      <c r="B740" s="111"/>
      <c r="C740" s="112"/>
      <c r="D740" s="112"/>
    </row>
    <row r="741" customFormat="false" ht="17.35" hidden="false" customHeight="false" outlineLevel="0" collapsed="false">
      <c r="A741" s="110"/>
      <c r="B741" s="111"/>
      <c r="C741" s="112"/>
      <c r="D741" s="112"/>
    </row>
    <row r="742" customFormat="false" ht="17.35" hidden="false" customHeight="false" outlineLevel="0" collapsed="false">
      <c r="A742" s="110"/>
      <c r="B742" s="111"/>
      <c r="C742" s="112"/>
      <c r="D742" s="112"/>
    </row>
    <row r="743" customFormat="false" ht="17.35" hidden="false" customHeight="false" outlineLevel="0" collapsed="false">
      <c r="A743" s="110"/>
      <c r="B743" s="111"/>
      <c r="C743" s="112"/>
      <c r="D743" s="112"/>
    </row>
    <row r="744" customFormat="false" ht="17.35" hidden="false" customHeight="false" outlineLevel="0" collapsed="false">
      <c r="A744" s="110"/>
      <c r="B744" s="111"/>
      <c r="C744" s="112"/>
      <c r="D744" s="112"/>
    </row>
    <row r="745" customFormat="false" ht="17.35" hidden="false" customHeight="false" outlineLevel="0" collapsed="false">
      <c r="A745" s="110"/>
      <c r="B745" s="111"/>
      <c r="C745" s="112"/>
      <c r="D745" s="112"/>
    </row>
    <row r="746" customFormat="false" ht="17.35" hidden="false" customHeight="false" outlineLevel="0" collapsed="false">
      <c r="A746" s="110"/>
      <c r="B746" s="111"/>
      <c r="C746" s="112"/>
      <c r="D746" s="112"/>
    </row>
    <row r="747" customFormat="false" ht="17.35" hidden="false" customHeight="false" outlineLevel="0" collapsed="false">
      <c r="A747" s="110"/>
      <c r="B747" s="111"/>
      <c r="C747" s="112"/>
      <c r="D747" s="112"/>
    </row>
    <row r="748" customFormat="false" ht="17.35" hidden="false" customHeight="false" outlineLevel="0" collapsed="false">
      <c r="A748" s="110"/>
      <c r="B748" s="111"/>
      <c r="C748" s="112"/>
      <c r="D748" s="112"/>
    </row>
    <row r="749" customFormat="false" ht="17.35" hidden="false" customHeight="false" outlineLevel="0" collapsed="false">
      <c r="A749" s="110"/>
      <c r="B749" s="111"/>
      <c r="C749" s="112"/>
      <c r="D749" s="112"/>
    </row>
    <row r="750" customFormat="false" ht="17.35" hidden="false" customHeight="false" outlineLevel="0" collapsed="false">
      <c r="A750" s="110"/>
      <c r="B750" s="111"/>
      <c r="C750" s="112"/>
      <c r="D750" s="112"/>
    </row>
    <row r="751" customFormat="false" ht="17.35" hidden="false" customHeight="false" outlineLevel="0" collapsed="false">
      <c r="A751" s="110"/>
      <c r="B751" s="111"/>
      <c r="C751" s="112"/>
      <c r="D751" s="112"/>
    </row>
    <row r="752" customFormat="false" ht="17.35" hidden="false" customHeight="false" outlineLevel="0" collapsed="false">
      <c r="A752" s="110"/>
      <c r="B752" s="111"/>
      <c r="C752" s="112"/>
      <c r="D752" s="112"/>
    </row>
    <row r="753" customFormat="false" ht="17.35" hidden="false" customHeight="false" outlineLevel="0" collapsed="false">
      <c r="A753" s="110"/>
      <c r="B753" s="111"/>
      <c r="C753" s="112"/>
      <c r="D753" s="112"/>
    </row>
    <row r="754" customFormat="false" ht="17.35" hidden="false" customHeight="false" outlineLevel="0" collapsed="false">
      <c r="A754" s="110"/>
      <c r="B754" s="111"/>
      <c r="C754" s="112"/>
      <c r="D754" s="112"/>
    </row>
    <row r="755" customFormat="false" ht="17.35" hidden="false" customHeight="false" outlineLevel="0" collapsed="false">
      <c r="A755" s="110"/>
      <c r="B755" s="111"/>
      <c r="C755" s="112"/>
      <c r="D755" s="112"/>
    </row>
    <row r="756" customFormat="false" ht="17.35" hidden="false" customHeight="false" outlineLevel="0" collapsed="false">
      <c r="A756" s="110"/>
      <c r="B756" s="111"/>
      <c r="C756" s="112"/>
      <c r="D756" s="112"/>
    </row>
    <row r="757" customFormat="false" ht="17.35" hidden="false" customHeight="false" outlineLevel="0" collapsed="false">
      <c r="A757" s="110"/>
      <c r="B757" s="111"/>
      <c r="C757" s="112"/>
      <c r="D757" s="112"/>
    </row>
    <row r="758" customFormat="false" ht="17.35" hidden="false" customHeight="false" outlineLevel="0" collapsed="false">
      <c r="A758" s="110"/>
      <c r="B758" s="111"/>
      <c r="C758" s="112"/>
      <c r="D758" s="112"/>
    </row>
    <row r="759" customFormat="false" ht="17.35" hidden="false" customHeight="false" outlineLevel="0" collapsed="false">
      <c r="A759" s="110"/>
      <c r="B759" s="111"/>
      <c r="C759" s="112"/>
      <c r="D759" s="112"/>
    </row>
    <row r="760" customFormat="false" ht="17.35" hidden="false" customHeight="false" outlineLevel="0" collapsed="false">
      <c r="A760" s="110"/>
      <c r="B760" s="111"/>
      <c r="C760" s="112"/>
      <c r="D760" s="112"/>
    </row>
    <row r="761" customFormat="false" ht="17.35" hidden="false" customHeight="false" outlineLevel="0" collapsed="false">
      <c r="A761" s="110"/>
      <c r="B761" s="111"/>
      <c r="C761" s="112"/>
      <c r="D761" s="112"/>
    </row>
    <row r="762" customFormat="false" ht="17.35" hidden="false" customHeight="false" outlineLevel="0" collapsed="false">
      <c r="A762" s="110"/>
      <c r="B762" s="111"/>
      <c r="C762" s="112"/>
      <c r="D762" s="112"/>
    </row>
    <row r="763" customFormat="false" ht="17.35" hidden="false" customHeight="false" outlineLevel="0" collapsed="false">
      <c r="A763" s="110"/>
      <c r="B763" s="111"/>
      <c r="C763" s="112"/>
      <c r="D763" s="112"/>
    </row>
    <row r="764" customFormat="false" ht="17.35" hidden="false" customHeight="false" outlineLevel="0" collapsed="false">
      <c r="A764" s="110"/>
      <c r="B764" s="111"/>
      <c r="C764" s="112"/>
      <c r="D764" s="112"/>
    </row>
    <row r="765" customFormat="false" ht="17.35" hidden="false" customHeight="false" outlineLevel="0" collapsed="false">
      <c r="A765" s="110"/>
      <c r="B765" s="111"/>
      <c r="C765" s="112"/>
      <c r="D765" s="112"/>
    </row>
    <row r="766" customFormat="false" ht="17.35" hidden="false" customHeight="false" outlineLevel="0" collapsed="false">
      <c r="A766" s="110"/>
      <c r="B766" s="111"/>
      <c r="C766" s="112"/>
      <c r="D766" s="112"/>
    </row>
    <row r="767" customFormat="false" ht="17.35" hidden="false" customHeight="false" outlineLevel="0" collapsed="false">
      <c r="A767" s="110"/>
      <c r="B767" s="111"/>
      <c r="C767" s="112"/>
      <c r="D767" s="112"/>
    </row>
    <row r="768" customFormat="false" ht="15" hidden="false" customHeight="false" outlineLevel="0" collapsed="false">
      <c r="C768" s="112"/>
      <c r="D768" s="112"/>
    </row>
    <row r="769" customFormat="false" ht="15" hidden="false" customHeight="false" outlineLevel="0" collapsed="false">
      <c r="C769" s="112"/>
      <c r="D769" s="112"/>
    </row>
    <row r="770" customFormat="false" ht="15" hidden="false" customHeight="false" outlineLevel="0" collapsed="false">
      <c r="C770" s="112"/>
      <c r="D770" s="112"/>
    </row>
    <row r="771" customFormat="false" ht="15" hidden="false" customHeight="false" outlineLevel="0" collapsed="false">
      <c r="C771" s="112"/>
      <c r="D771" s="112"/>
    </row>
    <row r="772" customFormat="false" ht="15" hidden="false" customHeight="false" outlineLevel="0" collapsed="false">
      <c r="C772" s="112"/>
      <c r="D772" s="112"/>
    </row>
  </sheetData>
  <mergeCells count="3">
    <mergeCell ref="A1:D1"/>
    <mergeCell ref="H1:I1"/>
    <mergeCell ref="L1:M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52"/>
  <sheetViews>
    <sheetView showFormulas="false" showGridLines="true" showRowColHeaders="fals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4" activeCellId="0" sqref="B4"/>
    </sheetView>
  </sheetViews>
  <sheetFormatPr defaultColWidth="8.6796875" defaultRowHeight="12.8" zeroHeight="false" outlineLevelRow="0" outlineLevelCol="0"/>
  <cols>
    <col collapsed="false" customWidth="true" hidden="false" outlineLevel="0" max="2" min="2" style="0" width="12.86"/>
  </cols>
  <sheetData>
    <row r="1" customFormat="false" ht="13.8" hidden="false" customHeight="false" outlineLevel="0" collapsed="false">
      <c r="A1" s="121" t="s">
        <v>1522</v>
      </c>
      <c r="B1" s="121"/>
      <c r="C1" s="121"/>
    </row>
    <row r="2" customFormat="false" ht="13.8" hidden="false" customHeight="false" outlineLevel="0" collapsed="false">
      <c r="A2" s="122" t="s">
        <v>123</v>
      </c>
      <c r="B2" s="122" t="s">
        <v>1523</v>
      </c>
      <c r="C2" s="122" t="s">
        <v>44</v>
      </c>
    </row>
    <row r="3" customFormat="false" ht="13.8" hidden="false" customHeight="false" outlineLevel="0" collapsed="false">
      <c r="A3" s="23" t="n">
        <v>1</v>
      </c>
      <c r="B3" s="0" t="s">
        <v>101</v>
      </c>
      <c r="C3" s="0" t="s">
        <v>66</v>
      </c>
    </row>
    <row r="4" customFormat="false" ht="13.8" hidden="false" customHeight="false" outlineLevel="0" collapsed="false">
      <c r="A4" s="23" t="n">
        <v>2</v>
      </c>
      <c r="B4" s="0" t="s">
        <v>1524</v>
      </c>
      <c r="C4" s="0" t="s">
        <v>58</v>
      </c>
    </row>
    <row r="5" customFormat="false" ht="13.8" hidden="false" customHeight="false" outlineLevel="0" collapsed="false">
      <c r="A5" s="23" t="n">
        <v>3</v>
      </c>
      <c r="B5" s="0" t="s">
        <v>147</v>
      </c>
      <c r="C5" s="0" t="s">
        <v>51</v>
      </c>
    </row>
    <row r="6" customFormat="false" ht="13.8" hidden="false" customHeight="false" outlineLevel="0" collapsed="false">
      <c r="A6" s="23"/>
    </row>
    <row r="7" customFormat="false" ht="13.8" hidden="false" customHeight="false" outlineLevel="0" collapsed="false">
      <c r="A7" s="23"/>
    </row>
    <row r="8" customFormat="false" ht="13.8" hidden="false" customHeight="false" outlineLevel="0" collapsed="false">
      <c r="A8" s="23"/>
    </row>
    <row r="9" customFormat="false" ht="13.8" hidden="false" customHeight="false" outlineLevel="0" collapsed="false">
      <c r="A9" s="23"/>
    </row>
    <row r="10" customFormat="false" ht="13.8" hidden="false" customHeight="false" outlineLevel="0" collapsed="false">
      <c r="A10" s="23"/>
    </row>
    <row r="11" customFormat="false" ht="13.8" hidden="false" customHeight="false" outlineLevel="0" collapsed="false">
      <c r="A11" s="23"/>
    </row>
    <row r="12" customFormat="false" ht="13.8" hidden="false" customHeight="false" outlineLevel="0" collapsed="false">
      <c r="A12" s="23"/>
    </row>
    <row r="13" customFormat="false" ht="13.8" hidden="false" customHeight="false" outlineLevel="0" collapsed="false">
      <c r="A13" s="23"/>
    </row>
    <row r="14" customFormat="false" ht="13.8" hidden="false" customHeight="false" outlineLevel="0" collapsed="false">
      <c r="A14" s="23"/>
    </row>
    <row r="15" customFormat="false" ht="13.8" hidden="false" customHeight="false" outlineLevel="0" collapsed="false">
      <c r="A15" s="23"/>
    </row>
    <row r="16" customFormat="false" ht="13.8" hidden="false" customHeight="false" outlineLevel="0" collapsed="false">
      <c r="A16" s="23"/>
    </row>
    <row r="17" customFormat="false" ht="13.8" hidden="false" customHeight="false" outlineLevel="0" collapsed="false">
      <c r="A17" s="23"/>
    </row>
    <row r="18" customFormat="false" ht="13.8" hidden="false" customHeight="false" outlineLevel="0" collapsed="false">
      <c r="A18" s="23"/>
    </row>
    <row r="19" customFormat="false" ht="13.8" hidden="false" customHeight="false" outlineLevel="0" collapsed="false">
      <c r="A19" s="23"/>
    </row>
    <row r="20" customFormat="false" ht="13.8" hidden="false" customHeight="false" outlineLevel="0" collapsed="false">
      <c r="A20" s="23"/>
    </row>
    <row r="21" customFormat="false" ht="13.8" hidden="false" customHeight="false" outlineLevel="0" collapsed="false">
      <c r="A21" s="23"/>
    </row>
    <row r="22" customFormat="false" ht="13.8" hidden="false" customHeight="false" outlineLevel="0" collapsed="false">
      <c r="A22" s="23"/>
    </row>
    <row r="23" customFormat="false" ht="13.8" hidden="false" customHeight="false" outlineLevel="0" collapsed="false">
      <c r="A23" s="23"/>
    </row>
    <row r="24" customFormat="false" ht="13.8" hidden="false" customHeight="false" outlineLevel="0" collapsed="false">
      <c r="A24" s="23"/>
    </row>
    <row r="25" customFormat="false" ht="13.8" hidden="false" customHeight="false" outlineLevel="0" collapsed="false">
      <c r="A25" s="23"/>
    </row>
    <row r="26" customFormat="false" ht="13.8" hidden="false" customHeight="false" outlineLevel="0" collapsed="false">
      <c r="A26" s="23"/>
    </row>
    <row r="27" customFormat="false" ht="13.8" hidden="false" customHeight="false" outlineLevel="0" collapsed="false">
      <c r="A27" s="23"/>
    </row>
    <row r="28" customFormat="false" ht="13.8" hidden="false" customHeight="false" outlineLevel="0" collapsed="false">
      <c r="A28" s="23"/>
    </row>
    <row r="29" customFormat="false" ht="13.8" hidden="false" customHeight="false" outlineLevel="0" collapsed="false">
      <c r="A29" s="23"/>
    </row>
    <row r="30" customFormat="false" ht="13.8" hidden="false" customHeight="false" outlineLevel="0" collapsed="false">
      <c r="A30" s="23"/>
    </row>
    <row r="31" customFormat="false" ht="13.8" hidden="false" customHeight="false" outlineLevel="0" collapsed="false">
      <c r="A31" s="23"/>
    </row>
    <row r="32" customFormat="false" ht="13.8" hidden="false" customHeight="false" outlineLevel="0" collapsed="false">
      <c r="A32" s="23"/>
    </row>
    <row r="33" customFormat="false" ht="13.8" hidden="false" customHeight="false" outlineLevel="0" collapsed="false">
      <c r="A33" s="23"/>
    </row>
    <row r="34" customFormat="false" ht="13.8" hidden="false" customHeight="false" outlineLevel="0" collapsed="false">
      <c r="A34" s="23"/>
    </row>
    <row r="35" customFormat="false" ht="13.8" hidden="false" customHeight="false" outlineLevel="0" collapsed="false">
      <c r="A35" s="23"/>
    </row>
    <row r="36" customFormat="false" ht="13.8" hidden="false" customHeight="false" outlineLevel="0" collapsed="false">
      <c r="A36" s="23"/>
    </row>
    <row r="37" customFormat="false" ht="13.8" hidden="false" customHeight="false" outlineLevel="0" collapsed="false">
      <c r="A37" s="23"/>
    </row>
    <row r="38" customFormat="false" ht="13.8" hidden="false" customHeight="false" outlineLevel="0" collapsed="false">
      <c r="A38" s="23"/>
    </row>
    <row r="39" customFormat="false" ht="13.8" hidden="false" customHeight="false" outlineLevel="0" collapsed="false">
      <c r="A39" s="23"/>
    </row>
    <row r="40" customFormat="false" ht="13.8" hidden="false" customHeight="false" outlineLevel="0" collapsed="false">
      <c r="A40" s="23"/>
    </row>
    <row r="41" customFormat="false" ht="13.8" hidden="false" customHeight="false" outlineLevel="0" collapsed="false">
      <c r="A41" s="23"/>
    </row>
    <row r="42" customFormat="false" ht="13.8" hidden="false" customHeight="false" outlineLevel="0" collapsed="false">
      <c r="A42" s="23"/>
    </row>
    <row r="43" customFormat="false" ht="13.8" hidden="false" customHeight="false" outlineLevel="0" collapsed="false">
      <c r="A43" s="23"/>
    </row>
    <row r="44" customFormat="false" ht="13.8" hidden="false" customHeight="false" outlineLevel="0" collapsed="false">
      <c r="A44" s="23"/>
    </row>
    <row r="45" customFormat="false" ht="13.8" hidden="false" customHeight="false" outlineLevel="0" collapsed="false">
      <c r="A45" s="23"/>
    </row>
    <row r="46" customFormat="false" ht="13.8" hidden="false" customHeight="false" outlineLevel="0" collapsed="false">
      <c r="A46" s="23"/>
    </row>
    <row r="47" customFormat="false" ht="13.8" hidden="false" customHeight="false" outlineLevel="0" collapsed="false">
      <c r="A47" s="23"/>
    </row>
    <row r="48" customFormat="false" ht="13.8" hidden="false" customHeight="false" outlineLevel="0" collapsed="false">
      <c r="A48" s="23"/>
    </row>
    <row r="49" customFormat="false" ht="13.8" hidden="false" customHeight="false" outlineLevel="0" collapsed="false">
      <c r="A49" s="23"/>
    </row>
    <row r="50" customFormat="false" ht="13.8" hidden="false" customHeight="false" outlineLevel="0" collapsed="false">
      <c r="A50" s="23"/>
    </row>
    <row r="51" customFormat="false" ht="13.8" hidden="false" customHeight="false" outlineLevel="0" collapsed="false">
      <c r="A51" s="23"/>
    </row>
    <row r="52" customFormat="false" ht="13.8" hidden="false" customHeight="false" outlineLevel="0" collapsed="false">
      <c r="A52" s="23"/>
    </row>
  </sheetData>
  <mergeCells count="1">
    <mergeCell ref="A1:C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</TotalTime>
  <Application>LibreOffice/24.8.4.2$Linux_X86_64 LibreOffice_project/480$Build-2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2021-07-04T05:03:30Z</dcterms:created>
  <dc:creator>Randy Austin</dc:creator>
  <dc:description/>
  <dc:language>en-US</dc:language>
  <cp:lastModifiedBy/>
  <cp:lastPrinted>2025-03-25T13:45:23Z</cp:lastPrinted>
  <dcterms:modified xsi:type="dcterms:W3CDTF">2025-03-31T16:25:10Z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